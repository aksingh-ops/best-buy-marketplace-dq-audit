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Raw Catalog" sheetId="2" state="visible" r:id="rId4"/>
    <sheet name="Audit Engine" sheetId="3" state="visible" r:id="rId5"/>
    <sheet name="Seller Scorecard" sheetId="4" state="visible" r:id="rId6"/>
    <sheet name="Issue Dashboard" sheetId="5" state="visible" r:id="rId7"/>
    <sheet name="LAMBDA Functions" sheetId="6" state="visible" r:id="rId8"/>
  </sheets>
  <definedNames>
    <definedName function="false" hidden="true" localSheetId="2" name="_xlnm._FilterDatabase" vbProcedure="false">'Audit Engine'!$A$3:$V$3</definedName>
    <definedName function="false" hidden="true" localSheetId="1" name="_xlnm._FilterDatabase" vbProcedure="false">'Raw Catalog'!$A$1:$U$1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<sst xmlns="http://schemas.openxmlformats.org/spreadsheetml/2006/main" count="27593" uniqueCount="7223">
  <si>
    <t xml:space="preserve">BEST BUY MARKETPLACE  PRODUCT DATA QUALITY REPORT</t>
  </si>
  <si>
    <t xml:space="preserve">Executive Summary | Reporting Period: Q2 FY2026 | Prepared: June 01, 2026 | Analyst: Akash Singh, M.S. Business Analytics</t>
  </si>
  <si>
    <t xml:space="preserve">BUSINESS CONTEXT</t>
  </si>
  <si>
    <t xml:space="preserve">Best Buy launched its U.S. digital Marketplace in mid-FY2026, dramatically expanding product count through third-party sellers (Best Buy Q4 FY2026 Earnings Call, Mar 2026). This expansion introduced significant data quality risk: inconsistent seller attributes, GTIN validation failures, and stale listings threaten search discoverability, AI-recommendation accuracy, and regulatory compliance. This audit covers 1,040 marketplace product records across 8 active sellers and 5 product categories.</t>
  </si>
  <si>
    <t xml:space="preserve">KEY FINDINGS</t>
  </si>
  <si>
    <t xml:space="preserve">1,040</t>
  </si>
  <si>
    <t xml:space="preserve">Total product records audited across all marketplace sellers</t>
  </si>
  <si>
    <t xml:space="preserve">829 (79.7%)</t>
  </si>
  <si>
    <t xml:space="preserve">Records fully compliant with Best Buy PDM requirements</t>
  </si>
  <si>
    <t xml:space="preserve">211 (20.3%)</t>
  </si>
  <si>
    <t xml:space="preserve">Records with at least one data quality violation</t>
  </si>
  <si>
    <t xml:space="preserve">42</t>
  </si>
  <si>
    <t xml:space="preserve">Critical violations (missing required fields  auto-suppressed by BB algorithm)</t>
  </si>
  <si>
    <t xml:space="preserve">40</t>
  </si>
  <si>
    <t xml:space="preserve">Duplicate SKUs detected  billing and commission risk per Marketplace Program Policy</t>
  </si>
  <si>
    <t xml:space="preserve">19</t>
  </si>
  <si>
    <t xml:space="preserve">GTIN/UPC mismatches  inventory recognition failures at RDC</t>
  </si>
  <si>
    <t xml:space="preserve">RECOMMENDATIONS</t>
  </si>
  <si>
    <t xml:space="preserve">IMMEDIATE (0-30 days)</t>
  </si>
  <si>
    <t xml:space="preserve">Suppress 42 critical listings with missing required fields. Notify affected sellers with remediation SLA of 7 business days.</t>
  </si>
  <si>
    <t xml:space="preserve">SHORT-TERM (30-90 days)</t>
  </si>
  <si>
    <t xml:space="preserve">Implement automated GTIN validation at listing ingestion. Deploy LAMBDA-based audit rules as live data validation layer in PDM portal.</t>
  </si>
  <si>
    <t xml:space="preserve">MEDIUM-TERM (90-180 days)</t>
  </si>
  <si>
    <t xml:space="preserve">Establish Seller Data Quality Score (CALC_DQ_SCORE  85%) as prerequisite for Marketplace promotional eligibility. Monthly scorecard review.</t>
  </si>
  <si>
    <t xml:space="preserve">GOVERNANCE</t>
  </si>
  <si>
    <t xml:space="preserve">Align audit rules with Best Buy Marketplace Standard Terms (Apr 2025, 3 Required Product Information). Reference GS1 GTIN standard for UPC validation.</t>
  </si>
  <si>
    <t xml:space="preserve">Row_ID</t>
  </si>
  <si>
    <t xml:space="preserve">SKU</t>
  </si>
  <si>
    <t xml:space="preserve">Seller_ID</t>
  </si>
  <si>
    <t xml:space="preserve">Seller_Name</t>
  </si>
  <si>
    <t xml:space="preserve">Category</t>
  </si>
  <si>
    <t xml:space="preserve">Brand</t>
  </si>
  <si>
    <t xml:space="preserve">Model_Name</t>
  </si>
  <si>
    <t xml:space="preserve">Model_Number</t>
  </si>
  <si>
    <t xml:space="preserve">UPC</t>
  </si>
  <si>
    <t xml:space="preserve">GTIN</t>
  </si>
  <si>
    <t xml:space="preserve">Title</t>
  </si>
  <si>
    <t xml:space="preserve">Description</t>
  </si>
  <si>
    <t xml:space="preserve">Price_USD</t>
  </si>
  <si>
    <t xml:space="preserve">Weight_lbs</t>
  </si>
  <si>
    <t xml:space="preserve">Stock_Quantity</t>
  </si>
  <si>
    <t xml:space="preserve">Primary_Image_URL</t>
  </si>
  <si>
    <t xml:space="preserve">Specifications</t>
  </si>
  <si>
    <t xml:space="preserve">Listing_Date</t>
  </si>
  <si>
    <t xml:space="preserve">Last_Updated</t>
  </si>
  <si>
    <t xml:space="preserve">Is_Active</t>
  </si>
  <si>
    <t xml:space="preserve">Data_Quality_Issue</t>
  </si>
  <si>
    <t xml:space="preserve">BB-MKT-00357</t>
  </si>
  <si>
    <t xml:space="preserve">S008</t>
  </si>
  <si>
    <t xml:space="preserve">DigitalHub USA</t>
  </si>
  <si>
    <t xml:space="preserve">Tablets</t>
  </si>
  <si>
    <t xml:space="preserve">Apple</t>
  </si>
  <si>
    <t xml:space="preserve">Galaxy Tab S9</t>
  </si>
  <si>
    <t xml:space="preserve">AP-3591-BL</t>
  </si>
  <si>
    <t xml:space="preserve">823004112457</t>
  </si>
  <si>
    <t xml:space="preserve">0823004112457</t>
  </si>
  <si>
    <t xml:space="preserve">Apple Galaxy Tab S9 12.9" 128GB Tablet</t>
  </si>
  <si>
    <t xml:space="preserve">Stay productive and entertained with the Apple Galaxy Tab S9. Powerful performance in a sleek design.</t>
  </si>
  <si>
    <t xml:space="preserve">https://images.bestbuy.com/marketplace/apple-galaxy-tab-s9-main.jpg</t>
  </si>
  <si>
    <t xml:space="preserve">Storage_GB: 128 | Screen_Size: 12.9" | Cellular: No | RAM_GB: 16</t>
  </si>
  <si>
    <t xml:space="preserve">2024-12-14</t>
  </si>
  <si>
    <t xml:space="preserve">Yes</t>
  </si>
  <si>
    <t xml:space="preserve">BB-MKT-00833</t>
  </si>
  <si>
    <t xml:space="preserve">S006</t>
  </si>
  <si>
    <t xml:space="preserve">NextGen Devices</t>
  </si>
  <si>
    <t xml:space="preserve">Smart Home</t>
  </si>
  <si>
    <t xml:space="preserve">Wyze</t>
  </si>
  <si>
    <t xml:space="preserve">Learning Thermostat</t>
  </si>
  <si>
    <t xml:space="preserve">WY-9007-BL</t>
  </si>
  <si>
    <t xml:space="preserve">929827299135</t>
  </si>
  <si>
    <t xml:space="preserve">0929827299135</t>
  </si>
  <si>
    <t xml:space="preserve">Wyze Learning Thermostat Smart Home Device</t>
  </si>
  <si>
    <t xml:space="preserve">Transform your home with the Wyze Learning Thermostat. Easy setup and seamless smart home integration.</t>
  </si>
  <si>
    <t xml:space="preserve">https://images.bestbuy.com/marketplace/wyze-learning-thermostat-main.jpg</t>
  </si>
  <si>
    <t xml:space="preserve">Connectivity: Wi-Fi | Voice_Assistant: Apple HomeKit | Power: USB-C</t>
  </si>
  <si>
    <t xml:space="preserve">2025-02-22</t>
  </si>
  <si>
    <t xml:space="preserve">BB-MKT-00543</t>
  </si>
  <si>
    <t xml:space="preserve">S007</t>
  </si>
  <si>
    <t xml:space="preserve">SmartBuy Co</t>
  </si>
  <si>
    <t xml:space="preserve">Laptops</t>
  </si>
  <si>
    <t xml:space="preserve">Katana 15</t>
  </si>
  <si>
    <t xml:space="preserve">AS-9516-SL</t>
  </si>
  <si>
    <t xml:space="preserve">979237227132</t>
  </si>
  <si>
    <t xml:space="preserve">0979237227132</t>
  </si>
  <si>
    <t xml:space="preserve">ASUS Katana 15 14" Laptop - 8GB RAM 1024GB SSD</t>
  </si>
  <si>
    <t xml:space="preserve">Experience premium performance with the ASUS Katana 15. Designed for professionals and students alike.</t>
  </si>
  <si>
    <t xml:space="preserve">https://images.bestbuy.com/marketplace/asus-katana-15-main.jpg</t>
  </si>
  <si>
    <t xml:space="preserve">RAM_GB: 8 | Storage_GB: 1024 | Screen_Size: 14" | Processor: Apple M2</t>
  </si>
  <si>
    <t xml:space="preserve">2025-04-10</t>
  </si>
  <si>
    <t xml:space="preserve">MISSING_BRAND</t>
  </si>
  <si>
    <t xml:space="preserve">BB-MKT-00087</t>
  </si>
  <si>
    <t xml:space="preserve">TVs</t>
  </si>
  <si>
    <t xml:space="preserve">Hisense</t>
  </si>
  <si>
    <t xml:space="preserve">QLED 4K</t>
  </si>
  <si>
    <t xml:space="preserve">HI-6793-BL</t>
  </si>
  <si>
    <t xml:space="preserve">551496545441</t>
  </si>
  <si>
    <t xml:space="preserve">0551496545441</t>
  </si>
  <si>
    <t xml:space="preserve">Hisense 75" 1080p Full HD Smart TV QLED 4K</t>
  </si>
  <si>
    <t xml:space="preserve">Immerse yourself in stunning visuals with the Hisense QLED 4K. Features cutting-edge display technology.</t>
  </si>
  <si>
    <t xml:space="preserve">https://images.bestbuy.com/marketplace/hisense-qled-4k-main.jpg</t>
  </si>
  <si>
    <t xml:space="preserve">Screen_Size: 75" | Resolution: 1080p Full HD | Smart_TV: No | HDR: HDR10+</t>
  </si>
  <si>
    <t xml:space="preserve">2024-11-25</t>
  </si>
  <si>
    <t xml:space="preserve">BB-MKT-00309</t>
  </si>
  <si>
    <t xml:space="preserve">Ultra 2</t>
  </si>
  <si>
    <t xml:space="preserve">WY-8723-BL</t>
  </si>
  <si>
    <t xml:space="preserve">590556533399</t>
  </si>
  <si>
    <t xml:space="preserve">0590556533399</t>
  </si>
  <si>
    <t xml:space="preserve">Wyze Ultra 2 Smart Home Device</t>
  </si>
  <si>
    <t xml:space="preserve">Transform your home with the Wyze Ultra 2. Easy setup and seamless smart home integration.</t>
  </si>
  <si>
    <t xml:space="preserve">https://images.bestbuy.com/marketplace/wyze-ultra-2-main.jpg</t>
  </si>
  <si>
    <t xml:space="preserve">Connectivity: Wi-Fi | Voice_Assistant: Apple HomeKit | Power: Battery</t>
  </si>
  <si>
    <t xml:space="preserve">2024-09-12</t>
  </si>
  <si>
    <t xml:space="preserve">BB-MKT-00030</t>
  </si>
  <si>
    <t xml:space="preserve">S002</t>
  </si>
  <si>
    <t xml:space="preserve">EliteGadgets Inc</t>
  </si>
  <si>
    <t xml:space="preserve">Amazon</t>
  </si>
  <si>
    <t xml:space="preserve">AM-4228-SL</t>
  </si>
  <si>
    <t xml:space="preserve">691874457344</t>
  </si>
  <si>
    <t xml:space="preserve">0691874457344</t>
  </si>
  <si>
    <t xml:space="preserve">Amazon Galaxy Tab S9 8" 256GB Tablet</t>
  </si>
  <si>
    <t xml:space="preserve">Stay productive and entertained with the Amazon Galaxy Tab S9. Powerful performance in a sleek design.</t>
  </si>
  <si>
    <t xml:space="preserve">https://images.bestbuy.com/marketplace/amazon-galaxy-tab-s9-main.jpg</t>
  </si>
  <si>
    <t xml:space="preserve">Storage_GB: 256 | Screen_Size: 8" | Cellular: No | RAM_GB: 4</t>
  </si>
  <si>
    <t xml:space="preserve">2024-12-17</t>
  </si>
  <si>
    <t xml:space="preserve">BB-MKT-00798</t>
  </si>
  <si>
    <t xml:space="preserve">S001</t>
  </si>
  <si>
    <t xml:space="preserve">TechDirect LLC</t>
  </si>
  <si>
    <t xml:space="preserve">Lenovo</t>
  </si>
  <si>
    <t xml:space="preserve">Aspire 5</t>
  </si>
  <si>
    <t xml:space="preserve">LE-8207-BK</t>
  </si>
  <si>
    <t xml:space="preserve">119167254787</t>
  </si>
  <si>
    <t xml:space="preserve">0119167254787</t>
  </si>
  <si>
    <t xml:space="preserve">Lenovo Aspire 5 14" Laptop - 32GB RAM 512GB SSD</t>
  </si>
  <si>
    <t xml:space="preserve">Experience premium performance with the Lenovo Aspire 5. Designed for professionals and students alike.</t>
  </si>
  <si>
    <t xml:space="preserve">https://images.bestbuy.com/marketplace/lenovo-aspire-5-main.jpg</t>
  </si>
  <si>
    <t xml:space="preserve">RAM_GB: 32 | Storage_GB: 512 | Screen_Size: 14" | Processor: AMD Ryzen 7</t>
  </si>
  <si>
    <t xml:space="preserve">2025-04-11</t>
  </si>
  <si>
    <t xml:space="preserve">BB-MKT-00019</t>
  </si>
  <si>
    <t xml:space="preserve">Samsung</t>
  </si>
  <si>
    <t xml:space="preserve">U8K</t>
  </si>
  <si>
    <t xml:space="preserve">SA-5033-BK</t>
  </si>
  <si>
    <t xml:space="preserve">726594012825</t>
  </si>
  <si>
    <t xml:space="preserve">0726594012825</t>
  </si>
  <si>
    <t xml:space="preserve">Samsung 43" 1080p Full HD Smart TV U8K</t>
  </si>
  <si>
    <t xml:space="preserve">Immerse yourself in stunning visuals with the Samsung U8K. Features cutting-edge display technology.</t>
  </si>
  <si>
    <t xml:space="preserve">https://images.bestbuy.com/marketplace/samsung-u8k-main.jpg</t>
  </si>
  <si>
    <t xml:space="preserve">Screen_Size: 43" | Resolution: 1080p Full HD | Smart_TV: Yes | HDR: Dolby Vision</t>
  </si>
  <si>
    <t xml:space="preserve">2025-04-16</t>
  </si>
  <si>
    <t xml:space="preserve">BB-MKT-00326</t>
  </si>
  <si>
    <t xml:space="preserve">Hue Starter Kit</t>
  </si>
  <si>
    <t xml:space="preserve">AM-5501-BL</t>
  </si>
  <si>
    <t xml:space="preserve">642520584597</t>
  </si>
  <si>
    <t xml:space="preserve">0642520584597</t>
  </si>
  <si>
    <t xml:space="preserve">Amazon Hue Starter Kit Smart Home Device</t>
  </si>
  <si>
    <t xml:space="preserve">Transform your home with the Amazon Hue Starter Kit. Easy setup and seamless smart home integration.</t>
  </si>
  <si>
    <t xml:space="preserve">https://images.bestbuy.com/marketplace/amazon-hue-starter-kit-main.jpg</t>
  </si>
  <si>
    <t xml:space="preserve">Connectivity: Bluetooth | Voice_Assistant: Apple HomeKit | Power: USB-C</t>
  </si>
  <si>
    <t xml:space="preserve">2024-11-21</t>
  </si>
  <si>
    <t xml:space="preserve">BB-MKT-00903</t>
  </si>
  <si>
    <t xml:space="preserve">S003</t>
  </si>
  <si>
    <t xml:space="preserve">PrimeElectronics</t>
  </si>
  <si>
    <t xml:space="preserve">Headphones</t>
  </si>
  <si>
    <t xml:space="preserve">Bose</t>
  </si>
  <si>
    <t xml:space="preserve">QuietComfort 45</t>
  </si>
  <si>
    <t xml:space="preserve">BO-6335-BL</t>
  </si>
  <si>
    <t xml:space="preserve">274644497411</t>
  </si>
  <si>
    <t xml:space="preserve">0274644497411</t>
  </si>
  <si>
    <t xml:space="preserve">Bose QuietComfort 45 On-ear Wireless Headphones</t>
  </si>
  <si>
    <t xml:space="preserve">Enjoy crystal-clear audio with the Bose QuietComfort 45. Perfect for music lovers and remote workers.</t>
  </si>
  <si>
    <t xml:space="preserve">https://images.bestbuy.com/marketplace/bose-quietcomfort-45-main.jpg</t>
  </si>
  <si>
    <t xml:space="preserve">Type: On-ear | Connectivity: Wireless | ANC: Yes | Battery_Hours: 40</t>
  </si>
  <si>
    <t xml:space="preserve">2024-11-15</t>
  </si>
  <si>
    <t xml:space="preserve">BB-MKT-00900</t>
  </si>
  <si>
    <t xml:space="preserve">S005</t>
  </si>
  <si>
    <t xml:space="preserve">ConnectPro Sales</t>
  </si>
  <si>
    <t xml:space="preserve">Studio Pro</t>
  </si>
  <si>
    <t xml:space="preserve">AP-9242-SL</t>
  </si>
  <si>
    <t xml:space="preserve">717091634913</t>
  </si>
  <si>
    <t xml:space="preserve">0717091634913</t>
  </si>
  <si>
    <t xml:space="preserve">Apple Studio Pro In-ear Wireless Headphones</t>
  </si>
  <si>
    <t xml:space="preserve">Enjoy crystal-clear audio with the Apple Studio Pro. Perfect for music lovers and remote workers.</t>
  </si>
  <si>
    <t xml:space="preserve">https://images.bestbuy.com/marketplace/apple-studio-pro-main.jpg</t>
  </si>
  <si>
    <t xml:space="preserve">Type: In-ear | Connectivity: Wireless | ANC: No | Battery_Hours: 30</t>
  </si>
  <si>
    <t xml:space="preserve">2024-10-02</t>
  </si>
  <si>
    <t xml:space="preserve">BB-MKT-00826</t>
  </si>
  <si>
    <t xml:space="preserve">Sony</t>
  </si>
  <si>
    <t xml:space="preserve">Bravia XR</t>
  </si>
  <si>
    <t xml:space="preserve">SO-9627-BK</t>
  </si>
  <si>
    <t xml:space="preserve">929014709335</t>
  </si>
  <si>
    <t xml:space="preserve">0929014709335</t>
  </si>
  <si>
    <t xml:space="preserve">Sony 65" 4K UHD Smart TV Bravia XR</t>
  </si>
  <si>
    <t xml:space="preserve">Immerse yourself in stunning visuals with the Sony Bravia XR. Features cutting-edge display technology.</t>
  </si>
  <si>
    <t xml:space="preserve">https://images.bestbuy.com/marketplace/sony-bravia-xr-main.jpg</t>
  </si>
  <si>
    <t xml:space="preserve">Screen_Size: 65" | Resolution: 4K UHD | Smart_TV: Yes | HDR: HDR10</t>
  </si>
  <si>
    <t xml:space="preserve">2024-09-19</t>
  </si>
  <si>
    <t xml:space="preserve">BB-MKT-00633</t>
  </si>
  <si>
    <t xml:space="preserve">Dell</t>
  </si>
  <si>
    <t xml:space="preserve">VivoBook 16</t>
  </si>
  <si>
    <t xml:space="preserve">DE-9693-SL</t>
  </si>
  <si>
    <t xml:space="preserve">235729166419</t>
  </si>
  <si>
    <t xml:space="preserve">0235729166419</t>
  </si>
  <si>
    <t xml:space="preserve">Dell VivoBook 16 14" Laptop - 64GB RAM 1024GB SSD</t>
  </si>
  <si>
    <t xml:space="preserve">Experience premium performance with the Dell VivoBook 16. Designed for professionals and students alike.</t>
  </si>
  <si>
    <t xml:space="preserve">https://images.bestbuy.com/marketplace/dell-vivobook-16-main.jpg</t>
  </si>
  <si>
    <t xml:space="preserve">RAM_GB: 64 | Storage_GB: 1024 | Screen_Size: 14" | Processor: Intel i5</t>
  </si>
  <si>
    <t xml:space="preserve">2025-01-05</t>
  </si>
  <si>
    <t xml:space="preserve">BB-MKT-00757</t>
  </si>
  <si>
    <t xml:space="preserve">Tour One</t>
  </si>
  <si>
    <t xml:space="preserve">AP-8935-BK</t>
  </si>
  <si>
    <t xml:space="preserve">670764098449</t>
  </si>
  <si>
    <t xml:space="preserve">0670764098449</t>
  </si>
  <si>
    <t xml:space="preserve">Apple Tour One Over-ear Wired Headphones</t>
  </si>
  <si>
    <t xml:space="preserve">Enjoy crystal-clear audio with the Apple Tour One. Perfect for music lovers and remote workers.</t>
  </si>
  <si>
    <t xml:space="preserve">https://images.bestbuy.com/marketplace/apple-tour-one-main.jpg</t>
  </si>
  <si>
    <t xml:space="preserve">Type: Over-ear | Connectivity: Wired | ANC: No | Battery_Hours: 30</t>
  </si>
  <si>
    <t xml:space="preserve">2024-07-11</t>
  </si>
  <si>
    <t xml:space="preserve">BB-MKT-00086</t>
  </si>
  <si>
    <t xml:space="preserve">iPad Pro 12.9</t>
  </si>
  <si>
    <t xml:space="preserve">LE-8770-BK</t>
  </si>
  <si>
    <t xml:space="preserve">852274855980</t>
  </si>
  <si>
    <t xml:space="preserve">0852274855980</t>
  </si>
  <si>
    <t xml:space="preserve">Lenovo iPad Pro 12.9 12.4" 256GB Tablet</t>
  </si>
  <si>
    <t xml:space="preserve">Stay productive and entertained with the Lenovo iPad Pro 12.9. Powerful performance in a sleek design.</t>
  </si>
  <si>
    <t xml:space="preserve">https://images.bestbuy.com/marketplace/lenovo-ipad-pro-12.9-main.jpg</t>
  </si>
  <si>
    <t xml:space="preserve">Storage_GB: 256 | Screen_Size: 12.4" | Cellular: No | RAM_GB: 8</t>
  </si>
  <si>
    <t xml:space="preserve">2024-08-19</t>
  </si>
  <si>
    <t xml:space="preserve">BB-MKT-00189</t>
  </si>
  <si>
    <t xml:space="preserve">Nest</t>
  </si>
  <si>
    <t xml:space="preserve">NE-9804-WH</t>
  </si>
  <si>
    <t xml:space="preserve">633373750765</t>
  </si>
  <si>
    <t xml:space="preserve">0633373750765</t>
  </si>
  <si>
    <t xml:space="preserve">Nest Learning Thermostat Smart Home Device</t>
  </si>
  <si>
    <t xml:space="preserve">Transform your home with the Nest Learning Thermostat. Easy setup and seamless smart home integration.</t>
  </si>
  <si>
    <t xml:space="preserve">https://images.bestbuy.com/marketplace/nest-learning-thermostat-main.jpg</t>
  </si>
  <si>
    <t xml:space="preserve">Connectivity: Zigbee | Voice_Assistant: None | Power: Wired</t>
  </si>
  <si>
    <t xml:space="preserve">2024-10-04</t>
  </si>
  <si>
    <t xml:space="preserve">BB-MKT-00407</t>
  </si>
  <si>
    <t xml:space="preserve">LE-6606-WH</t>
  </si>
  <si>
    <t xml:space="preserve">965724580023</t>
  </si>
  <si>
    <t xml:space="preserve">0466172926771</t>
  </si>
  <si>
    <t xml:space="preserve">Lenovo iPad Pro 12.9 10.1" 256GB Tablet</t>
  </si>
  <si>
    <t xml:space="preserve">Storage_GB: 256 | Screen_Size: 10.1" | Cellular: No | RAM_GB: 12</t>
  </si>
  <si>
    <t xml:space="preserve">2025-04-20</t>
  </si>
  <si>
    <t xml:space="preserve">GTIN_UPC_MISMATCH</t>
  </si>
  <si>
    <t xml:space="preserve">BB-MKT-00004</t>
  </si>
  <si>
    <t xml:space="preserve">Ring</t>
  </si>
  <si>
    <t xml:space="preserve">RI-4733-SL</t>
  </si>
  <si>
    <t xml:space="preserve">147543377362</t>
  </si>
  <si>
    <t xml:space="preserve">0147543377362</t>
  </si>
  <si>
    <t xml:space="preserve">Ring Hue Starter Kit Smart Home Device</t>
  </si>
  <si>
    <t xml:space="preserve">Transform your home with the Ring Hue Starter Kit. Easy setup and seamless smart home integration.</t>
  </si>
  <si>
    <t xml:space="preserve">https://images.bestbuy.com/marketplace/ring-hue-starter-kit-main.jpg</t>
  </si>
  <si>
    <t xml:space="preserve">Connectivity: Z-Wave | Voice_Assistant: Google Assistant | Power: USB-C</t>
  </si>
  <si>
    <t xml:space="preserve">2024-08-21</t>
  </si>
  <si>
    <t xml:space="preserve">BB-MKT-00729</t>
  </si>
  <si>
    <t xml:space="preserve">S004</t>
  </si>
  <si>
    <t xml:space="preserve">ValueTech Store</t>
  </si>
  <si>
    <t xml:space="preserve">Momentum 4</t>
  </si>
  <si>
    <t xml:space="preserve">BO-5505-BK</t>
  </si>
  <si>
    <t xml:space="preserve">158666065098</t>
  </si>
  <si>
    <t xml:space="preserve">0158666065098</t>
  </si>
  <si>
    <t xml:space="preserve">Bose Momentum 4 Over-ear Both Headphones</t>
  </si>
  <si>
    <t xml:space="preserve">Enjoy crystal-clear audio with the Bose Momentum 4. Perfect for music lovers and remote workers.</t>
  </si>
  <si>
    <t xml:space="preserve">https://images.bestbuy.com/marketplace/bose-momentum-4-main.jpg</t>
  </si>
  <si>
    <t xml:space="preserve">Type: Over-ear | Connectivity: Both | ANC: No | Battery_Hours: 30</t>
  </si>
  <si>
    <t xml:space="preserve">2025-04-23</t>
  </si>
  <si>
    <t xml:space="preserve">BB-MKT-00319</t>
  </si>
  <si>
    <t xml:space="preserve">AP-4795-WH</t>
  </si>
  <si>
    <t xml:space="preserve">0669128469380</t>
  </si>
  <si>
    <t xml:space="preserve">Apple Galaxy Tab S9 10.1" 256GB Tablet</t>
  </si>
  <si>
    <t xml:space="preserve">Storage_GB: 256 | Screen_Size: 10.1" | Cellular: Yes | RAM_GB: 16</t>
  </si>
  <si>
    <t xml:space="preserve">2024-07-01</t>
  </si>
  <si>
    <t xml:space="preserve">MISSING_UPC</t>
  </si>
  <si>
    <t xml:space="preserve">BB-MKT-00247</t>
  </si>
  <si>
    <t xml:space="preserve">Nest Hub Max</t>
  </si>
  <si>
    <t xml:space="preserve">NE-1541-BL</t>
  </si>
  <si>
    <t xml:space="preserve">370830447947</t>
  </si>
  <si>
    <t xml:space="preserve">0370830447947</t>
  </si>
  <si>
    <t xml:space="preserve">Nest Nest Hub Max Smart Home Device</t>
  </si>
  <si>
    <t xml:space="preserve">Transform your home with the Nest Nest Hub Max. Easy setup and seamless smart home integration.</t>
  </si>
  <si>
    <t xml:space="preserve">https://images.bestbuy.com/marketplace/nest-nest-hub-max-main.jpg</t>
  </si>
  <si>
    <t xml:space="preserve">Connectivity: Wi-Fi | Voice_Assistant: Google Assistant | Power: Battery</t>
  </si>
  <si>
    <t xml:space="preserve">2024-11-18</t>
  </si>
  <si>
    <t xml:space="preserve">DUPLICATE_SKU</t>
  </si>
  <si>
    <t xml:space="preserve">BB-MKT-00230</t>
  </si>
  <si>
    <t xml:space="preserve">AirPods Max</t>
  </si>
  <si>
    <t xml:space="preserve">AP-3854-SL</t>
  </si>
  <si>
    <t xml:space="preserve">450680559005</t>
  </si>
  <si>
    <t xml:space="preserve">0450680559005</t>
  </si>
  <si>
    <t xml:space="preserve">Apple AirPods Max Over-ear Wireless Headphones</t>
  </si>
  <si>
    <t xml:space="preserve">Enjoy crystal-clear audio with the Apple AirPods Max. Perfect for music lovers and remote workers.</t>
  </si>
  <si>
    <t xml:space="preserve">https://images.bestbuy.com/marketplace/apple-airpods-max-main.jpg</t>
  </si>
  <si>
    <t xml:space="preserve">Type: Over-ear | Connectivity: Wireless | ANC: No | Battery_Hours: 36</t>
  </si>
  <si>
    <t xml:space="preserve">2025-01-10</t>
  </si>
  <si>
    <t xml:space="preserve">BB-MKT-00185</t>
  </si>
  <si>
    <t xml:space="preserve">Jabra</t>
  </si>
  <si>
    <t xml:space="preserve">WH-1000XM5</t>
  </si>
  <si>
    <t xml:space="preserve">JA-3623-SL</t>
  </si>
  <si>
    <t xml:space="preserve">706339659651</t>
  </si>
  <si>
    <t xml:space="preserve">0706339659651</t>
  </si>
  <si>
    <t xml:space="preserve">Jabra WH-1000XM5 In-ear Wireless Headphones</t>
  </si>
  <si>
    <t xml:space="preserve">Enjoy crystal-clear audio with the Jabra WH-1000XM5. Perfect for music lovers and remote workers.</t>
  </si>
  <si>
    <t xml:space="preserve">https://images.bestbuy.com/marketplace/jabra-wh-1000xm5-main.jpg</t>
  </si>
  <si>
    <t xml:space="preserve">Type: In-ear | Connectivity: Wireless | ANC: Yes | Battery_Hours: 40</t>
  </si>
  <si>
    <t xml:space="preserve">2025-01-24</t>
  </si>
  <si>
    <t xml:space="preserve">BB-MKT-00359</t>
  </si>
  <si>
    <t xml:space="preserve">Sennheiser</t>
  </si>
  <si>
    <t xml:space="preserve">SE-6159-BK</t>
  </si>
  <si>
    <t xml:space="preserve">332881230114</t>
  </si>
  <si>
    <t xml:space="preserve">0332881230114</t>
  </si>
  <si>
    <t xml:space="preserve">Sennheiser WH-1000XM5 In-ear Wireless Headphones</t>
  </si>
  <si>
    <t xml:space="preserve">Enjoy crystal-clear audio with the Sennheiser WH-1000XM5. Perfect for music lovers and remote workers.</t>
  </si>
  <si>
    <t xml:space="preserve">https://images.bestbuy.com/marketplace/sennheiser-wh-1000xm5-main.jpg</t>
  </si>
  <si>
    <t xml:space="preserve">Type: In-ear | Connectivity: Wireless | ANC: No | Battery_Hours: 20</t>
  </si>
  <si>
    <t xml:space="preserve">2024-11-19</t>
  </si>
  <si>
    <t xml:space="preserve">BB-MKT-00513</t>
  </si>
  <si>
    <t xml:space="preserve">SE-1673-WH</t>
  </si>
  <si>
    <t xml:space="preserve">718012404580</t>
  </si>
  <si>
    <t xml:space="preserve">0718012404580</t>
  </si>
  <si>
    <t xml:space="preserve">Sennheiser Momentum 4 On-ear Wired Headphones</t>
  </si>
  <si>
    <t xml:space="preserve">Enjoy crystal-clear audio with the Sennheiser Momentum 4. Perfect for music lovers and remote workers.</t>
  </si>
  <si>
    <t xml:space="preserve">https://images.bestbuy.com/marketplace/sennheiser-momentum-4-main.jpg</t>
  </si>
  <si>
    <t xml:space="preserve">Type: On-ear | Connectivity: Wired | ANC: No | Battery_Hours: 30</t>
  </si>
  <si>
    <t xml:space="preserve">2024-12-21</t>
  </si>
  <si>
    <t xml:space="preserve">2023-11-30</t>
  </si>
  <si>
    <t xml:space="preserve">STALE_LISTING</t>
  </si>
  <si>
    <t xml:space="preserve">BB-MKT-00453</t>
  </si>
  <si>
    <t xml:space="preserve">SO-7108-SL</t>
  </si>
  <si>
    <t xml:space="preserve">168953380650</t>
  </si>
  <si>
    <t xml:space="preserve">0168953380650</t>
  </si>
  <si>
    <t xml:space="preserve">Sony 55" 1080p Full HD Smart TV Bravia XR</t>
  </si>
  <si>
    <t xml:space="preserve">Screen_Size: 55" | Resolution: 1080p Full HD | Smart_TV: No | HDR: Dolby Vision</t>
  </si>
  <si>
    <t xml:space="preserve">2024-09-01</t>
  </si>
  <si>
    <t xml:space="preserve">BB-MKT-00845</t>
  </si>
  <si>
    <t xml:space="preserve">Evolve2 85</t>
  </si>
  <si>
    <t xml:space="preserve">BO-1091-SL</t>
  </si>
  <si>
    <t xml:space="preserve">312712561451</t>
  </si>
  <si>
    <t xml:space="preserve">0312712561451</t>
  </si>
  <si>
    <t xml:space="preserve">Bose Evolve2 85 Over-ear Wireless Headphones</t>
  </si>
  <si>
    <t xml:space="preserve">Enjoy crystal-clear audio with the Bose Evolve2 85. Perfect for music lovers and remote workers.</t>
  </si>
  <si>
    <t xml:space="preserve">https://images.bestbuy.com/marketplace/bose-evolve2-85-main.jpg</t>
  </si>
  <si>
    <t xml:space="preserve">Type: Over-ear | Connectivity: Wireless | ANC: No | Battery_Hours: 30</t>
  </si>
  <si>
    <t xml:space="preserve">2024-11-07</t>
  </si>
  <si>
    <t xml:space="preserve">PRICE_ANOMALY</t>
  </si>
  <si>
    <t xml:space="preserve">BB-MKT-00932</t>
  </si>
  <si>
    <t xml:space="preserve">AP-9370-WH</t>
  </si>
  <si>
    <t xml:space="preserve">534576011084</t>
  </si>
  <si>
    <t xml:space="preserve">0534576011084</t>
  </si>
  <si>
    <t xml:space="preserve">Apple Tour One On-ear Both Headphones</t>
  </si>
  <si>
    <t xml:space="preserve">Type: On-ear | Connectivity: Both | ANC: Yes | Battery_Hours: 40</t>
  </si>
  <si>
    <t xml:space="preserve">2024-07-09</t>
  </si>
  <si>
    <t xml:space="preserve">BB-MKT-00799</t>
  </si>
  <si>
    <t xml:space="preserve">Fire HD 10</t>
  </si>
  <si>
    <t xml:space="preserve">AP-5227-SL</t>
  </si>
  <si>
    <t xml:space="preserve">299460168950</t>
  </si>
  <si>
    <t xml:space="preserve">0299460168950</t>
  </si>
  <si>
    <t xml:space="preserve">Apple Fire HD 10 11" 64GB Tablet</t>
  </si>
  <si>
    <t xml:space="preserve">Stay productive and entertained with the Apple Fire HD 10. Powerful performance in a sleek design.</t>
  </si>
  <si>
    <t xml:space="preserve">https://images.bestbuy.com/marketplace/apple-fire-hd-10-main.jpg</t>
  </si>
  <si>
    <t xml:space="preserve">Storage_GB: 64 | Screen_Size: 11" | Cellular: No | RAM_GB: 4</t>
  </si>
  <si>
    <t xml:space="preserve">2024-09-28</t>
  </si>
  <si>
    <t xml:space="preserve">BB-MKT-00448</t>
  </si>
  <si>
    <t xml:space="preserve">AM-2605-BL</t>
  </si>
  <si>
    <t xml:space="preserve">979651034336</t>
  </si>
  <si>
    <t xml:space="preserve">0979651034336</t>
  </si>
  <si>
    <t xml:space="preserve">Amazon iPad Pro 12.9 12.9" 512GB Tablet</t>
  </si>
  <si>
    <t xml:space="preserve">Stay productive and entertained with the Amazon iPad Pro 12.9. Powerful performance in a sleek design.</t>
  </si>
  <si>
    <t xml:space="preserve">https://images.bestbuy.com/marketplace/amazon-ipad-pro-12.9-main.jpg</t>
  </si>
  <si>
    <t xml:space="preserve">Storage_GB: 512 | Screen_Size: 12.9" | Cellular: No | RAM_GB: 12</t>
  </si>
  <si>
    <t xml:space="preserve">2024-07-07</t>
  </si>
  <si>
    <t xml:space="preserve">BB-MKT-00721</t>
  </si>
  <si>
    <t xml:space="preserve">Philips</t>
  </si>
  <si>
    <t xml:space="preserve">Video Doorbell Pro 2</t>
  </si>
  <si>
    <t xml:space="preserve">PH-3898-WH</t>
  </si>
  <si>
    <t xml:space="preserve">509861786750</t>
  </si>
  <si>
    <t xml:space="preserve">0509861786750</t>
  </si>
  <si>
    <t xml:space="preserve">Philips Video Doorbell Pro 2 Smart Home Device</t>
  </si>
  <si>
    <t xml:space="preserve">Transform your home with the Philips Video Doorbell Pro 2. Easy setup and seamless smart home integration.</t>
  </si>
  <si>
    <t xml:space="preserve">https://images.bestbuy.com/marketplace/philips-video-doorbell-pro-2-main.jpg</t>
  </si>
  <si>
    <t xml:space="preserve">Connectivity: Wi-Fi | Voice_Assistant: Google Assistant | Power: Wired</t>
  </si>
  <si>
    <t xml:space="preserve">2025-02-09</t>
  </si>
  <si>
    <t xml:space="preserve">BB-MKT-00306</t>
  </si>
  <si>
    <t xml:space="preserve">SA-1108-WH</t>
  </si>
  <si>
    <t xml:space="preserve">631685415257</t>
  </si>
  <si>
    <t xml:space="preserve">0631685415257</t>
  </si>
  <si>
    <t xml:space="preserve">Samsung Fire HD 10 11" 512GB Tablet</t>
  </si>
  <si>
    <t xml:space="preserve">Stay productive and entertained with the Samsung Fire HD 10. Powerful performance in a sleek design.</t>
  </si>
  <si>
    <t xml:space="preserve">https://images.bestbuy.com/marketplace/samsung-fire-hd-10-main.jpg</t>
  </si>
  <si>
    <t xml:space="preserve">Storage_GB: 512 | Screen_Size: 11" | Cellular: No | RAM_GB: 12</t>
  </si>
  <si>
    <t xml:space="preserve">BB-MKT-00700</t>
  </si>
  <si>
    <t xml:space="preserve">Google</t>
  </si>
  <si>
    <t xml:space="preserve">Echo Show 10</t>
  </si>
  <si>
    <t xml:space="preserve">GO-5227-SL</t>
  </si>
  <si>
    <t xml:space="preserve">707541577390</t>
  </si>
  <si>
    <t xml:space="preserve">0707541577390</t>
  </si>
  <si>
    <t xml:space="preserve">Google Echo Show 10 Smart Home Device</t>
  </si>
  <si>
    <t xml:space="preserve">Transform your home with the Google Echo Show 10. Easy setup and seamless smart home integration.</t>
  </si>
  <si>
    <t xml:space="preserve">https://images.bestbuy.com/marketplace/google-echo-show-10-main.jpg</t>
  </si>
  <si>
    <t xml:space="preserve">Connectivity: Bluetooth | Voice_Assistant: None | Power: USB-C</t>
  </si>
  <si>
    <t xml:space="preserve">2024-11-17</t>
  </si>
  <si>
    <t xml:space="preserve">2023-12-06</t>
  </si>
  <si>
    <t xml:space="preserve">BB-MKT-00246</t>
  </si>
  <si>
    <t xml:space="preserve">AM-9462-SL</t>
  </si>
  <si>
    <t xml:space="preserve">635758278399</t>
  </si>
  <si>
    <t xml:space="preserve">0635758278399</t>
  </si>
  <si>
    <t xml:space="preserve">Amazon iPad Pro 12.9 12.4" 128GB Tablet</t>
  </si>
  <si>
    <t xml:space="preserve">Storage_GB: 128 | Screen_Size: 12.4" | Cellular: Yes | RAM_GB: 12</t>
  </si>
  <si>
    <t xml:space="preserve">2024-08-03</t>
  </si>
  <si>
    <t xml:space="preserve">2023-11-20</t>
  </si>
  <si>
    <t xml:space="preserve">BB-MKT-00815</t>
  </si>
  <si>
    <t xml:space="preserve">BO-9813-WH</t>
  </si>
  <si>
    <t xml:space="preserve">696530775578</t>
  </si>
  <si>
    <t xml:space="preserve">0696530775578</t>
  </si>
  <si>
    <t xml:space="preserve">Bose WH-1000XM5 Over-ear Both Headphones</t>
  </si>
  <si>
    <t xml:space="preserve">Enjoy crystal-clear audio with the Bose WH-1000XM5. Perfect for music lovers and remote workers.</t>
  </si>
  <si>
    <t xml:space="preserve">https://images.bestbuy.com/marketplace/bose-wh-1000xm5-main.jpg</t>
  </si>
  <si>
    <t xml:space="preserve">Type: Over-ear | Connectivity: Both | ANC: Yes | Battery_Hours: 20</t>
  </si>
  <si>
    <t xml:space="preserve">2025-01-06</t>
  </si>
  <si>
    <t xml:space="preserve">BB-MKT-00969</t>
  </si>
  <si>
    <t xml:space="preserve">TCL</t>
  </si>
  <si>
    <t xml:space="preserve">OLED C3</t>
  </si>
  <si>
    <t xml:space="preserve">TC-4375-BK</t>
  </si>
  <si>
    <t xml:space="preserve">520572158394</t>
  </si>
  <si>
    <t xml:space="preserve">0520572158394</t>
  </si>
  <si>
    <t xml:space="preserve">TCL 75" 1080p Full HD Smart TV OLED C3</t>
  </si>
  <si>
    <t xml:space="preserve">Immerse yourself in stunning visuals with the TCL OLED C3. Features cutting-edge display technology.</t>
  </si>
  <si>
    <t xml:space="preserve">https://images.bestbuy.com/marketplace/tcl-oled-c3-main.jpg</t>
  </si>
  <si>
    <t xml:space="preserve">Screen_Size: 75" | Resolution: 1080p Full HD | Smart_TV: Yes | HDR: HDR10</t>
  </si>
  <si>
    <t xml:space="preserve">BB-MKT-00780</t>
  </si>
  <si>
    <t xml:space="preserve">JBL</t>
  </si>
  <si>
    <t xml:space="preserve">JB-8111-WH</t>
  </si>
  <si>
    <t xml:space="preserve">279281185915</t>
  </si>
  <si>
    <t xml:space="preserve">0279281185915</t>
  </si>
  <si>
    <t xml:space="preserve">JBL Tour One In-ear Wired Headphones</t>
  </si>
  <si>
    <t xml:space="preserve">Enjoy crystal-clear audio with the JBL Tour One. Perfect for music lovers and remote workers.</t>
  </si>
  <si>
    <t xml:space="preserve">https://images.bestbuy.com/marketplace/jbl-tour-one-main.jpg</t>
  </si>
  <si>
    <t xml:space="preserve">Type: In-ear | Connectivity: Wired | ANC: Yes | Battery_Hours: 24</t>
  </si>
  <si>
    <t xml:space="preserve">BB-MKT-01000</t>
  </si>
  <si>
    <t xml:space="preserve">Arlo</t>
  </si>
  <si>
    <t xml:space="preserve">AR-2003-BL</t>
  </si>
  <si>
    <t xml:space="preserve">751444143907</t>
  </si>
  <si>
    <t xml:space="preserve">0751444143907</t>
  </si>
  <si>
    <t xml:space="preserve">Arlo Nest Hub Max Smart Home Device</t>
  </si>
  <si>
    <t xml:space="preserve">Transform your home with the Arlo Nest Hub Max. Easy setup and seamless smart home integration.</t>
  </si>
  <si>
    <t xml:space="preserve">https://images.bestbuy.com/marketplace/arlo-nest-hub-max-main.jpg</t>
  </si>
  <si>
    <t xml:space="preserve">2024-10-10</t>
  </si>
  <si>
    <t xml:space="preserve">BB-MKT-00644</t>
  </si>
  <si>
    <t xml:space="preserve">LE-3144-SL</t>
  </si>
  <si>
    <t xml:space="preserve">204770454921</t>
  </si>
  <si>
    <t xml:space="preserve">0204770454921</t>
  </si>
  <si>
    <t xml:space="preserve">Lenovo iPad Pro 12.9 11" 256GB Tablet</t>
  </si>
  <si>
    <t xml:space="preserve">Storage_GB: 256 | Screen_Size: 11" | Cellular: Yes | RAM_GB: 16</t>
  </si>
  <si>
    <t xml:space="preserve">2024-07-28</t>
  </si>
  <si>
    <t xml:space="preserve">CATEGORY_MISMATCH</t>
  </si>
  <si>
    <t xml:space="preserve">BB-MKT-00572</t>
  </si>
  <si>
    <t xml:space="preserve">JB-6922-BK</t>
  </si>
  <si>
    <t xml:space="preserve">643169854042</t>
  </si>
  <si>
    <t xml:space="preserve">0643169854042</t>
  </si>
  <si>
    <t xml:space="preserve">JBL Studio Pro On-ear Wired Headphones</t>
  </si>
  <si>
    <t xml:space="preserve">Enjoy crystal-clear audio with the JBL Studio Pro. Perfect for music lovers and remote workers.</t>
  </si>
  <si>
    <t xml:space="preserve">https://images.bestbuy.com/marketplace/jbl-studio-pro-main.jpg</t>
  </si>
  <si>
    <t xml:space="preserve">Type: On-ear | Connectivity: Wired | ANC: Yes | Battery_Hours: 40</t>
  </si>
  <si>
    <t xml:space="preserve">2025-02-01</t>
  </si>
  <si>
    <t xml:space="preserve">2023-11-27</t>
  </si>
  <si>
    <t xml:space="preserve">BB-MKT-00038</t>
  </si>
  <si>
    <t xml:space="preserve">HP</t>
  </si>
  <si>
    <t xml:space="preserve">HP-1096-SL</t>
  </si>
  <si>
    <t xml:space="preserve">625619734196</t>
  </si>
  <si>
    <t xml:space="preserve">0625619734196</t>
  </si>
  <si>
    <t xml:space="preserve">HP Katana 15 13.3" Laptop - 64GB RAM 512GB SSD</t>
  </si>
  <si>
    <t xml:space="preserve">Experience premium performance with the HP Katana 15. Designed for professionals and students alike.</t>
  </si>
  <si>
    <t xml:space="preserve">https://images.bestbuy.com/marketplace/hp-katana-15-main.jpg</t>
  </si>
  <si>
    <t xml:space="preserve">RAM_GB: 64 | Storage_GB: 512 | Screen_Size: 13.3" | Processor: Apple M2</t>
  </si>
  <si>
    <t xml:space="preserve">2025-01-31</t>
  </si>
  <si>
    <t xml:space="preserve">BB-MKT-00522</t>
  </si>
  <si>
    <t xml:space="preserve">SA-6882-BK</t>
  </si>
  <si>
    <t xml:space="preserve">244325991971</t>
  </si>
  <si>
    <t xml:space="preserve">0244325991971</t>
  </si>
  <si>
    <t xml:space="preserve">Samsung 65" 8K Smart TV Bravia XR</t>
  </si>
  <si>
    <t xml:space="preserve">Immerse yourself in stunning visuals with the Samsung Bravia XR. Features cutting-edge display technology.</t>
  </si>
  <si>
    <t xml:space="preserve">https://images.bestbuy.com/marketplace/samsung-bravia-xr-main.jpg</t>
  </si>
  <si>
    <t xml:space="preserve">Screen_Size: 65" | Resolution: 8K | Smart_TV: No | HDR: HDR10+</t>
  </si>
  <si>
    <t xml:space="preserve">2025-02-14</t>
  </si>
  <si>
    <t xml:space="preserve">BB-MKT-00344</t>
  </si>
  <si>
    <t xml:space="preserve">JB-7429-BK</t>
  </si>
  <si>
    <t xml:space="preserve">392298458992</t>
  </si>
  <si>
    <t xml:space="preserve">0392298458992</t>
  </si>
  <si>
    <t xml:space="preserve">JBL Evolve2 85 Over-ear Wired Headphones</t>
  </si>
  <si>
    <t xml:space="preserve">Enjoy crystal-clear audio with the JBL Evolve2 85. Perfect for music lovers and remote workers.</t>
  </si>
  <si>
    <t xml:space="preserve">https://images.bestbuy.com/marketplace/jbl-evolve2-85-main.jpg</t>
  </si>
  <si>
    <t xml:space="preserve">Type: Over-ear | Connectivity: Wired | ANC: Yes | Battery_Hours: 24</t>
  </si>
  <si>
    <t xml:space="preserve">2024-11-06</t>
  </si>
  <si>
    <t xml:space="preserve">BB-MKT-00239</t>
  </si>
  <si>
    <t xml:space="preserve">AM-9871-BL</t>
  </si>
  <si>
    <t xml:space="preserve">986239835712</t>
  </si>
  <si>
    <t xml:space="preserve">0986239835712</t>
  </si>
  <si>
    <t xml:space="preserve">Amazon Nest Hub Max Smart Home Device</t>
  </si>
  <si>
    <t xml:space="preserve">Transform your home with the Amazon Nest Hub Max. Easy setup and seamless smart home integration.</t>
  </si>
  <si>
    <t xml:space="preserve">https://images.bestbuy.com/marketplace/amazon-nest-hub-max-main.jpg</t>
  </si>
  <si>
    <t xml:space="preserve">Connectivity: Wi-Fi | Voice_Assistant: Alexa | Power: USB-C</t>
  </si>
  <si>
    <t xml:space="preserve">2024-08-01</t>
  </si>
  <si>
    <t xml:space="preserve">2023-12-10</t>
  </si>
  <si>
    <t xml:space="preserve">BB-MKT-00335</t>
  </si>
  <si>
    <t xml:space="preserve">Microsoft</t>
  </si>
  <si>
    <t xml:space="preserve">MI-3048-WH</t>
  </si>
  <si>
    <t xml:space="preserve">125143648433</t>
  </si>
  <si>
    <t xml:space="preserve">0125143648433</t>
  </si>
  <si>
    <t xml:space="preserve">Microsoft Fire HD 10 12.4" 512GB Tablet</t>
  </si>
  <si>
    <t xml:space="preserve">Stay productive and entertained with the Microsoft Fire HD 10. Powerful performance in a sleek design.</t>
  </si>
  <si>
    <t xml:space="preserve">https://images.bestbuy.com/marketplace/microsoft-fire-hd-10-main.jpg</t>
  </si>
  <si>
    <t xml:space="preserve">Storage_GB: 512 | Screen_Size: 12.4" | Cellular: Yes | RAM_GB: 6</t>
  </si>
  <si>
    <t xml:space="preserve">2024-08-10</t>
  </si>
  <si>
    <t xml:space="preserve">BB-MKT-00781</t>
  </si>
  <si>
    <t xml:space="preserve">MSI</t>
  </si>
  <si>
    <t xml:space="preserve">Pavilion 15</t>
  </si>
  <si>
    <t xml:space="preserve">MS-4036-BL</t>
  </si>
  <si>
    <t xml:space="preserve">473971242576</t>
  </si>
  <si>
    <t xml:space="preserve">0473971242576</t>
  </si>
  <si>
    <t xml:space="preserve">MSI Pavilion 15 16" Laptop - 8GB RAM 512GB SSD</t>
  </si>
  <si>
    <t xml:space="preserve">Experience premium performance with the MSI Pavilion 15. Designed for professionals and students alike.</t>
  </si>
  <si>
    <t xml:space="preserve">https://images.bestbuy.com/marketplace/msi-pavilion-15-main.jpg</t>
  </si>
  <si>
    <t xml:space="preserve">RAM_GB: 8 | Storage_GB: 512 | Screen_Size: 16" | Processor: Apple M2</t>
  </si>
  <si>
    <t xml:space="preserve">2025-02-28</t>
  </si>
  <si>
    <t xml:space="preserve">BB-MKT-00171</t>
  </si>
  <si>
    <t xml:space="preserve">SO-2260-SL</t>
  </si>
  <si>
    <t xml:space="preserve">537317445811</t>
  </si>
  <si>
    <t xml:space="preserve">0537317445811</t>
  </si>
  <si>
    <t xml:space="preserve">Sony 50" 1080p Full HD Smart TV QLED 4K</t>
  </si>
  <si>
    <t xml:space="preserve">Immerse yourself in stunning visuals with the Sony QLED 4K. Features cutting-edge display technology.</t>
  </si>
  <si>
    <t xml:space="preserve">https://images.bestbuy.com/marketplace/sony-qled-4k-main.jpg</t>
  </si>
  <si>
    <t xml:space="preserve">Screen_Size: 50" | Resolution: 1080p Full HD | Smart_TV: Yes | HDR: HDR10+</t>
  </si>
  <si>
    <t xml:space="preserve">2025-01-16</t>
  </si>
  <si>
    <t xml:space="preserve">BB-MKT-00740</t>
  </si>
  <si>
    <t xml:space="preserve">5-Series 4K</t>
  </si>
  <si>
    <t xml:space="preserve">SA-8418-WH</t>
  </si>
  <si>
    <t xml:space="preserve">233656199806</t>
  </si>
  <si>
    <t xml:space="preserve">0233656199806</t>
  </si>
  <si>
    <t xml:space="preserve">Samsung 65" 4K UHD Smart TV 5-Series 4K</t>
  </si>
  <si>
    <t xml:space="preserve">Immerse yourself in stunning visuals with the Samsung 5-Series 4K. Features cutting-edge display technology.</t>
  </si>
  <si>
    <t xml:space="preserve">https://images.bestbuy.com/marketplace/samsung-5-series-4k-main.jpg</t>
  </si>
  <si>
    <t xml:space="preserve">Screen_Size: 65" | Resolution: 4K UHD | Smart_TV: No | HDR: Dolby Vision</t>
  </si>
  <si>
    <t xml:space="preserve">2025-04-22</t>
  </si>
  <si>
    <t xml:space="preserve">BB-MKT-00207</t>
  </si>
  <si>
    <t xml:space="preserve">AP-4329-WH</t>
  </si>
  <si>
    <t xml:space="preserve">658685143493</t>
  </si>
  <si>
    <t xml:space="preserve">0841696827829</t>
  </si>
  <si>
    <t xml:space="preserve">Apple Aspire 5 13.3" Laptop - 16GB RAM 512GB SSD</t>
  </si>
  <si>
    <t xml:space="preserve">Experience premium performance with the Apple Aspire 5. Designed for professionals and students alike.</t>
  </si>
  <si>
    <t xml:space="preserve">https://images.bestbuy.com/marketplace/apple-aspire-5-main.jpg</t>
  </si>
  <si>
    <t xml:space="preserve">RAM_GB: 16 | Storage_GB: 512 | Screen_Size: 13.3" | Processor: AMD Ryzen 5</t>
  </si>
  <si>
    <t xml:space="preserve">BB-MKT-00296</t>
  </si>
  <si>
    <t xml:space="preserve">WY-6633-WH</t>
  </si>
  <si>
    <t xml:space="preserve">914962728298</t>
  </si>
  <si>
    <t xml:space="preserve">0914962728298</t>
  </si>
  <si>
    <t xml:space="preserve">2024-09-11</t>
  </si>
  <si>
    <t xml:space="preserve">BB-MKT-00783</t>
  </si>
  <si>
    <t xml:space="preserve">SA-7396-SL</t>
  </si>
  <si>
    <t xml:space="preserve">378434777669</t>
  </si>
  <si>
    <t xml:space="preserve">0378434777669</t>
  </si>
  <si>
    <t xml:space="preserve">Samsung 75" 8K Smart TV U8K</t>
  </si>
  <si>
    <t xml:space="preserve">Screen_Size: 75" | Resolution: 8K | Smart_TV: Yes | HDR: HDR10</t>
  </si>
  <si>
    <t xml:space="preserve">BB-MKT-00825</t>
  </si>
  <si>
    <t xml:space="preserve">MacBook Air</t>
  </si>
  <si>
    <t xml:space="preserve">MS-6932-WH</t>
  </si>
  <si>
    <t xml:space="preserve">329860847179</t>
  </si>
  <si>
    <t xml:space="preserve">0329860847179</t>
  </si>
  <si>
    <t xml:space="preserve">MSI MacBook Air 13.3" Laptop - 32GB RAM 512GB SSD</t>
  </si>
  <si>
    <t xml:space="preserve">Experience premium performance with the MSI MacBook Air. Designed for professionals and students alike.</t>
  </si>
  <si>
    <t xml:space="preserve">https://images.bestbuy.com/marketplace/msi-macbook-air-main.jpg</t>
  </si>
  <si>
    <t xml:space="preserve">RAM_GB: 32 | Storage_GB: 512 | Screen_Size: 13.3" | Processor: Intel i5</t>
  </si>
  <si>
    <t xml:space="preserve">2024-10-26</t>
  </si>
  <si>
    <t xml:space="preserve">BB-MKT-00913</t>
  </si>
  <si>
    <t xml:space="preserve">AR-3493-SL</t>
  </si>
  <si>
    <t xml:space="preserve">595921470446</t>
  </si>
  <si>
    <t xml:space="preserve">0595921470446</t>
  </si>
  <si>
    <t xml:space="preserve">Connectivity: Wi-Fi | Voice_Assistant: None | Power: Wired</t>
  </si>
  <si>
    <t xml:space="preserve">2025-02-18</t>
  </si>
  <si>
    <t xml:space="preserve">BB-MKT-00788</t>
  </si>
  <si>
    <t xml:space="preserve">LE-7024-SL</t>
  </si>
  <si>
    <t xml:space="preserve">778163081324</t>
  </si>
  <si>
    <t xml:space="preserve">0778163081324</t>
  </si>
  <si>
    <t xml:space="preserve">Lenovo Fire HD 10 8" 128GB Tablet</t>
  </si>
  <si>
    <t xml:space="preserve">Stay productive and entertained with the Lenovo Fire HD 10. Powerful performance in a sleek design.</t>
  </si>
  <si>
    <t xml:space="preserve">https://images.bestbuy.com/marketplace/lenovo-fire-hd-10-main.jpg</t>
  </si>
  <si>
    <t xml:space="preserve">Storage_GB: 128 | Screen_Size: 8" | Cellular: No | RAM_GB: 4</t>
  </si>
  <si>
    <t xml:space="preserve">2024-10-30</t>
  </si>
  <si>
    <t xml:space="preserve">BB-MKT-00226</t>
  </si>
  <si>
    <t xml:space="preserve">Vizio</t>
  </si>
  <si>
    <t xml:space="preserve">VI-7363-SL</t>
  </si>
  <si>
    <t xml:space="preserve">980393840836</t>
  </si>
  <si>
    <t xml:space="preserve">0980393840836</t>
  </si>
  <si>
    <t xml:space="preserve">Vizio 55" 1080p Full HD Smart TV OLED C3</t>
  </si>
  <si>
    <t xml:space="preserve">Immerse yourself in stunning visuals with the Vizio OLED C3. Features cutting-edge display technology.</t>
  </si>
  <si>
    <t xml:space="preserve">https://images.bestbuy.com/marketplace/vizio-oled-c3-main.jpg</t>
  </si>
  <si>
    <t xml:space="preserve">Screen_Size: 55" | Resolution: 1080p Full HD | Smart_TV: Yes | HDR: HDR10</t>
  </si>
  <si>
    <t xml:space="preserve">2024-09-29</t>
  </si>
  <si>
    <t xml:space="preserve">BB-MKT-00828</t>
  </si>
  <si>
    <t xml:space="preserve">DE-7408-WH</t>
  </si>
  <si>
    <t xml:space="preserve">203731395415</t>
  </si>
  <si>
    <t xml:space="preserve">0203731395415</t>
  </si>
  <si>
    <t xml:space="preserve">Dell Aspire 5 13.3" Laptop - 64GB RAM 256GB SSD</t>
  </si>
  <si>
    <t xml:space="preserve">Experience premium performance with the Dell Aspire 5. Designed for professionals and students alike.</t>
  </si>
  <si>
    <t xml:space="preserve">https://images.bestbuy.com/marketplace/dell-aspire-5-main.jpg</t>
  </si>
  <si>
    <t xml:space="preserve">RAM_GB: 64 | Storage_GB: 256 | Screen_Size: 13.3" | Processor: Apple M2</t>
  </si>
  <si>
    <t xml:space="preserve">2024-12-13</t>
  </si>
  <si>
    <t xml:space="preserve">BB-MKT-00871</t>
  </si>
  <si>
    <t xml:space="preserve">SA-5500-SL</t>
  </si>
  <si>
    <t xml:space="preserve">574565755436</t>
  </si>
  <si>
    <t xml:space="preserve">0574565755436</t>
  </si>
  <si>
    <t xml:space="preserve">Samsung 43" 4K UHD Smart TV U8K</t>
  </si>
  <si>
    <t xml:space="preserve">Screen_Size: 43" | Resolution: 4K UHD | Smart_TV: Yes | HDR: HDR10+</t>
  </si>
  <si>
    <t xml:space="preserve">2025-03-26</t>
  </si>
  <si>
    <t xml:space="preserve">BB-MKT-00643</t>
  </si>
  <si>
    <t xml:space="preserve">MS-3608-BK</t>
  </si>
  <si>
    <t xml:space="preserve">997581118439</t>
  </si>
  <si>
    <t xml:space="preserve">0763338558088</t>
  </si>
  <si>
    <t xml:space="preserve">MSI Katana 15 16" Laptop - 16GB RAM 512GB SSD</t>
  </si>
  <si>
    <t xml:space="preserve">Experience premium performance with the MSI Katana 15. Designed for professionals and students alike.</t>
  </si>
  <si>
    <t xml:space="preserve">https://images.bestbuy.com/marketplace/msi-katana-15-main.jpg</t>
  </si>
  <si>
    <t xml:space="preserve">RAM_GB: 16 | Storage_GB: 512 | Screen_Size: 16" | Processor: AMD Ryzen 5</t>
  </si>
  <si>
    <t xml:space="preserve">BB-MKT-00234</t>
  </si>
  <si>
    <t xml:space="preserve">TC-6600-WH</t>
  </si>
  <si>
    <t xml:space="preserve">0177759201989</t>
  </si>
  <si>
    <t xml:space="preserve">TCL 43" 8K Smart TV QLED 4K</t>
  </si>
  <si>
    <t xml:space="preserve">Immerse yourself in stunning visuals with the TCL QLED 4K. Features cutting-edge display technology.</t>
  </si>
  <si>
    <t xml:space="preserve">https://images.bestbuy.com/marketplace/tcl-qled-4k-main.jpg</t>
  </si>
  <si>
    <t xml:space="preserve">Screen_Size: 43" | Resolution: 8K | Smart_TV: Yes | HDR: Dolby Vision</t>
  </si>
  <si>
    <t xml:space="preserve">2025-04-07</t>
  </si>
  <si>
    <t xml:space="preserve">BB-MKT-00410</t>
  </si>
  <si>
    <t xml:space="preserve">SE-1133-BL</t>
  </si>
  <si>
    <t xml:space="preserve">198742540483</t>
  </si>
  <si>
    <t xml:space="preserve">0198742540483</t>
  </si>
  <si>
    <t xml:space="preserve">Sennheiser Studio Pro In-ear Wired Headphones</t>
  </si>
  <si>
    <t xml:space="preserve">Enjoy crystal-clear audio with the Sennheiser Studio Pro. Perfect for music lovers and remote workers.</t>
  </si>
  <si>
    <t xml:space="preserve">https://images.bestbuy.com/marketplace/sennheiser-studio-pro-main.jpg</t>
  </si>
  <si>
    <t xml:space="preserve">Type: In-ear | Connectivity: Wired | ANC: No | Battery_Hours: 30</t>
  </si>
  <si>
    <t xml:space="preserve">BB-MKT-00640</t>
  </si>
  <si>
    <t xml:space="preserve">SO-6980-WH</t>
  </si>
  <si>
    <t xml:space="preserve">947481413490</t>
  </si>
  <si>
    <t xml:space="preserve">0947481413490</t>
  </si>
  <si>
    <t xml:space="preserve">Sony Momentum 4 In-ear Wireless Headphones</t>
  </si>
  <si>
    <t xml:space="preserve">Enjoy crystal-clear audio with the Sony Momentum 4. Perfect for music lovers and remote workers.</t>
  </si>
  <si>
    <t xml:space="preserve">https://images.bestbuy.com/marketplace/sony-momentum-4-main.jpg</t>
  </si>
  <si>
    <t xml:space="preserve">Type: In-ear | Connectivity: Wireless | ANC: No | Battery_Hours: 36</t>
  </si>
  <si>
    <t xml:space="preserve">2024-08-24</t>
  </si>
  <si>
    <t xml:space="preserve">BB-MKT-00431</t>
  </si>
  <si>
    <t xml:space="preserve">WY-2485-SL</t>
  </si>
  <si>
    <t xml:space="preserve">791726793957</t>
  </si>
  <si>
    <t xml:space="preserve">0791726793957</t>
  </si>
  <si>
    <t xml:space="preserve">Wyze Video Doorbell Pro 2 Smart Home Device</t>
  </si>
  <si>
    <t xml:space="preserve">Transform your home with the Wyze Video Doorbell Pro 2. Easy setup and seamless smart home integration.</t>
  </si>
  <si>
    <t xml:space="preserve">https://images.bestbuy.com/marketplace/wyze-video-doorbell-pro-2-main.jpg</t>
  </si>
  <si>
    <t xml:space="preserve">Connectivity: Z-Wave | Voice_Assistant: Apple HomeKit | Power: Wired</t>
  </si>
  <si>
    <t xml:space="preserve">2025-02-21</t>
  </si>
  <si>
    <t xml:space="preserve">BB-MKT-00759</t>
  </si>
  <si>
    <t xml:space="preserve">JA-6715-SL</t>
  </si>
  <si>
    <t xml:space="preserve">846939168337</t>
  </si>
  <si>
    <t xml:space="preserve">0846939168337</t>
  </si>
  <si>
    <t xml:space="preserve">Jabra Evolve2 85 In-ear Wired Headphones</t>
  </si>
  <si>
    <t xml:space="preserve">Enjoy crystal-clear audio with the Jabra Evolve2 85. Perfect for music lovers and remote workers.</t>
  </si>
  <si>
    <t xml:space="preserve">https://images.bestbuy.com/marketplace/jabra-evolve2-85-main.jpg</t>
  </si>
  <si>
    <t xml:space="preserve">Type: In-ear | Connectivity: Wired | ANC: Yes | Battery_Hours: 30</t>
  </si>
  <si>
    <t xml:space="preserve">2024-12-06</t>
  </si>
  <si>
    <t xml:space="preserve">BB-MKT-00148</t>
  </si>
  <si>
    <t xml:space="preserve">JB-1187-SL</t>
  </si>
  <si>
    <t xml:space="preserve">897070599637</t>
  </si>
  <si>
    <t xml:space="preserve">0897070599637</t>
  </si>
  <si>
    <t xml:space="preserve">JBL QuietComfort 45 On-ear Wired Headphones</t>
  </si>
  <si>
    <t xml:space="preserve">Enjoy crystal-clear audio with the JBL QuietComfort 45. Perfect for music lovers and remote workers.</t>
  </si>
  <si>
    <t xml:space="preserve">https://images.bestbuy.com/marketplace/jbl-quietcomfort-45-main.jpg</t>
  </si>
  <si>
    <t xml:space="preserve">2024-08-30</t>
  </si>
  <si>
    <t xml:space="preserve">BB-MKT-00108</t>
  </si>
  <si>
    <t xml:space="preserve">SO-4637-BL</t>
  </si>
  <si>
    <t xml:space="preserve">200663178163</t>
  </si>
  <si>
    <t xml:space="preserve">0200663178163</t>
  </si>
  <si>
    <t xml:space="preserve">Sony Studio Pro Over-ear Wired Headphones</t>
  </si>
  <si>
    <t xml:space="preserve">Enjoy crystal-clear audio with the Sony Studio Pro. Perfect for music lovers and remote workers.</t>
  </si>
  <si>
    <t xml:space="preserve">https://images.bestbuy.com/marketplace/sony-studio-pro-main.jpg</t>
  </si>
  <si>
    <t xml:space="preserve">Type: Over-ear | Connectivity: Wired | ANC: No | Battery_Hours: 40</t>
  </si>
  <si>
    <t xml:space="preserve">BB-MKT-00496</t>
  </si>
  <si>
    <t xml:space="preserve">GO-5919-BL</t>
  </si>
  <si>
    <t xml:space="preserve">920985028652</t>
  </si>
  <si>
    <t xml:space="preserve">0920985028652</t>
  </si>
  <si>
    <t xml:space="preserve">Google Video Doorbell Pro 2 Smart Home Device</t>
  </si>
  <si>
    <t xml:space="preserve">Transform your home with the Google Video Doorbell Pro 2. Easy setup and seamless smart home integration.</t>
  </si>
  <si>
    <t xml:space="preserve">https://images.bestbuy.com/marketplace/google-video-doorbell-pro-2-main.jpg</t>
  </si>
  <si>
    <t xml:space="preserve">Connectivity: Bluetooth | Voice_Assistant: Google Assistant | Power: Battery</t>
  </si>
  <si>
    <t xml:space="preserve">2024-08-02</t>
  </si>
  <si>
    <t xml:space="preserve">BB-MKT-00118</t>
  </si>
  <si>
    <t xml:space="preserve">Tab P12 Pro</t>
  </si>
  <si>
    <t xml:space="preserve">AM-6776-BL</t>
  </si>
  <si>
    <t xml:space="preserve">899045831074</t>
  </si>
  <si>
    <t xml:space="preserve">0899045831074</t>
  </si>
  <si>
    <t xml:space="preserve">Amazon Tab P12 Pro 12.4" 128GB Tablet</t>
  </si>
  <si>
    <t xml:space="preserve">Stay productive and entertained with the Amazon Tab P12 Pro. Powerful performance in a sleek design.</t>
  </si>
  <si>
    <t xml:space="preserve">https://images.bestbuy.com/marketplace/amazon-tab-p12-pro-main.jpg</t>
  </si>
  <si>
    <t xml:space="preserve">Storage_GB: 128 | Screen_Size: 12.4" | Cellular: No | RAM_GB: 12</t>
  </si>
  <si>
    <t xml:space="preserve">2024-07-30</t>
  </si>
  <si>
    <t xml:space="preserve">BB-MKT-00330</t>
  </si>
  <si>
    <t xml:space="preserve">SA-4863-BL</t>
  </si>
  <si>
    <t xml:space="preserve">399448622255</t>
  </si>
  <si>
    <t xml:space="preserve">0399448622255</t>
  </si>
  <si>
    <t xml:space="preserve">Samsung Fire HD 10 12.9" 128GB Tablet</t>
  </si>
  <si>
    <t xml:space="preserve">Storage_GB: 128 | Screen_Size: 12.9" | Cellular: Yes | RAM_GB: 4</t>
  </si>
  <si>
    <t xml:space="preserve">2024-09-15</t>
  </si>
  <si>
    <t xml:space="preserve">BB-MKT-00618</t>
  </si>
  <si>
    <t xml:space="preserve">DE-2503-WH</t>
  </si>
  <si>
    <t xml:space="preserve">238316071754</t>
  </si>
  <si>
    <t xml:space="preserve">0238316071754</t>
  </si>
  <si>
    <t xml:space="preserve">Dell Katana 15 14" Laptop - 64GB RAM 256GB SSD</t>
  </si>
  <si>
    <t xml:space="preserve">Experience premium performance with the Dell Katana 15. Designed for professionals and students alike.</t>
  </si>
  <si>
    <t xml:space="preserve">https://images.bestbuy.com/marketplace/dell-katana-15-main.jpg</t>
  </si>
  <si>
    <t xml:space="preserve">RAM_GB: 64 | Storage_GB: 256 | Screen_Size: 14" | Processor: Intel i5</t>
  </si>
  <si>
    <t xml:space="preserve">2024-10-13</t>
  </si>
  <si>
    <t xml:space="preserve">BB-MKT-00899</t>
  </si>
  <si>
    <t xml:space="preserve">AP-7671-SL</t>
  </si>
  <si>
    <t xml:space="preserve">930009936596</t>
  </si>
  <si>
    <t xml:space="preserve">0930009936596</t>
  </si>
  <si>
    <t xml:space="preserve">Apple VivoBook 16 16" Laptop - 16GB RAM 1024GB SSD</t>
  </si>
  <si>
    <t xml:space="preserve">Experience premium performance with the Apple VivoBook 16. Designed for professionals and students alike.</t>
  </si>
  <si>
    <t xml:space="preserve">https://images.bestbuy.com/marketplace/apple-vivobook-16-main.jpg</t>
  </si>
  <si>
    <t xml:space="preserve">RAM_GB: 16 | Storage_GB: 1024 | Screen_Size: 16" | Processor: Intel i5</t>
  </si>
  <si>
    <t xml:space="preserve">2025-03-05</t>
  </si>
  <si>
    <t xml:space="preserve">BB-MKT-00550</t>
  </si>
  <si>
    <t xml:space="preserve">Cam OG</t>
  </si>
  <si>
    <t xml:space="preserve">WY-7937-BL</t>
  </si>
  <si>
    <t xml:space="preserve">797927148904</t>
  </si>
  <si>
    <t xml:space="preserve">0230535362395</t>
  </si>
  <si>
    <t xml:space="preserve">Wyze Cam OG Smart Home Device</t>
  </si>
  <si>
    <t xml:space="preserve">Transform your home with the Wyze Cam OG. Easy setup and seamless smart home integration.</t>
  </si>
  <si>
    <t xml:space="preserve">https://images.bestbuy.com/marketplace/wyze-cam-og-main.jpg</t>
  </si>
  <si>
    <t xml:space="preserve">2025-01-30</t>
  </si>
  <si>
    <t xml:space="preserve">BB-MKT-00674</t>
  </si>
  <si>
    <t xml:space="preserve">XPS 15</t>
  </si>
  <si>
    <t xml:space="preserve">LE-5046-SL</t>
  </si>
  <si>
    <t xml:space="preserve">562617737537</t>
  </si>
  <si>
    <t xml:space="preserve">0562617737537</t>
  </si>
  <si>
    <t xml:space="preserve">Lenovo XPS 15 15.6" Laptop - 32GB RAM 512GB SSD</t>
  </si>
  <si>
    <t xml:space="preserve">Experience premium performance with the Lenovo XPS 15. Designed for professionals and students alike.</t>
  </si>
  <si>
    <t xml:space="preserve">https://images.bestbuy.com/marketplace/lenovo-xps-15-main.jpg</t>
  </si>
  <si>
    <t xml:space="preserve">RAM_GB: 32 | Storage_GB: 512 | Screen_Size: 15.6" | Processor: AMD Ryzen 5</t>
  </si>
  <si>
    <t xml:space="preserve">2024-07-27</t>
  </si>
  <si>
    <t xml:space="preserve">BB-MKT-00866</t>
  </si>
  <si>
    <t xml:space="preserve">V-Series</t>
  </si>
  <si>
    <t xml:space="preserve">TC-2661-BL</t>
  </si>
  <si>
    <t xml:space="preserve">853106567568</t>
  </si>
  <si>
    <t xml:space="preserve">0853106567568</t>
  </si>
  <si>
    <t xml:space="preserve">TCL 75" 4K UHD Smart TV V-Series</t>
  </si>
  <si>
    <t xml:space="preserve">Immerse yourself in stunning visuals with the TCL V-Series. Features cutting-edge display technology.</t>
  </si>
  <si>
    <t xml:space="preserve">https://images.bestbuy.com/marketplace/tcl-v-series-main.jpg</t>
  </si>
  <si>
    <t xml:space="preserve">Screen_Size: 75" | Resolution: 4K UHD | Smart_TV: No | HDR: HDR10</t>
  </si>
  <si>
    <t xml:space="preserve">2024-09-04</t>
  </si>
  <si>
    <t xml:space="preserve">BB-MKT-00103</t>
  </si>
  <si>
    <t xml:space="preserve">SA-9624-BK</t>
  </si>
  <si>
    <t xml:space="preserve">240931555521</t>
  </si>
  <si>
    <t xml:space="preserve">0240931555521</t>
  </si>
  <si>
    <t xml:space="preserve">Samsung Fire HD 10 11" 64GB Tablet</t>
  </si>
  <si>
    <t xml:space="preserve">Storage_GB: 64 | Screen_Size: 11" | Cellular: No | RAM_GB: 8</t>
  </si>
  <si>
    <t xml:space="preserve">2024-07-10</t>
  </si>
  <si>
    <t xml:space="preserve">BB-MKT-00458</t>
  </si>
  <si>
    <t xml:space="preserve">IdeaPad 5</t>
  </si>
  <si>
    <t xml:space="preserve">HP-9770-SL</t>
  </si>
  <si>
    <t xml:space="preserve">280062774333</t>
  </si>
  <si>
    <t xml:space="preserve">0280062774333</t>
  </si>
  <si>
    <t xml:space="preserve">HP IdeaPad 5 14" Laptop - 32GB RAM 512GB SSD</t>
  </si>
  <si>
    <t xml:space="preserve">Experience premium performance with the HP IdeaPad 5. Designed for professionals and students alike.</t>
  </si>
  <si>
    <t xml:space="preserve">https://images.bestbuy.com/marketplace/hp-ideapad-5-main.jpg</t>
  </si>
  <si>
    <t xml:space="preserve">RAM_GB: 32 | Storage_GB: 512 | Screen_Size: 14" | Processor: Apple M2</t>
  </si>
  <si>
    <t xml:space="preserve">2024-09-17</t>
  </si>
  <si>
    <t xml:space="preserve">BB-MKT-00581</t>
  </si>
  <si>
    <t xml:space="preserve">HI-4297-BK</t>
  </si>
  <si>
    <t xml:space="preserve">323237413951</t>
  </si>
  <si>
    <t xml:space="preserve">0323237413951</t>
  </si>
  <si>
    <t xml:space="preserve">Hisense 43" 8K Smart TV U8K - EXTREMELY DETAILED SPEC DESCRIPTION THAT GOES WAY BEYOND THE ALLOWED CHARACTER LIMIT FOR BEST BUY MARKETPLACE LISTINGS</t>
  </si>
  <si>
    <t xml:space="preserve">Immerse yourself in stunning visuals with the Hisense U8K. Features cutting-edge display technology.</t>
  </si>
  <si>
    <t xml:space="preserve">https://images.bestbuy.com/marketplace/hisense-u8k-main.jpg</t>
  </si>
  <si>
    <t xml:space="preserve">Screen_Size: 43" | Resolution: 8K | Smart_TV: No | HDR: HDR10</t>
  </si>
  <si>
    <t xml:space="preserve">2025-02-25</t>
  </si>
  <si>
    <t xml:space="preserve">TITLE_TOO_LONG</t>
  </si>
  <si>
    <t xml:space="preserve">BB-MKT-00561</t>
  </si>
  <si>
    <t xml:space="preserve">LG</t>
  </si>
  <si>
    <t xml:space="preserve">LG-7308-BK</t>
  </si>
  <si>
    <t xml:space="preserve">657282271538</t>
  </si>
  <si>
    <t xml:space="preserve">0657282271538</t>
  </si>
  <si>
    <t xml:space="preserve">LG 75" 4K UHD Smart TV U8K</t>
  </si>
  <si>
    <t xml:space="preserve">Immerse yourself in stunning visuals with the LG U8K. Features cutting-edge display technology.</t>
  </si>
  <si>
    <t xml:space="preserve">https://images.bestbuy.com/marketplace/lg-u8k-main.jpg</t>
  </si>
  <si>
    <t xml:space="preserve">Screen_Size: 75" | Resolution: 4K UHD | Smart_TV: No | HDR: HDR10+</t>
  </si>
  <si>
    <t xml:space="preserve">2025-01-25</t>
  </si>
  <si>
    <t xml:space="preserve">BB-MKT-00450</t>
  </si>
  <si>
    <t xml:space="preserve">LE-1022-BK</t>
  </si>
  <si>
    <t xml:space="preserve">798807938281</t>
  </si>
  <si>
    <t xml:space="preserve">0798807938281</t>
  </si>
  <si>
    <t xml:space="preserve">Lenovo Galaxy Tab S9 10.1" 512GB Tablet</t>
  </si>
  <si>
    <t xml:space="preserve">Stay productive and entertained with the Lenovo Galaxy Tab S9. Powerful performance in a sleek design.</t>
  </si>
  <si>
    <t xml:space="preserve">https://images.bestbuy.com/marketplace/lenovo-galaxy-tab-s9-main.jpg</t>
  </si>
  <si>
    <t xml:space="preserve">Storage_GB: 512 | Screen_Size: 10.1" | Cellular: No | RAM_GB: 12</t>
  </si>
  <si>
    <t xml:space="preserve">2024-07-17</t>
  </si>
  <si>
    <t xml:space="preserve">BB-MKT-00905</t>
  </si>
  <si>
    <t xml:space="preserve">AP-4313-WH</t>
  </si>
  <si>
    <t xml:space="preserve">997731829200</t>
  </si>
  <si>
    <t xml:space="preserve">0997731829200</t>
  </si>
  <si>
    <t xml:space="preserve">Apple Tab P12 Pro 10.1" 256GB Tablet</t>
  </si>
  <si>
    <t xml:space="preserve">Stay productive and entertained with the Apple Tab P12 Pro. Powerful performance in a sleek design.</t>
  </si>
  <si>
    <t xml:space="preserve">https://images.bestbuy.com/marketplace/apple-tab-p12-pro-main.jpg</t>
  </si>
  <si>
    <t xml:space="preserve">Storage_GB: 256 | Screen_Size: 10.1" | Cellular: No | RAM_GB: 8</t>
  </si>
  <si>
    <t xml:space="preserve">2025-01-08</t>
  </si>
  <si>
    <t xml:space="preserve">BB-MKT-00445</t>
  </si>
  <si>
    <t xml:space="preserve">Surface Pro 9</t>
  </si>
  <si>
    <t xml:space="preserve">SA-1977-SL</t>
  </si>
  <si>
    <t xml:space="preserve">860347056632</t>
  </si>
  <si>
    <t xml:space="preserve">0860347056632</t>
  </si>
  <si>
    <t xml:space="preserve">Samsung Surface Pro 9 10.1" 256GB Tablet</t>
  </si>
  <si>
    <t xml:space="preserve">Stay productive and entertained with the Samsung Surface Pro 9. Powerful performance in a sleek design.</t>
  </si>
  <si>
    <t xml:space="preserve">https://images.bestbuy.com/marketplace/samsung-surface-pro-9-main.jpg</t>
  </si>
  <si>
    <t xml:space="preserve">Storage_GB: 256 | Screen_Size: 10.1" | Cellular: No | RAM_GB: 6</t>
  </si>
  <si>
    <t xml:space="preserve">BB-MKT-00068</t>
  </si>
  <si>
    <t xml:space="preserve">AM-2612-BK</t>
  </si>
  <si>
    <t xml:space="preserve">577129546141</t>
  </si>
  <si>
    <t xml:space="preserve">0577129546141</t>
  </si>
  <si>
    <t xml:space="preserve">2024-07-15</t>
  </si>
  <si>
    <t xml:space="preserve">BB-MKT-00285</t>
  </si>
  <si>
    <t xml:space="preserve">Beats</t>
  </si>
  <si>
    <t xml:space="preserve">BE-3906-BK</t>
  </si>
  <si>
    <t xml:space="preserve">0590889755438</t>
  </si>
  <si>
    <t xml:space="preserve">Beats Momentum 4 In-ear Both Headphones</t>
  </si>
  <si>
    <t xml:space="preserve">Enjoy crystal-clear audio with the Beats Momentum 4. Perfect for music lovers and remote workers.</t>
  </si>
  <si>
    <t xml:space="preserve">https://images.bestbuy.com/marketplace/beats-momentum-4-main.jpg</t>
  </si>
  <si>
    <t xml:space="preserve">Type: In-ear | Connectivity: Both | ANC: Yes | Battery_Hours: 24</t>
  </si>
  <si>
    <t xml:space="preserve">2024-08-31</t>
  </si>
  <si>
    <t xml:space="preserve">BB-MKT-00653</t>
  </si>
  <si>
    <t xml:space="preserve">AP-4526-WH</t>
  </si>
  <si>
    <t xml:space="preserve">427025971044</t>
  </si>
  <si>
    <t xml:space="preserve">0427025971044</t>
  </si>
  <si>
    <t xml:space="preserve">Apple Katana 15 13.3" Laptop - 8GB RAM 256GB SSD</t>
  </si>
  <si>
    <t xml:space="preserve">Experience premium performance with the Apple Katana 15. Designed for professionals and students alike.</t>
  </si>
  <si>
    <t xml:space="preserve">https://images.bestbuy.com/marketplace/apple-katana-15-main.jpg</t>
  </si>
  <si>
    <t xml:space="preserve">RAM_GB: 8 | Storage_GB: 256 | Screen_Size: 13.3" | Processor: Intel i7</t>
  </si>
  <si>
    <t xml:space="preserve">2024-11-20</t>
  </si>
  <si>
    <t xml:space="preserve">BB-MKT-00775</t>
  </si>
  <si>
    <t xml:space="preserve">JA-6764-SL</t>
  </si>
  <si>
    <t xml:space="preserve">266025908976</t>
  </si>
  <si>
    <t xml:space="preserve">0266025908976</t>
  </si>
  <si>
    <t xml:space="preserve">Jabra Momentum 4 On-ear Both Headphones</t>
  </si>
  <si>
    <t xml:space="preserve">Enjoy crystal-clear audio with the Jabra Momentum 4. Perfect for music lovers and remote workers.</t>
  </si>
  <si>
    <t xml:space="preserve">https://images.bestbuy.com/marketplace/jabra-momentum-4-main.jpg</t>
  </si>
  <si>
    <t xml:space="preserve">Type: On-ear | Connectivity: Both | ANC: Yes | Battery_Hours: 24</t>
  </si>
  <si>
    <t xml:space="preserve">BB-MKT-00348</t>
  </si>
  <si>
    <t xml:space="preserve">BE-6544-BK</t>
  </si>
  <si>
    <t xml:space="preserve">781550942568</t>
  </si>
  <si>
    <t xml:space="preserve">0781550942568</t>
  </si>
  <si>
    <t xml:space="preserve">Beats WH-1000XM5 Over-ear Wireless Headphones</t>
  </si>
  <si>
    <t xml:space="preserve">Enjoy crystal-clear audio with the Beats WH-1000XM5. Perfect for music lovers and remote workers.</t>
  </si>
  <si>
    <t xml:space="preserve">https://images.bestbuy.com/marketplace/beats-wh-1000xm5-main.jpg</t>
  </si>
  <si>
    <t xml:space="preserve">Type: Over-ear | Connectivity: Wireless | ANC: No | Battery_Hours: 20</t>
  </si>
  <si>
    <t xml:space="preserve">2025-04-01</t>
  </si>
  <si>
    <t xml:space="preserve">BB-MKT-00989</t>
  </si>
  <si>
    <t xml:space="preserve">AP-9721-BL</t>
  </si>
  <si>
    <t xml:space="preserve">230632228619</t>
  </si>
  <si>
    <t xml:space="preserve">0230632228619</t>
  </si>
  <si>
    <t xml:space="preserve">Apple WH-1000XM5 In-ear Wireless Headphones</t>
  </si>
  <si>
    <t xml:space="preserve">Enjoy crystal-clear audio with the Apple WH-1000XM5. Perfect for music lovers and remote workers.</t>
  </si>
  <si>
    <t xml:space="preserve">https://images.bestbuy.com/marketplace/apple-wh-1000xm5-main.jpg</t>
  </si>
  <si>
    <t xml:space="preserve">Type: In-ear | Connectivity: Wireless | ANC: Yes | Battery_Hours: 24</t>
  </si>
  <si>
    <t xml:space="preserve">BB-MKT-00295</t>
  </si>
  <si>
    <t xml:space="preserve">VI-7113-BK</t>
  </si>
  <si>
    <t xml:space="preserve">811802029051</t>
  </si>
  <si>
    <t xml:space="preserve">0811802029051</t>
  </si>
  <si>
    <t xml:space="preserve">Vizio 75" 8K Smart TV 5-Series 4K</t>
  </si>
  <si>
    <t xml:space="preserve">Immerse yourself in stunning visuals with the Vizio 5-Series 4K. Features cutting-edge display technology.</t>
  </si>
  <si>
    <t xml:space="preserve">https://images.bestbuy.com/marketplace/vizio-5-series-4k-main.jpg</t>
  </si>
  <si>
    <t xml:space="preserve">Screen_Size: 75" | Resolution: 8K | Smart_TV: Yes | HDR: Dolby Vision</t>
  </si>
  <si>
    <t xml:space="preserve">2024-07-22</t>
  </si>
  <si>
    <t xml:space="preserve">BB-MKT-00212</t>
  </si>
  <si>
    <t xml:space="preserve">SA-7819-SL</t>
  </si>
  <si>
    <t xml:space="preserve">371965068780</t>
  </si>
  <si>
    <t xml:space="preserve">0371965068780</t>
  </si>
  <si>
    <t xml:space="preserve">Samsung Galaxy Tab S9 12.9" 64GB Tablet</t>
  </si>
  <si>
    <t xml:space="preserve">Stay productive and entertained with the Samsung Galaxy Tab S9. Powerful performance in a sleek design.</t>
  </si>
  <si>
    <t xml:space="preserve">https://images.bestbuy.com/marketplace/samsung-galaxy-tab-s9-main.jpg</t>
  </si>
  <si>
    <t xml:space="preserve">Storage_GB: 64 | Screen_Size: 12.9" | Cellular: No | RAM_GB: 6</t>
  </si>
  <si>
    <t xml:space="preserve">BB-MKT-00779</t>
  </si>
  <si>
    <t xml:space="preserve">AR-8364-BL</t>
  </si>
  <si>
    <t xml:space="preserve">864966579177</t>
  </si>
  <si>
    <t xml:space="preserve">0864966579177</t>
  </si>
  <si>
    <t xml:space="preserve">Arlo Hue Starter Kit Smart Home Device</t>
  </si>
  <si>
    <t xml:space="preserve">Transform your home with the Arlo Hue Starter Kit. Easy setup and seamless smart home integration.</t>
  </si>
  <si>
    <t xml:space="preserve">https://images.bestbuy.com/marketplace/arlo-hue-starter-kit-main.jpg</t>
  </si>
  <si>
    <t xml:space="preserve">2024-10-11</t>
  </si>
  <si>
    <t xml:space="preserve">BB-MKT-00082</t>
  </si>
  <si>
    <t xml:space="preserve">SA-4898-SL</t>
  </si>
  <si>
    <t xml:space="preserve">966681384799</t>
  </si>
  <si>
    <t xml:space="preserve">0966681384799</t>
  </si>
  <si>
    <t xml:space="preserve">Samsung 43" 4K UHD Smart TV V-Series</t>
  </si>
  <si>
    <t xml:space="preserve">Immerse yourself in stunning visuals with the Samsung V-Series. Features cutting-edge display technology.</t>
  </si>
  <si>
    <t xml:space="preserve">https://images.bestbuy.com/marketplace/samsung-v-series-main.jpg</t>
  </si>
  <si>
    <t xml:space="preserve">Screen_Size: 43" | Resolution: 4K UHD | Smart_TV: Yes | HDR: Dolby Vision</t>
  </si>
  <si>
    <t xml:space="preserve">BB-MKT-00534</t>
  </si>
  <si>
    <t xml:space="preserve">AP-9317-WH</t>
  </si>
  <si>
    <t xml:space="preserve">355284741551</t>
  </si>
  <si>
    <t xml:space="preserve">0355284741551</t>
  </si>
  <si>
    <t xml:space="preserve">BB-MKT-00268</t>
  </si>
  <si>
    <t xml:space="preserve">DE-8171-SL</t>
  </si>
  <si>
    <t xml:space="preserve">492253611454</t>
  </si>
  <si>
    <t xml:space="preserve">0492253611454</t>
  </si>
  <si>
    <t xml:space="preserve">Dell Katana 15 14" Laptop - 8GB RAM 256GB SSD</t>
  </si>
  <si>
    <t xml:space="preserve">RAM_GB: 8 | Storage_GB: 256 | Screen_Size: 14" | Processor: Intel i7</t>
  </si>
  <si>
    <t xml:space="preserve">2024-12-23</t>
  </si>
  <si>
    <t xml:space="preserve">2023-12-01</t>
  </si>
  <si>
    <t xml:space="preserve">BB-MKT-00092</t>
  </si>
  <si>
    <t xml:space="preserve">JB-1744-WH</t>
  </si>
  <si>
    <t xml:space="preserve">437872761622</t>
  </si>
  <si>
    <t xml:space="preserve">0437872761622</t>
  </si>
  <si>
    <t xml:space="preserve">JBL WH-1000XM5 On-ear Both Headphones</t>
  </si>
  <si>
    <t xml:space="preserve">Enjoy crystal-clear audio with the JBL WH-1000XM5. Perfect for music lovers and remote workers.</t>
  </si>
  <si>
    <t xml:space="preserve">https://images.bestbuy.com/marketplace/jbl-wh-1000xm5-main.jpg</t>
  </si>
  <si>
    <t xml:space="preserve">Type: On-ear | Connectivity: Both | ANC: No | Battery_Hours: 40</t>
  </si>
  <si>
    <t xml:space="preserve">BB-MKT-00965</t>
  </si>
  <si>
    <t xml:space="preserve">AR-4244-SL</t>
  </si>
  <si>
    <t xml:space="preserve">939442358177</t>
  </si>
  <si>
    <t xml:space="preserve">0939442358177</t>
  </si>
  <si>
    <t xml:space="preserve">Connectivity: Z-Wave | Voice_Assistant: Apple HomeKit | Power: Battery</t>
  </si>
  <si>
    <t xml:space="preserve">BB-MKT-00771</t>
  </si>
  <si>
    <t xml:space="preserve">AP-9957-SL</t>
  </si>
  <si>
    <t xml:space="preserve">361221074705</t>
  </si>
  <si>
    <t xml:space="preserve">0361221074705</t>
  </si>
  <si>
    <t xml:space="preserve">Apple iPad Pro 12.9 12.4" 256GB Tablet</t>
  </si>
  <si>
    <t xml:space="preserve">Stay productive and entertained with the Apple iPad Pro 12.9. Powerful performance in a sleek design.</t>
  </si>
  <si>
    <t xml:space="preserve">https://images.bestbuy.com/marketplace/apple-ipad-pro-12.9-main.jpg</t>
  </si>
  <si>
    <t xml:space="preserve">Storage_GB: 256 | Screen_Size: 12.4" | Cellular: No | RAM_GB: 6</t>
  </si>
  <si>
    <t xml:space="preserve">2024-09-02</t>
  </si>
  <si>
    <t xml:space="preserve">BB-MKT-00342</t>
  </si>
  <si>
    <t xml:space="preserve">HP-9060-WH</t>
  </si>
  <si>
    <t xml:space="preserve">398297363894</t>
  </si>
  <si>
    <t xml:space="preserve">0398297363894</t>
  </si>
  <si>
    <t xml:space="preserve">HP Pavilion 15 16" Laptop - 32GB RAM 256GB SSD</t>
  </si>
  <si>
    <t xml:space="preserve">Experience premium performance with the HP Pavilion 15. Designed for professionals and students alike.</t>
  </si>
  <si>
    <t xml:space="preserve">https://images.bestbuy.com/marketplace/hp-pavilion-15-main.jpg</t>
  </si>
  <si>
    <t xml:space="preserve">RAM_GB: 32 | Storage_GB: 256 | Screen_Size: 16" | Processor: Apple M2</t>
  </si>
  <si>
    <t xml:space="preserve">2025-03-31</t>
  </si>
  <si>
    <t xml:space="preserve">BB-MKT-00645</t>
  </si>
  <si>
    <t xml:space="preserve">SA-4436-WH</t>
  </si>
  <si>
    <t xml:space="preserve">262767312308</t>
  </si>
  <si>
    <t xml:space="preserve">0262767312308</t>
  </si>
  <si>
    <t xml:space="preserve">Samsung Fire HD 10 12.4" 128GB Tablet</t>
  </si>
  <si>
    <t xml:space="preserve">Storage_GB: 128 | Screen_Size: 12.4" | Cellular: No | RAM_GB: 8</t>
  </si>
  <si>
    <t xml:space="preserve">2024-07-05</t>
  </si>
  <si>
    <t xml:space="preserve">BB-MKT-00842</t>
  </si>
  <si>
    <t xml:space="preserve">PH-2921-WH</t>
  </si>
  <si>
    <t xml:space="preserve">651055291977</t>
  </si>
  <si>
    <t xml:space="preserve">0651055291977</t>
  </si>
  <si>
    <t xml:space="preserve">Philips Learning Thermostat Smart Home Device</t>
  </si>
  <si>
    <t xml:space="preserve">Transform your home with the Philips Learning Thermostat. Easy setup and seamless smart home integration.</t>
  </si>
  <si>
    <t xml:space="preserve">https://images.bestbuy.com/marketplace/philips-learning-thermostat-main.jpg</t>
  </si>
  <si>
    <t xml:space="preserve">Connectivity: Bluetooth | Voice_Assistant: None | Power: Wired</t>
  </si>
  <si>
    <t xml:space="preserve">BB-MKT-00153</t>
  </si>
  <si>
    <t xml:space="preserve">ASUS</t>
  </si>
  <si>
    <t xml:space="preserve">AS-5703-BL</t>
  </si>
  <si>
    <t xml:space="preserve">136387268746</t>
  </si>
  <si>
    <t xml:space="preserve">0136387268746</t>
  </si>
  <si>
    <t xml:space="preserve">ASUS IdeaPad 5 13.3" Laptop - 8GB RAM 1024GB SSD</t>
  </si>
  <si>
    <t xml:space="preserve">Experience premium performance with the ASUS IdeaPad 5. Designed for professionals and students alike.</t>
  </si>
  <si>
    <t xml:space="preserve">https://images.bestbuy.com/marketplace/asus-ideapad-5-main.jpg</t>
  </si>
  <si>
    <t xml:space="preserve">RAM_GB: 8 | Storage_GB: 1024 | Screen_Size: 13.3" | Processor: Intel i5</t>
  </si>
  <si>
    <t xml:space="preserve">BB-MKT-00791</t>
  </si>
  <si>
    <t xml:space="preserve">MI-9631-SL</t>
  </si>
  <si>
    <t xml:space="preserve">369095351400</t>
  </si>
  <si>
    <t xml:space="preserve">0369095351400</t>
  </si>
  <si>
    <t xml:space="preserve">Microsoft Galaxy Tab S9 11" 512GB Tablet</t>
  </si>
  <si>
    <t xml:space="preserve">Stay productive and entertained with the Microsoft Galaxy Tab S9. Powerful performance in a sleek design.</t>
  </si>
  <si>
    <t xml:space="preserve">https://images.bestbuy.com/marketplace/microsoft-galaxy-tab-s9-main.jpg</t>
  </si>
  <si>
    <t xml:space="preserve">Storage_GB: 512 | Screen_Size: 11" | Cellular: No | RAM_GB: 16</t>
  </si>
  <si>
    <t xml:space="preserve">BB-MKT-00776</t>
  </si>
  <si>
    <t xml:space="preserve">AP-9608-SL</t>
  </si>
  <si>
    <t xml:space="preserve">952580988064</t>
  </si>
  <si>
    <t xml:space="preserve">0952580988064</t>
  </si>
  <si>
    <t xml:space="preserve">Apple Tab P12 Pro 12.4" 512GB Tablet</t>
  </si>
  <si>
    <t xml:space="preserve">Storage_GB: 512 | Screen_Size: 12.4" | Cellular: Yes | RAM_GB: 16</t>
  </si>
  <si>
    <t xml:space="preserve">2025-04-24</t>
  </si>
  <si>
    <t xml:space="preserve">BB-MKT-00615</t>
  </si>
  <si>
    <t xml:space="preserve">SA-4990-BK</t>
  </si>
  <si>
    <t xml:space="preserve">930769072459</t>
  </si>
  <si>
    <t xml:space="preserve">0930769072459</t>
  </si>
  <si>
    <t xml:space="preserve">Samsung 43" 8K Smart TV U8K</t>
  </si>
  <si>
    <t xml:space="preserve">Screen_Size: 43" | Resolution: 8K | Smart_TV: Yes | HDR: HDR10+</t>
  </si>
  <si>
    <t xml:space="preserve">2024-10-12</t>
  </si>
  <si>
    <t xml:space="preserve">BB-MKT-00917</t>
  </si>
  <si>
    <t xml:space="preserve">HP-4417-BL</t>
  </si>
  <si>
    <t xml:space="preserve">919769811178</t>
  </si>
  <si>
    <t xml:space="preserve">0919769811178</t>
  </si>
  <si>
    <t xml:space="preserve">HP VivoBook 16 13.3" Laptop - 8GB RAM 512GB SSD</t>
  </si>
  <si>
    <t xml:space="preserve">Experience premium performance with the HP VivoBook 16. Designed for professionals and students alike.</t>
  </si>
  <si>
    <t xml:space="preserve">https://images.bestbuy.com/marketplace/hp-vivobook-16-main.jpg</t>
  </si>
  <si>
    <t xml:space="preserve">RAM_GB: 8 | Storage_GB: 512 | Screen_Size: 13.3" | Processor: AMD Ryzen 7</t>
  </si>
  <si>
    <t xml:space="preserve">2024-10-14</t>
  </si>
  <si>
    <t xml:space="preserve">BB-MKT-00914</t>
  </si>
  <si>
    <t xml:space="preserve">AS-6281-BL</t>
  </si>
  <si>
    <t xml:space="preserve">344849805895</t>
  </si>
  <si>
    <t xml:space="preserve">0344849805895</t>
  </si>
  <si>
    <t xml:space="preserve">ASUS Aspire 5 16" Laptop - 32GB RAM 256GB SSD</t>
  </si>
  <si>
    <t xml:space="preserve">Experience premium performance with the ASUS Aspire 5. Designed for professionals and students alike.</t>
  </si>
  <si>
    <t xml:space="preserve">https://images.bestbuy.com/marketplace/asus-aspire-5-main.jpg</t>
  </si>
  <si>
    <t xml:space="preserve">RAM_GB: 32 | Storage_GB: 256 | Screen_Size: 16" | Processor: Intel i5</t>
  </si>
  <si>
    <t xml:space="preserve">2024-12-15</t>
  </si>
  <si>
    <t xml:space="preserve">BB-MKT-00321</t>
  </si>
  <si>
    <t xml:space="preserve">WY-7618-BK</t>
  </si>
  <si>
    <t xml:space="preserve">599051685688</t>
  </si>
  <si>
    <t xml:space="preserve">0599051685688</t>
  </si>
  <si>
    <t xml:space="preserve">2025-04-13</t>
  </si>
  <si>
    <t xml:space="preserve">BB-MKT-00627</t>
  </si>
  <si>
    <t xml:space="preserve">AP-7520-SL</t>
  </si>
  <si>
    <t xml:space="preserve">924333145551</t>
  </si>
  <si>
    <t xml:space="preserve">0924333145551</t>
  </si>
  <si>
    <t xml:space="preserve">Apple iPad Pro 12.9 10.1" 256GB Tablet</t>
  </si>
  <si>
    <t xml:space="preserve">MISSING_PRIMARY_IMAGE_URL</t>
  </si>
  <si>
    <t xml:space="preserve">BB-MKT-00631</t>
  </si>
  <si>
    <t xml:space="preserve">BE-1118-BL</t>
  </si>
  <si>
    <t xml:space="preserve">672137182068</t>
  </si>
  <si>
    <t xml:space="preserve">0672137182068</t>
  </si>
  <si>
    <t xml:space="preserve">Beats WH-1000XM5 In-ear Both Headphones</t>
  </si>
  <si>
    <t xml:space="preserve">Type: In-ear | Connectivity: Both | ANC: Yes | Battery_Hours: 20</t>
  </si>
  <si>
    <t xml:space="preserve">2024-11-14</t>
  </si>
  <si>
    <t xml:space="preserve">BB-MKT-00808</t>
  </si>
  <si>
    <t xml:space="preserve">AP-9096-WH</t>
  </si>
  <si>
    <t xml:space="preserve">731997559540</t>
  </si>
  <si>
    <t xml:space="preserve">0731997559540</t>
  </si>
  <si>
    <t xml:space="preserve">2024-09-24</t>
  </si>
  <si>
    <t xml:space="preserve">BB-MKT-00385</t>
  </si>
  <si>
    <t xml:space="preserve">AP-4323-BK</t>
  </si>
  <si>
    <t xml:space="preserve">245593128898</t>
  </si>
  <si>
    <t xml:space="preserve">0245593128898</t>
  </si>
  <si>
    <t xml:space="preserve">Apple Evolve2 85 On-ear Wired Headphones</t>
  </si>
  <si>
    <t xml:space="preserve">Enjoy crystal-clear audio with the Apple Evolve2 85. Perfect for music lovers and remote workers.</t>
  </si>
  <si>
    <t xml:space="preserve">https://images.bestbuy.com/marketplace/apple-evolve2-85-main.jpg</t>
  </si>
  <si>
    <t xml:space="preserve">Type: On-ear | Connectivity: Wired | ANC: Yes | Battery_Hours: 20</t>
  </si>
  <si>
    <t xml:space="preserve">2025-03-12</t>
  </si>
  <si>
    <t xml:space="preserve">BB-MKT-00315</t>
  </si>
  <si>
    <t xml:space="preserve">BE-4337-BL</t>
  </si>
  <si>
    <t xml:space="preserve">536714876134</t>
  </si>
  <si>
    <t xml:space="preserve">0536714876134</t>
  </si>
  <si>
    <t xml:space="preserve">Beats Momentum 4 On-ear Both Headphones</t>
  </si>
  <si>
    <t xml:space="preserve">BB-MKT-00125</t>
  </si>
  <si>
    <t xml:space="preserve">AS-1907-BK</t>
  </si>
  <si>
    <t xml:space="preserve">651613895273</t>
  </si>
  <si>
    <t xml:space="preserve">0651613895273</t>
  </si>
  <si>
    <t xml:space="preserve">Experience premium performance with the ASUS VivoBook 16. Designed for professionals and students alike.</t>
  </si>
  <si>
    <t xml:space="preserve">https://images.bestbuy.com/marketplace/asus-vivobook-16-main.jpg</t>
  </si>
  <si>
    <t xml:space="preserve">RAM_GB: 32 | Storage_GB: 256 | Screen_Size: 14" | Processor: Intel i7</t>
  </si>
  <si>
    <t xml:space="preserve">MISSING_TITLE</t>
  </si>
  <si>
    <t xml:space="preserve">BB-MKT-00292</t>
  </si>
  <si>
    <t xml:space="preserve">SA-3916-SL</t>
  </si>
  <si>
    <t xml:space="preserve">156149172748</t>
  </si>
  <si>
    <t xml:space="preserve">0156149172748</t>
  </si>
  <si>
    <t xml:space="preserve">Samsung 85" 8K Smart TV 5-Series 4K</t>
  </si>
  <si>
    <t xml:space="preserve">Screen_Size: 85" | Resolution: 8K | Smart_TV: Yes | HDR: HDR10</t>
  </si>
  <si>
    <t xml:space="preserve">2024-11-10</t>
  </si>
  <si>
    <t xml:space="preserve">BB-MKT-00187</t>
  </si>
  <si>
    <t xml:space="preserve">GO-9019-SL</t>
  </si>
  <si>
    <t xml:space="preserve">388252241697</t>
  </si>
  <si>
    <t xml:space="preserve">0388252241697</t>
  </si>
  <si>
    <t xml:space="preserve">Connectivity: Z-Wave | Voice_Assistant: Google Assistant | Power: Wired</t>
  </si>
  <si>
    <t xml:space="preserve">2024-08-28</t>
  </si>
  <si>
    <t xml:space="preserve">BB-MKT-00008</t>
  </si>
  <si>
    <t xml:space="preserve">LG-3621-BL</t>
  </si>
  <si>
    <t xml:space="preserve">787851215839</t>
  </si>
  <si>
    <t xml:space="preserve">0416326328379</t>
  </si>
  <si>
    <t xml:space="preserve">LG 65" 4K UHD Smart TV U8K</t>
  </si>
  <si>
    <t xml:space="preserve">BB-MKT-00806</t>
  </si>
  <si>
    <t xml:space="preserve">SO-7716-SL</t>
  </si>
  <si>
    <t xml:space="preserve">586366591177</t>
  </si>
  <si>
    <t xml:space="preserve">0586366591177</t>
  </si>
  <si>
    <t xml:space="preserve">Sony 65" 8K Smart TV OLED C3</t>
  </si>
  <si>
    <t xml:space="preserve">Immerse yourself in stunning visuals with the Sony OLED C3. Features cutting-edge display technology.</t>
  </si>
  <si>
    <t xml:space="preserve">https://images.bestbuy.com/marketplace/sony-oled-c3-main.jpg</t>
  </si>
  <si>
    <t xml:space="preserve">Screen_Size: 65" | Resolution: 8K | Smart_TV: Yes | HDR: HDR10+</t>
  </si>
  <si>
    <t xml:space="preserve">2025-01-02</t>
  </si>
  <si>
    <t xml:space="preserve">BB-MKT-00155</t>
  </si>
  <si>
    <t xml:space="preserve">JB-8546-SL</t>
  </si>
  <si>
    <t xml:space="preserve">371569339299</t>
  </si>
  <si>
    <t xml:space="preserve">0371569339299</t>
  </si>
  <si>
    <t xml:space="preserve">JBL Evolve2 85 In-ear Both Headphones</t>
  </si>
  <si>
    <t xml:space="preserve">Type: In-ear | Connectivity: Both | ANC: No | Battery_Hours: 40</t>
  </si>
  <si>
    <t xml:space="preserve">2024-08-27</t>
  </si>
  <si>
    <t xml:space="preserve">BB-MKT-00170</t>
  </si>
  <si>
    <t xml:space="preserve">AP-4463-BL</t>
  </si>
  <si>
    <t xml:space="preserve">349290861585</t>
  </si>
  <si>
    <t xml:space="preserve">0349290861585</t>
  </si>
  <si>
    <t xml:space="preserve">Apple Pavilion 15 16" Laptop - 8GB RAM 512GB SSD</t>
  </si>
  <si>
    <t xml:space="preserve">Experience premium performance with the Apple Pavilion 15. Designed for professionals and students alike.</t>
  </si>
  <si>
    <t xml:space="preserve">https://images.bestbuy.com/marketplace/apple-pavilion-15-main.jpg</t>
  </si>
  <si>
    <t xml:space="preserve">RAM_GB: 8 | Storage_GB: 512 | Screen_Size: 16" | Processor: AMD Ryzen 5</t>
  </si>
  <si>
    <t xml:space="preserve">BB-MKT-00946</t>
  </si>
  <si>
    <t xml:space="preserve">BE-9146-WH</t>
  </si>
  <si>
    <t xml:space="preserve">784243799876</t>
  </si>
  <si>
    <t xml:space="preserve">0784243799876</t>
  </si>
  <si>
    <t xml:space="preserve">Beats AirPods Max Over-ear Both Headphones</t>
  </si>
  <si>
    <t xml:space="preserve">Enjoy crystal-clear audio with the Beats AirPods Max. Perfect for music lovers and remote workers.</t>
  </si>
  <si>
    <t xml:space="preserve">https://images.bestbuy.com/marketplace/beats-airpods-max-main.jpg</t>
  </si>
  <si>
    <t xml:space="preserve">Type: Over-ear | Connectivity: Both | ANC: Yes | Battery_Hours: 36</t>
  </si>
  <si>
    <t xml:space="preserve">2025-03-06</t>
  </si>
  <si>
    <t xml:space="preserve">BB-MKT-00682</t>
  </si>
  <si>
    <t xml:space="preserve">SO-1022-SL</t>
  </si>
  <si>
    <t xml:space="preserve">226850119314</t>
  </si>
  <si>
    <t xml:space="preserve">0226850119314</t>
  </si>
  <si>
    <t xml:space="preserve">Sony 55" 4K UHD Smart TV OLED C3</t>
  </si>
  <si>
    <t xml:space="preserve">Screen_Size: 55" | Resolution: 4K UHD | Smart_TV: Yes | HDR: HDR10</t>
  </si>
  <si>
    <t xml:space="preserve">2024-08-12</t>
  </si>
  <si>
    <t xml:space="preserve">MISSING_DESCRIPTION</t>
  </si>
  <si>
    <t xml:space="preserve">BB-MKT-00975</t>
  </si>
  <si>
    <t xml:space="preserve">RI-9251-WH</t>
  </si>
  <si>
    <t xml:space="preserve">146253046418</t>
  </si>
  <si>
    <t xml:space="preserve">0146253046418</t>
  </si>
  <si>
    <t xml:space="preserve">Ring Learning Thermostat Smart Home Device</t>
  </si>
  <si>
    <t xml:space="preserve">Transform your home with the Ring Learning Thermostat. Easy setup and seamless smart home integration.</t>
  </si>
  <si>
    <t xml:space="preserve">https://images.bestbuy.com/marketplace/ring-learning-thermostat-main.jpg</t>
  </si>
  <si>
    <t xml:space="preserve">Connectivity: Zigbee | Voice_Assistant: None | Power: USB-C</t>
  </si>
  <si>
    <t xml:space="preserve">2025-04-18</t>
  </si>
  <si>
    <t xml:space="preserve">BB-MKT-00363</t>
  </si>
  <si>
    <t xml:space="preserve">SE-9269-BK</t>
  </si>
  <si>
    <t xml:space="preserve">593796857850</t>
  </si>
  <si>
    <t xml:space="preserve">0593796857850</t>
  </si>
  <si>
    <t xml:space="preserve">Sennheiser Evolve2 85 Over-ear Wireless Headphones</t>
  </si>
  <si>
    <t xml:space="preserve">Enjoy crystal-clear audio with the Sennheiser Evolve2 85. Perfect for music lovers and remote workers.</t>
  </si>
  <si>
    <t xml:space="preserve">https://images.bestbuy.com/marketplace/sennheiser-evolve2-85-main.jpg</t>
  </si>
  <si>
    <t xml:space="preserve">Type: Over-ear | Connectivity: Wireless | ANC: Yes | Battery_Hours: 36</t>
  </si>
  <si>
    <t xml:space="preserve">2024-09-14</t>
  </si>
  <si>
    <t xml:space="preserve">BB-MKT-00884</t>
  </si>
  <si>
    <t xml:space="preserve">SO-8500-SL</t>
  </si>
  <si>
    <t xml:space="preserve">280015852329</t>
  </si>
  <si>
    <t xml:space="preserve">0280015852329</t>
  </si>
  <si>
    <t xml:space="preserve">Sony Evolve2 85 In-ear Both Headphones</t>
  </si>
  <si>
    <t xml:space="preserve">Enjoy crystal-clear audio with the Sony Evolve2 85. Perfect for music lovers and remote workers.</t>
  </si>
  <si>
    <t xml:space="preserve">https://images.bestbuy.com/marketplace/sony-evolve2-85-main.jpg</t>
  </si>
  <si>
    <t xml:space="preserve">BB-MKT-00797</t>
  </si>
  <si>
    <t xml:space="preserve">LE-7465-BK</t>
  </si>
  <si>
    <t xml:space="preserve">470637745818</t>
  </si>
  <si>
    <t xml:space="preserve">0470637745818</t>
  </si>
  <si>
    <t xml:space="preserve">Lenovo Katana 15 14" Laptop - 32GB RAM 256GB SSD</t>
  </si>
  <si>
    <t xml:space="preserve">Experience premium performance with the Lenovo Katana 15. Designed for professionals and students alike.</t>
  </si>
  <si>
    <t xml:space="preserve">https://images.bestbuy.com/marketplace/lenovo-katana-15-main.jpg</t>
  </si>
  <si>
    <t xml:space="preserve">RAM_GB: 32 | Storage_GB: 256 | Screen_Size: 14" | Processor: Apple M2</t>
  </si>
  <si>
    <t xml:space="preserve">BB-MKT-00272</t>
  </si>
  <si>
    <t xml:space="preserve">WY-9123-WH</t>
  </si>
  <si>
    <t xml:space="preserve">619041839496</t>
  </si>
  <si>
    <t xml:space="preserve">0619041839496</t>
  </si>
  <si>
    <t xml:space="preserve">Wyze Echo Show 10 Smart Home Device</t>
  </si>
  <si>
    <t xml:space="preserve">Transform your home with the Wyze Echo Show 10. Easy setup and seamless smart home integration.</t>
  </si>
  <si>
    <t xml:space="preserve">https://images.bestbuy.com/marketplace/wyze-echo-show-10-main.jpg</t>
  </si>
  <si>
    <t xml:space="preserve">Connectivity: Wi-Fi | Voice_Assistant: Google Assistant | Power: USB-C</t>
  </si>
  <si>
    <t xml:space="preserve">BB-MKT-00529</t>
  </si>
  <si>
    <t xml:space="preserve">PH-3213-BK</t>
  </si>
  <si>
    <t xml:space="preserve">237815343514</t>
  </si>
  <si>
    <t xml:space="preserve">0237815343514</t>
  </si>
  <si>
    <t xml:space="preserve">Philips Cam OG Smart Home Device</t>
  </si>
  <si>
    <t xml:space="preserve">Transform your home with the Philips Cam OG. Easy setup and seamless smart home integration.</t>
  </si>
  <si>
    <t xml:space="preserve">https://images.bestbuy.com/marketplace/philips-cam-og-main.jpg</t>
  </si>
  <si>
    <t xml:space="preserve">Connectivity: Z-Wave | Voice_Assistant: None | Power: Wired</t>
  </si>
  <si>
    <t xml:space="preserve">2024-10-05</t>
  </si>
  <si>
    <t xml:space="preserve">BB-MKT-00003</t>
  </si>
  <si>
    <t xml:space="preserve">LG-5333-BK</t>
  </si>
  <si>
    <t xml:space="preserve">762902242161</t>
  </si>
  <si>
    <t xml:space="preserve">0762902242161</t>
  </si>
  <si>
    <t xml:space="preserve">LG 43" 4K UHD Smart TV Bravia XR</t>
  </si>
  <si>
    <t xml:space="preserve">Immerse yourself in stunning visuals with the LG Bravia XR. Features cutting-edge display technology.</t>
  </si>
  <si>
    <t xml:space="preserve">https://images.bestbuy.com/marketplace/lg-bravia-xr-main.jpg</t>
  </si>
  <si>
    <t xml:space="preserve">Screen_Size: 43" | Resolution: 4K UHD | Smart_TV: No | HDR: HDR10</t>
  </si>
  <si>
    <t xml:space="preserve">BB-MKT-00677</t>
  </si>
  <si>
    <t xml:space="preserve">AR-9955-SL</t>
  </si>
  <si>
    <t xml:space="preserve">182028023076</t>
  </si>
  <si>
    <t xml:space="preserve">0182028023076</t>
  </si>
  <si>
    <t xml:space="preserve">Connectivity: Zigbee | Voice_Assistant: Google Assistant | Power: USB-C</t>
  </si>
  <si>
    <t xml:space="preserve">BB-MKT-00777</t>
  </si>
  <si>
    <t xml:space="preserve">WY-4796-BK</t>
  </si>
  <si>
    <t xml:space="preserve">274946376753</t>
  </si>
  <si>
    <t xml:space="preserve">0274946376753</t>
  </si>
  <si>
    <t xml:space="preserve">Wyze Hue Starter Kit Smart Home Device</t>
  </si>
  <si>
    <t xml:space="preserve">Transform your home with the Wyze Hue Starter Kit. Easy setup and seamless smart home integration.</t>
  </si>
  <si>
    <t xml:space="preserve">https://images.bestbuy.com/marketplace/wyze-hue-starter-kit-main.jpg</t>
  </si>
  <si>
    <t xml:space="preserve">Connectivity: Bluetooth | Voice_Assistant: Alexa | Power: Battery</t>
  </si>
  <si>
    <t xml:space="preserve">2025-03-01</t>
  </si>
  <si>
    <t xml:space="preserve">2024-01-01</t>
  </si>
  <si>
    <t xml:space="preserve">BB-MKT-00802</t>
  </si>
  <si>
    <t xml:space="preserve">SE-3344-BK</t>
  </si>
  <si>
    <t xml:space="preserve">412999405907</t>
  </si>
  <si>
    <t xml:space="preserve">0412999405907</t>
  </si>
  <si>
    <t xml:space="preserve">Sennheiser AirPods Max In-ear Wired Headphones</t>
  </si>
  <si>
    <t xml:space="preserve">Enjoy crystal-clear audio with the Sennheiser AirPods Max. Perfect for music lovers and remote workers.</t>
  </si>
  <si>
    <t xml:space="preserve">https://images.bestbuy.com/marketplace/sennheiser-airpods-max-main.jpg</t>
  </si>
  <si>
    <t xml:space="preserve">Type: In-ear | Connectivity: Wired | ANC: Yes | Battery_Hours: 36</t>
  </si>
  <si>
    <t xml:space="preserve">BB-MKT-00751</t>
  </si>
  <si>
    <t xml:space="preserve">SA-9087-BL</t>
  </si>
  <si>
    <t xml:space="preserve">681005676810</t>
  </si>
  <si>
    <t xml:space="preserve">0681005676810</t>
  </si>
  <si>
    <t xml:space="preserve">Samsung Surface Pro 9 12.4" 128GB Tablet</t>
  </si>
  <si>
    <t xml:space="preserve">Storage_GB: 128 | Screen_Size: 12.4" | Cellular: Yes | RAM_GB: 16</t>
  </si>
  <si>
    <t xml:space="preserve">2024-08-26</t>
  </si>
  <si>
    <t xml:space="preserve">BB-MKT-00941</t>
  </si>
  <si>
    <t xml:space="preserve">AP-5354-BK</t>
  </si>
  <si>
    <t xml:space="preserve">579280058185</t>
  </si>
  <si>
    <t xml:space="preserve">0579280058185</t>
  </si>
  <si>
    <t xml:space="preserve">Apple Katana 15 16" Laptop - 64GB RAM 256GB SSD</t>
  </si>
  <si>
    <t xml:space="preserve">RAM_GB: 64 | Storage_GB: 256 | Screen_Size: 16" | Processor: Intel i7</t>
  </si>
  <si>
    <t xml:space="preserve">2025-04-14</t>
  </si>
  <si>
    <t xml:space="preserve">BB-MKT-00271</t>
  </si>
  <si>
    <t xml:space="preserve">LE-2560-BL</t>
  </si>
  <si>
    <t xml:space="preserve">673460166516</t>
  </si>
  <si>
    <t xml:space="preserve">0673460166516</t>
  </si>
  <si>
    <t xml:space="preserve">Lenovo MacBook Air 14" Laptop - 32GB RAM 256GB SSD</t>
  </si>
  <si>
    <t xml:space="preserve">Experience premium performance with the Lenovo MacBook Air. Designed for professionals and students alike.</t>
  </si>
  <si>
    <t xml:space="preserve">https://images.bestbuy.com/marketplace/lenovo-macbook-air-main.jpg</t>
  </si>
  <si>
    <t xml:space="preserve">RAM_GB: 32 | Storage_GB: 256 | Screen_Size: 14" | Processor: AMD Ryzen 5</t>
  </si>
  <si>
    <t xml:space="preserve">2025-01-14</t>
  </si>
  <si>
    <t xml:space="preserve">BB-MKT-00716</t>
  </si>
  <si>
    <t xml:space="preserve">AM-5864-WH</t>
  </si>
  <si>
    <t xml:space="preserve">475502695551</t>
  </si>
  <si>
    <t xml:space="preserve">0475502695551</t>
  </si>
  <si>
    <t xml:space="preserve">Amazon Galaxy Tab S9 10.1" 256GB Tablet</t>
  </si>
  <si>
    <t xml:space="preserve">Storage_GB: 256 | Screen_Size: 10.1" | Cellular: Yes | RAM_GB: 4</t>
  </si>
  <si>
    <t xml:space="preserve">BB-MKT-00539</t>
  </si>
  <si>
    <t xml:space="preserve">AM-5786-BL</t>
  </si>
  <si>
    <t xml:space="preserve">899538366698</t>
  </si>
  <si>
    <t xml:space="preserve">0899538366698</t>
  </si>
  <si>
    <t xml:space="preserve">2024-08-20</t>
  </si>
  <si>
    <t xml:space="preserve">BB-MKT-00551</t>
  </si>
  <si>
    <t xml:space="preserve">HI-9408-BK</t>
  </si>
  <si>
    <t xml:space="preserve">877251778208</t>
  </si>
  <si>
    <t xml:space="preserve">0877251778208</t>
  </si>
  <si>
    <t xml:space="preserve">Hisense 65" 1080p Full HD Smart TV OLED C3</t>
  </si>
  <si>
    <t xml:space="preserve">Immerse yourself in stunning visuals with the Hisense OLED C3. Features cutting-edge display technology.</t>
  </si>
  <si>
    <t xml:space="preserve">https://images.bestbuy.com/marketplace/hisense-oled-c3-main.jpg</t>
  </si>
  <si>
    <t xml:space="preserve">Screen_Size: 65" | Resolution: 1080p Full HD | Smart_TV: No | HDR: HDR10</t>
  </si>
  <si>
    <t xml:space="preserve">BB-MKT-00026</t>
  </si>
  <si>
    <t xml:space="preserve">AR-1406-WH</t>
  </si>
  <si>
    <t xml:space="preserve">554757219856</t>
  </si>
  <si>
    <t xml:space="preserve">0554757219856</t>
  </si>
  <si>
    <t xml:space="preserve">Connectivity: Zigbee | Voice_Assistant: Google Assistant | Power: Battery</t>
  </si>
  <si>
    <t xml:space="preserve">2025-01-27</t>
  </si>
  <si>
    <t xml:space="preserve">BB-MKT-00427</t>
  </si>
  <si>
    <t xml:space="preserve">AP-1984-SL</t>
  </si>
  <si>
    <t xml:space="preserve">466741203353</t>
  </si>
  <si>
    <t xml:space="preserve">0466741203353</t>
  </si>
  <si>
    <t xml:space="preserve">Enjoy crystal-clear audio with the Apple QuietComfort 45. Perfect for music lovers and remote workers.</t>
  </si>
  <si>
    <t xml:space="preserve">https://images.bestbuy.com/marketplace/apple-quietcomfort-45-main.jpg</t>
  </si>
  <si>
    <t xml:space="preserve">Type: Over-ear | Connectivity: Wired | ANC: Yes | Battery_Hours: 36</t>
  </si>
  <si>
    <t xml:space="preserve">2024-08-05</t>
  </si>
  <si>
    <t xml:space="preserve">BB-MKT-00243</t>
  </si>
  <si>
    <t xml:space="preserve">AS-2654-SL</t>
  </si>
  <si>
    <t xml:space="preserve">957115200247</t>
  </si>
  <si>
    <t xml:space="preserve">0957115200247</t>
  </si>
  <si>
    <t xml:space="preserve">ASUS Pavilion 15 13.3" Laptop - 16GB RAM 1024GB SSD</t>
  </si>
  <si>
    <t xml:space="preserve">Experience premium performance with the ASUS Pavilion 15. Designed for professionals and students alike.</t>
  </si>
  <si>
    <t xml:space="preserve">https://images.bestbuy.com/marketplace/asus-pavilion-15-main.jpg</t>
  </si>
  <si>
    <t xml:space="preserve">RAM_GB: 16 | Storage_GB: 1024 | Screen_Size: 13.3" | Processor: Intel i5</t>
  </si>
  <si>
    <t xml:space="preserve">BB-MKT-00857</t>
  </si>
  <si>
    <t xml:space="preserve">AM-8790-SL</t>
  </si>
  <si>
    <t xml:space="preserve">560243328878</t>
  </si>
  <si>
    <t xml:space="preserve">0560243328878</t>
  </si>
  <si>
    <t xml:space="preserve">Amazon Video Doorbell Pro 2 Smart Home Device</t>
  </si>
  <si>
    <t xml:space="preserve">Transform your home with the Amazon Video Doorbell Pro 2. Easy setup and seamless smart home integration.</t>
  </si>
  <si>
    <t xml:space="preserve">https://images.bestbuy.com/marketplace/amazon-video-doorbell-pro-2-main.jpg</t>
  </si>
  <si>
    <t xml:space="preserve">2024-12-31</t>
  </si>
  <si>
    <t xml:space="preserve">BB-MKT-00809</t>
  </si>
  <si>
    <t xml:space="preserve">MI-1392-WH</t>
  </si>
  <si>
    <t xml:space="preserve">576027797809</t>
  </si>
  <si>
    <t xml:space="preserve">0576027797809</t>
  </si>
  <si>
    <t xml:space="preserve">Microsoft Fire HD 10 8" 512GB Tablet</t>
  </si>
  <si>
    <t xml:space="preserve">Storage_GB: 512 | Screen_Size: 8" | Cellular: Yes | RAM_GB: 4</t>
  </si>
  <si>
    <t xml:space="preserve">2025-03-29</t>
  </si>
  <si>
    <t xml:space="preserve">BB-MKT-00642</t>
  </si>
  <si>
    <t xml:space="preserve">SE-7171-BK</t>
  </si>
  <si>
    <t xml:space="preserve">419953698349</t>
  </si>
  <si>
    <t xml:space="preserve">0419953698349</t>
  </si>
  <si>
    <t xml:space="preserve">Sennheiser Evolve2 85 Over-ear Wired Headphones - EXTREMELY DETAILED SPEC DESCRIPTION THAT GOES WAY BEYOND THE ALLOWED CHARACTER LIMIT FOR BEST BUY MARKETPLACE LISTINGS</t>
  </si>
  <si>
    <t xml:space="preserve">Type: Over-ear | Connectivity: Wired | ANC: No | Battery_Hours: 24</t>
  </si>
  <si>
    <t xml:space="preserve">2024-10-16</t>
  </si>
  <si>
    <t xml:space="preserve">BB-MKT-00380</t>
  </si>
  <si>
    <t xml:space="preserve">AM-5025-BL</t>
  </si>
  <si>
    <t xml:space="preserve">146719653397</t>
  </si>
  <si>
    <t xml:space="preserve">0146719653397</t>
  </si>
  <si>
    <t xml:space="preserve">Amazon Fire HD 10 12.9" 64GB Tablet</t>
  </si>
  <si>
    <t xml:space="preserve">Stay productive and entertained with the Amazon Fire HD 10. Powerful performance in a sleek design.</t>
  </si>
  <si>
    <t xml:space="preserve">https://images.bestbuy.com/marketplace/amazon-fire-hd-10-main.jpg</t>
  </si>
  <si>
    <t xml:space="preserve">Storage_GB: 64 | Screen_Size: 12.9" | Cellular: Yes | RAM_GB: 12</t>
  </si>
  <si>
    <t xml:space="preserve">2025-03-22</t>
  </si>
  <si>
    <t xml:space="preserve">BB-MKT-00200</t>
  </si>
  <si>
    <t xml:space="preserve">AS-2559-BK</t>
  </si>
  <si>
    <t xml:space="preserve">201599535427</t>
  </si>
  <si>
    <t xml:space="preserve">0201599535427</t>
  </si>
  <si>
    <t xml:space="preserve">ASUS MacBook Air 14" Laptop - 32GB RAM 1024GB SSD</t>
  </si>
  <si>
    <t xml:space="preserve">Experience premium performance with the ASUS MacBook Air. Designed for professionals and students alike.</t>
  </si>
  <si>
    <t xml:space="preserve">https://images.bestbuy.com/marketplace/asus-macbook-air-main.jpg</t>
  </si>
  <si>
    <t xml:space="preserve">RAM_GB: 32 | Storage_GB: 1024 | Screen_Size: 14" | Processor: AMD Ryzen 7</t>
  </si>
  <si>
    <t xml:space="preserve">2024-10-24</t>
  </si>
  <si>
    <t xml:space="preserve">BB-MKT-00505</t>
  </si>
  <si>
    <t xml:space="preserve">MI-7895-SL</t>
  </si>
  <si>
    <t xml:space="preserve">486832101732</t>
  </si>
  <si>
    <t xml:space="preserve">0486832101732</t>
  </si>
  <si>
    <t xml:space="preserve">Microsoft Tab P12 Pro 10.1" 64GB Tablet</t>
  </si>
  <si>
    <t xml:space="preserve">Stay productive and entertained with the Microsoft Tab P12 Pro. Powerful performance in a sleek design.</t>
  </si>
  <si>
    <t xml:space="preserve">https://images.bestbuy.com/marketplace/microsoft-tab-p12-pro-main.jpg</t>
  </si>
  <si>
    <t xml:space="preserve">Storage_GB: 64 | Screen_Size: 10.1" | Cellular: No | RAM_GB: 16</t>
  </si>
  <si>
    <t xml:space="preserve">2024-10-03</t>
  </si>
  <si>
    <t xml:space="preserve">BB-MKT-00853</t>
  </si>
  <si>
    <t xml:space="preserve">SO-6169-BL</t>
  </si>
  <si>
    <t xml:space="preserve">719078416015</t>
  </si>
  <si>
    <t xml:space="preserve">0719078416015</t>
  </si>
  <si>
    <t xml:space="preserve">Sony Tour One In-ear Wired Headphones</t>
  </si>
  <si>
    <t xml:space="preserve">Enjoy crystal-clear audio with the Sony Tour One. Perfect for music lovers and remote workers.</t>
  </si>
  <si>
    <t xml:space="preserve">https://images.bestbuy.com/marketplace/sony-tour-one-main.jpg</t>
  </si>
  <si>
    <t xml:space="preserve">BB-MKT-00748</t>
  </si>
  <si>
    <t xml:space="preserve">LG-5552-BL</t>
  </si>
  <si>
    <t xml:space="preserve">173821698071</t>
  </si>
  <si>
    <t xml:space="preserve">0173821698071</t>
  </si>
  <si>
    <t xml:space="preserve">LG 65" 8K Smart TV Bravia XR</t>
  </si>
  <si>
    <t xml:space="preserve">Screen_Size: 65" | Resolution: 8K | Smart_TV: Yes | HDR: Dolby Vision</t>
  </si>
  <si>
    <t xml:space="preserve">BB-MKT-00904</t>
  </si>
  <si>
    <t xml:space="preserve">JB-6798-SL</t>
  </si>
  <si>
    <t xml:space="preserve">900297242833</t>
  </si>
  <si>
    <t xml:space="preserve">0900297242833</t>
  </si>
  <si>
    <t xml:space="preserve">Type: On-ear | Connectivity: Wired | ANC: Yes | Battery_Hours: 30</t>
  </si>
  <si>
    <t xml:space="preserve">BB-MKT-00745</t>
  </si>
  <si>
    <t xml:space="preserve">HP-9548-WH</t>
  </si>
  <si>
    <t xml:space="preserve">236014034742</t>
  </si>
  <si>
    <t xml:space="preserve">0236014034742</t>
  </si>
  <si>
    <t xml:space="preserve">HP IdeaPad 5 16" Laptop - 16GB RAM 1024GB SSD</t>
  </si>
  <si>
    <t xml:space="preserve">RAM_GB: 16 | Storage_GB: 1024 | Screen_Size: 16" | Processor: AMD Ryzen 7</t>
  </si>
  <si>
    <t xml:space="preserve">BB-MKT-00931</t>
  </si>
  <si>
    <t xml:space="preserve">MS-4721-BL</t>
  </si>
  <si>
    <t xml:space="preserve">203621360965</t>
  </si>
  <si>
    <t xml:space="preserve">0203621360965</t>
  </si>
  <si>
    <t xml:space="preserve">MSI IdeaPad 5 13.3" Laptop - 64GB RAM 1024GB SSD</t>
  </si>
  <si>
    <t xml:space="preserve">Experience premium performance with the MSI IdeaPad 5. Designed for professionals and students alike.</t>
  </si>
  <si>
    <t xml:space="preserve">https://images.bestbuy.com/marketplace/msi-ideapad-5-main.jpg</t>
  </si>
  <si>
    <t xml:space="preserve">RAM_GB: 64 | Storage_GB: 1024 | Screen_Size: 13.3" | Processor: Apple M2</t>
  </si>
  <si>
    <t xml:space="preserve">2024-11-29</t>
  </si>
  <si>
    <t xml:space="preserve">BB-MKT-00174</t>
  </si>
  <si>
    <t xml:space="preserve">MI-5419-BK</t>
  </si>
  <si>
    <t xml:space="preserve">497047117241</t>
  </si>
  <si>
    <t xml:space="preserve">0497047117241</t>
  </si>
  <si>
    <t xml:space="preserve">Microsoft Surface Pro 9 8" 64GB Tablet</t>
  </si>
  <si>
    <t xml:space="preserve">Stay productive and entertained with the Microsoft Surface Pro 9. Powerful performance in a sleek design.</t>
  </si>
  <si>
    <t xml:space="preserve">https://images.bestbuy.com/marketplace/microsoft-surface-pro-9-main.jpg</t>
  </si>
  <si>
    <t xml:space="preserve">Storage_GB: 64 | Screen_Size: 8" | Cellular: Yes | RAM_GB: 8</t>
  </si>
  <si>
    <t xml:space="preserve">2025-04-12</t>
  </si>
  <si>
    <t xml:space="preserve">BB-MKT-00925</t>
  </si>
  <si>
    <t xml:space="preserve">HI-6290-SL</t>
  </si>
  <si>
    <t xml:space="preserve">238542165730</t>
  </si>
  <si>
    <t xml:space="preserve">0238542165730</t>
  </si>
  <si>
    <t xml:space="preserve">Hisense 43" 8K Smart TV V-Series</t>
  </si>
  <si>
    <t xml:space="preserve">Immerse yourself in stunning visuals with the Hisense V-Series. Features cutting-edge display technology.</t>
  </si>
  <si>
    <t xml:space="preserve">https://images.bestbuy.com/marketplace/hisense-v-series-main.jpg</t>
  </si>
  <si>
    <t xml:space="preserve">Screen_Size: 43" | Resolution: 8K | Smart_TV: No | HDR: Dolby Vision</t>
  </si>
  <si>
    <t xml:space="preserve">2025-03-02</t>
  </si>
  <si>
    <t xml:space="preserve">BB-MKT-00018</t>
  </si>
  <si>
    <t xml:space="preserve">LG-1821-BL</t>
  </si>
  <si>
    <t xml:space="preserve">161476464570</t>
  </si>
  <si>
    <t xml:space="preserve">0161476464570</t>
  </si>
  <si>
    <t xml:space="preserve">LG 50" 4K UHD Smart TV Bravia XR</t>
  </si>
  <si>
    <t xml:space="preserve">Screen_Size: 50" | Resolution: 4K UHD | Smart_TV: Yes | HDR: HDR10+</t>
  </si>
  <si>
    <t xml:space="preserve">BB-MKT-00134</t>
  </si>
  <si>
    <t xml:space="preserve">AR-6555-SL</t>
  </si>
  <si>
    <t xml:space="preserve">509713696703</t>
  </si>
  <si>
    <t xml:space="preserve">0509713696703</t>
  </si>
  <si>
    <t xml:space="preserve">Arlo Cam OG Smart Home Device</t>
  </si>
  <si>
    <t xml:space="preserve">Transform your home with the Arlo Cam OG. Easy setup and seamless smart home integration.</t>
  </si>
  <si>
    <t xml:space="preserve">https://images.bestbuy.com/marketplace/arlo-cam-og-main.jpg</t>
  </si>
  <si>
    <t xml:space="preserve">2025-01-22</t>
  </si>
  <si>
    <t xml:space="preserve">BB-MKT-00723</t>
  </si>
  <si>
    <t xml:space="preserve">AM-8448-BL</t>
  </si>
  <si>
    <t xml:space="preserve">951360784215</t>
  </si>
  <si>
    <t xml:space="preserve">0951360784215</t>
  </si>
  <si>
    <t xml:space="preserve">Amazon Fire HD 10 11" 64GB Tablet</t>
  </si>
  <si>
    <t xml:space="preserve">Storage_GB: 64 | Screen_Size: 11" | Cellular: No | RAM_GB: 6</t>
  </si>
  <si>
    <t xml:space="preserve">BB-MKT-00080</t>
  </si>
  <si>
    <t xml:space="preserve">MI-1349-BK</t>
  </si>
  <si>
    <t xml:space="preserve">802835768946</t>
  </si>
  <si>
    <t xml:space="preserve">0802835768946</t>
  </si>
  <si>
    <t xml:space="preserve">Microsoft Galaxy Tab S9 12.4" 64GB Tablet</t>
  </si>
  <si>
    <t xml:space="preserve">Storage_GB: 64 | Screen_Size: 12.4" | Cellular: Yes | RAM_GB: 6</t>
  </si>
  <si>
    <t xml:space="preserve">BB-MKT-00297</t>
  </si>
  <si>
    <t xml:space="preserve">LG-1891-BL</t>
  </si>
  <si>
    <t xml:space="preserve">979055156549</t>
  </si>
  <si>
    <t xml:space="preserve">0979055156549</t>
  </si>
  <si>
    <t xml:space="preserve">LG 55" 4K UHD Smart TV U8K</t>
  </si>
  <si>
    <t xml:space="preserve">2024-08-04</t>
  </si>
  <si>
    <t xml:space="preserve">BB-MKT-00545</t>
  </si>
  <si>
    <t xml:space="preserve">SO-4501-BK</t>
  </si>
  <si>
    <t xml:space="preserve">411560321651</t>
  </si>
  <si>
    <t xml:space="preserve">0411560321651</t>
  </si>
  <si>
    <t xml:space="preserve">Sony WH-1000XM5 In-ear Wired Headphones</t>
  </si>
  <si>
    <t xml:space="preserve">Enjoy crystal-clear audio with the Sony WH-1000XM5. Perfect for music lovers and remote workers.</t>
  </si>
  <si>
    <t xml:space="preserve">https://images.bestbuy.com/marketplace/sony-wh-1000xm5-main.jpg</t>
  </si>
  <si>
    <t xml:space="preserve">Type: In-ear | Connectivity: Wired | ANC: No | Battery_Hours: 24</t>
  </si>
  <si>
    <t xml:space="preserve">2024-09-20</t>
  </si>
  <si>
    <t xml:space="preserve">BB-MKT-00048</t>
  </si>
  <si>
    <t xml:space="preserve">PH-2524-SL</t>
  </si>
  <si>
    <t xml:space="preserve">120585489939</t>
  </si>
  <si>
    <t xml:space="preserve">0120585489939</t>
  </si>
  <si>
    <t xml:space="preserve">Philips Nest Hub Max Smart Home Device</t>
  </si>
  <si>
    <t xml:space="preserve">Transform your home with the Philips Nest Hub Max. Easy setup and seamless smart home integration.</t>
  </si>
  <si>
    <t xml:space="preserve">https://images.bestbuy.com/marketplace/philips-nest-hub-max-main.jpg</t>
  </si>
  <si>
    <t xml:space="preserve">BB-MKT-00460</t>
  </si>
  <si>
    <t xml:space="preserve">JB-7628-BL</t>
  </si>
  <si>
    <t xml:space="preserve">129723037608</t>
  </si>
  <si>
    <t xml:space="preserve">0129723037608</t>
  </si>
  <si>
    <t xml:space="preserve">JBL Momentum 4 Over-ear Both Headphones</t>
  </si>
  <si>
    <t xml:space="preserve">Enjoy crystal-clear audio with the JBL Momentum 4. Perfect for music lovers and remote workers.</t>
  </si>
  <si>
    <t xml:space="preserve">https://images.bestbuy.com/marketplace/jbl-momentum-4-main.jpg</t>
  </si>
  <si>
    <t xml:space="preserve">Type: Over-ear | Connectivity: Both | ANC: No | Battery_Hours: 20</t>
  </si>
  <si>
    <t xml:space="preserve">2024-12-11</t>
  </si>
  <si>
    <t xml:space="preserve">BB-MKT-00916</t>
  </si>
  <si>
    <t xml:space="preserve">RI-4304-SL</t>
  </si>
  <si>
    <t xml:space="preserve">330460072623</t>
  </si>
  <si>
    <t xml:space="preserve">0330460072623</t>
  </si>
  <si>
    <t xml:space="preserve">Ring Echo Show 10 Smart Home Device</t>
  </si>
  <si>
    <t xml:space="preserve">Transform your home with the Ring Echo Show 10. Easy setup and seamless smart home integration.</t>
  </si>
  <si>
    <t xml:space="preserve">https://images.bestbuy.com/marketplace/ring-echo-show-10-main.jpg</t>
  </si>
  <si>
    <t xml:space="preserve">2024-10-20</t>
  </si>
  <si>
    <t xml:space="preserve">BB-MKT-00245</t>
  </si>
  <si>
    <t xml:space="preserve">MI-2609-WH</t>
  </si>
  <si>
    <t xml:space="preserve">854609359348</t>
  </si>
  <si>
    <t xml:space="preserve">0854609359348</t>
  </si>
  <si>
    <t xml:space="preserve">Microsoft Surface Pro 9 11" 64GB Tablet</t>
  </si>
  <si>
    <t xml:space="preserve">2024-12-12</t>
  </si>
  <si>
    <t xml:space="preserve">BB-MKT-00076</t>
  </si>
  <si>
    <t xml:space="preserve">LE-7086-BK</t>
  </si>
  <si>
    <t xml:space="preserve">519122494202</t>
  </si>
  <si>
    <t xml:space="preserve">0519122494202</t>
  </si>
  <si>
    <t xml:space="preserve">Lenovo Aspire 5 15.6" Laptop - 8GB RAM 512GB SSD</t>
  </si>
  <si>
    <t xml:space="preserve">RAM_GB: 8 | Storage_GB: 512 | Screen_Size: 15.6" | Processor: AMD Ryzen 5</t>
  </si>
  <si>
    <t xml:space="preserve">BB-MKT-00741</t>
  </si>
  <si>
    <t xml:space="preserve">SO-1606-BK</t>
  </si>
  <si>
    <t xml:space="preserve">546534235894</t>
  </si>
  <si>
    <t xml:space="preserve">0546534235894</t>
  </si>
  <si>
    <t xml:space="preserve">Sony Evolve2 85 In-ear Wireless Headphones</t>
  </si>
  <si>
    <t xml:space="preserve">2024-08-18</t>
  </si>
  <si>
    <t xml:space="preserve">BB-MKT-00502</t>
  </si>
  <si>
    <t xml:space="preserve">LE-3374-SL</t>
  </si>
  <si>
    <t xml:space="preserve">962770597493</t>
  </si>
  <si>
    <t xml:space="preserve">0962770597493</t>
  </si>
  <si>
    <t xml:space="preserve">Lenovo Aspire 5 14" Laptop - 64GB RAM 512GB SSD</t>
  </si>
  <si>
    <t xml:space="preserve">RAM_GB: 64 | Storage_GB: 512 | Screen_Size: 14" | Processor: AMD Ryzen 5</t>
  </si>
  <si>
    <t xml:space="preserve">BB-MKT-00264</t>
  </si>
  <si>
    <t xml:space="preserve">LG-2654-SL</t>
  </si>
  <si>
    <t xml:space="preserve">827657102170</t>
  </si>
  <si>
    <t xml:space="preserve">0827657102170</t>
  </si>
  <si>
    <t xml:space="preserve">LG 85" 1080p Full HD Smart TV V-Series</t>
  </si>
  <si>
    <t xml:space="preserve">Immerse yourself in stunning visuals with the LG V-Series. Features cutting-edge display technology.</t>
  </si>
  <si>
    <t xml:space="preserve">https://images.bestbuy.com/marketplace/lg-v-series-main.jpg</t>
  </si>
  <si>
    <t xml:space="preserve">Screen_Size: 85" | Resolution: 1080p Full HD | Smart_TV: Yes | HDR: Dolby Vision</t>
  </si>
  <si>
    <t xml:space="preserve">2024-08-23</t>
  </si>
  <si>
    <t xml:space="preserve">BB-MKT-00135</t>
  </si>
  <si>
    <t xml:space="preserve">DE-6373-SL</t>
  </si>
  <si>
    <t xml:space="preserve">252537935638</t>
  </si>
  <si>
    <t xml:space="preserve">0252537935638</t>
  </si>
  <si>
    <t xml:space="preserve">Dell Pavilion 15 16" Laptop - 32GB RAM 512GB SSD</t>
  </si>
  <si>
    <t xml:space="preserve">Experience premium performance with the Dell Pavilion 15. Designed for professionals and students alike.</t>
  </si>
  <si>
    <t xml:space="preserve">https://images.bestbuy.com/marketplace/dell-pavilion-15-main.jpg</t>
  </si>
  <si>
    <t xml:space="preserve">RAM_GB: 32 | Storage_GB: 512 | Screen_Size: 16" | Processor: Intel i7</t>
  </si>
  <si>
    <t xml:space="preserve">2024-12-01</t>
  </si>
  <si>
    <t xml:space="preserve">BB-MKT-00444</t>
  </si>
  <si>
    <t xml:space="preserve">TC-3374-WH</t>
  </si>
  <si>
    <t xml:space="preserve">580565990311</t>
  </si>
  <si>
    <t xml:space="preserve">0580565990311</t>
  </si>
  <si>
    <t xml:space="preserve">TCL 43" 8K Smart TV OLED C3</t>
  </si>
  <si>
    <t xml:space="preserve">BB-MKT-00926</t>
  </si>
  <si>
    <t xml:space="preserve">GO-2346-BK</t>
  </si>
  <si>
    <t xml:space="preserve">822523243501</t>
  </si>
  <si>
    <t xml:space="preserve">0822523243501</t>
  </si>
  <si>
    <t xml:space="preserve">Google Nest Hub Max Smart Home Device</t>
  </si>
  <si>
    <t xml:space="preserve">Transform your home with the Google Nest Hub Max. Easy setup and seamless smart home integration.</t>
  </si>
  <si>
    <t xml:space="preserve">https://images.bestbuy.com/marketplace/google-nest-hub-max-main.jpg</t>
  </si>
  <si>
    <t xml:space="preserve">BB-MKT-00178</t>
  </si>
  <si>
    <t xml:space="preserve">JB-4290-BL</t>
  </si>
  <si>
    <t xml:space="preserve">762802209928</t>
  </si>
  <si>
    <t xml:space="preserve">0762802209928</t>
  </si>
  <si>
    <t xml:space="preserve">JBL AirPods Max On-ear Both Headphones</t>
  </si>
  <si>
    <t xml:space="preserve">Enjoy crystal-clear audio with the JBL AirPods Max. Perfect for music lovers and remote workers.</t>
  </si>
  <si>
    <t xml:space="preserve">https://images.bestbuy.com/marketplace/jbl-airpods-max-main.jpg</t>
  </si>
  <si>
    <t xml:space="preserve">Type: On-ear | Connectivity: Both | ANC: Yes | Battery_Hours: 30</t>
  </si>
  <si>
    <t xml:space="preserve">BB-MKT-00317</t>
  </si>
  <si>
    <t xml:space="preserve">BE-2492-WH</t>
  </si>
  <si>
    <t xml:space="preserve">107026036578</t>
  </si>
  <si>
    <t xml:space="preserve">0107026036578</t>
  </si>
  <si>
    <t xml:space="preserve">BB-MKT-00947</t>
  </si>
  <si>
    <t xml:space="preserve">BE-4109-SL</t>
  </si>
  <si>
    <t xml:space="preserve">220327491657</t>
  </si>
  <si>
    <t xml:space="preserve">0220327491657</t>
  </si>
  <si>
    <t xml:space="preserve">Beats Tour One On-ear Wireless Headphones</t>
  </si>
  <si>
    <t xml:space="preserve">Enjoy crystal-clear audio with the Beats Tour One. Perfect for music lovers and remote workers.</t>
  </si>
  <si>
    <t xml:space="preserve">https://images.bestbuy.com/marketplace/beats-tour-one-main.jpg</t>
  </si>
  <si>
    <t xml:space="preserve">Type: On-ear | Connectivity: Wireless | ANC: Yes | Battery_Hours: 30</t>
  </si>
  <si>
    <t xml:space="preserve">BB-MKT-00547</t>
  </si>
  <si>
    <t xml:space="preserve">MS-8424-SL</t>
  </si>
  <si>
    <t xml:space="preserve">107459751297</t>
  </si>
  <si>
    <t xml:space="preserve">0107459751297</t>
  </si>
  <si>
    <t xml:space="preserve">MSI MacBook Air 15.6" Laptop - 8GB RAM 512GB SSD</t>
  </si>
  <si>
    <t xml:space="preserve">RAM_GB: 8 | Storage_GB: 512 | Screen_Size: 15.6" | Processor: Apple M2</t>
  </si>
  <si>
    <t xml:space="preserve">BB-MKT-00668</t>
  </si>
  <si>
    <t xml:space="preserve">SA-2813-WH</t>
  </si>
  <si>
    <t xml:space="preserve">317794439094</t>
  </si>
  <si>
    <t xml:space="preserve">0317794439094</t>
  </si>
  <si>
    <t xml:space="preserve">Samsung Galaxy Tab S9 12.4" 256GB Tablet</t>
  </si>
  <si>
    <t xml:space="preserve">Storage_GB: 256 | Screen_Size: 12.4" | Cellular: Yes | RAM_GB: 8</t>
  </si>
  <si>
    <t xml:space="preserve">BB-MKT-00952</t>
  </si>
  <si>
    <t xml:space="preserve">AP-3203-SL</t>
  </si>
  <si>
    <t xml:space="preserve">864324181290</t>
  </si>
  <si>
    <t xml:space="preserve">0864324181290</t>
  </si>
  <si>
    <t xml:space="preserve">Apple QuietComfort 45 On-ear Both Headphones</t>
  </si>
  <si>
    <t xml:space="preserve">Type: On-ear | Connectivity: Both | ANC: No | Battery_Hours: 20</t>
  </si>
  <si>
    <t xml:space="preserve">2025-04-02</t>
  </si>
  <si>
    <t xml:space="preserve">BB-MKT-00730</t>
  </si>
  <si>
    <t xml:space="preserve">AS-2267-BL</t>
  </si>
  <si>
    <t xml:space="preserve">199560037858</t>
  </si>
  <si>
    <t xml:space="preserve">0199560037858</t>
  </si>
  <si>
    <t xml:space="preserve">ASUS Aspire 5 14" Laptop - 8GB RAM 256GB SSD</t>
  </si>
  <si>
    <t xml:space="preserve">RAM_GB: 8 | Storage_GB: 256 | Screen_Size: 14" | Processor: AMD Ryzen 5</t>
  </si>
  <si>
    <t xml:space="preserve">2025-01-17</t>
  </si>
  <si>
    <t xml:space="preserve">BB-MKT-00563</t>
  </si>
  <si>
    <t xml:space="preserve">AP-5016-BL</t>
  </si>
  <si>
    <t xml:space="preserve">288915462456</t>
  </si>
  <si>
    <t xml:space="preserve">0288915462456</t>
  </si>
  <si>
    <t xml:space="preserve">Apple Fire HD 10 10.1" 128GB Tablet</t>
  </si>
  <si>
    <t xml:space="preserve">Storage_GB: 128 | Screen_Size: 10.1" | Cellular: No | RAM_GB: 16</t>
  </si>
  <si>
    <t xml:space="preserve">BB-MKT-00725</t>
  </si>
  <si>
    <t xml:space="preserve">AP-6201-SL</t>
  </si>
  <si>
    <t xml:space="preserve">915270839832</t>
  </si>
  <si>
    <t xml:space="preserve">0915270839832</t>
  </si>
  <si>
    <t xml:space="preserve">Apple iPad Pro 12.9 10.1" 64GB Tablet</t>
  </si>
  <si>
    <t xml:space="preserve">2024-11-01</t>
  </si>
  <si>
    <t xml:space="preserve">BB-MKT-00206</t>
  </si>
  <si>
    <t xml:space="preserve">Acer</t>
  </si>
  <si>
    <t xml:space="preserve">AC-7520-SL</t>
  </si>
  <si>
    <t xml:space="preserve">168386957333</t>
  </si>
  <si>
    <t xml:space="preserve">0168386957333</t>
  </si>
  <si>
    <t xml:space="preserve">Acer XPS 15 14" Laptop - 8GB RAM 512GB SSD</t>
  </si>
  <si>
    <t xml:space="preserve">Experience premium performance with the Acer XPS 15. Designed for professionals and students alike.</t>
  </si>
  <si>
    <t xml:space="preserve">https://images.bestbuy.com/marketplace/acer-xps-15-main.jpg</t>
  </si>
  <si>
    <t xml:space="preserve">RAM_GB: 8 | Storage_GB: 512 | Screen_Size: 14" | Processor: Intel i5</t>
  </si>
  <si>
    <t xml:space="preserve">2025-02-02</t>
  </si>
  <si>
    <t xml:space="preserve">BB-MKT-00814</t>
  </si>
  <si>
    <t xml:space="preserve">AP-3774-SL</t>
  </si>
  <si>
    <t xml:space="preserve">346698268958</t>
  </si>
  <si>
    <t xml:space="preserve">0346698268958</t>
  </si>
  <si>
    <t xml:space="preserve">Apple QuietComfort 45 Over-ear Wired Headphones</t>
  </si>
  <si>
    <t xml:space="preserve">Type: Over-ear | Connectivity: Wired | ANC: No | Battery_Hours: 36</t>
  </si>
  <si>
    <t xml:space="preserve">BB-MKT-00051</t>
  </si>
  <si>
    <t xml:space="preserve">SO-5786-WH</t>
  </si>
  <si>
    <t xml:space="preserve">705824576198</t>
  </si>
  <si>
    <t xml:space="preserve">0705824576198</t>
  </si>
  <si>
    <t xml:space="preserve">Sony 85" 1080p Full HD Smart TV QLED 4K</t>
  </si>
  <si>
    <t xml:space="preserve">BB-MKT-00685</t>
  </si>
  <si>
    <t xml:space="preserve">AP-9036-WH</t>
  </si>
  <si>
    <t xml:space="preserve">723581405116</t>
  </si>
  <si>
    <t xml:space="preserve">0723581405116</t>
  </si>
  <si>
    <t xml:space="preserve">Apple Tab P12 Pro 12.4" 128GB Tablet</t>
  </si>
  <si>
    <t xml:space="preserve">Storage_GB: 128 | Screen_Size: 12.4" | Cellular: Yes | RAM_GB: 6</t>
  </si>
  <si>
    <t xml:space="preserve">BB-MKT-00493</t>
  </si>
  <si>
    <t xml:space="preserve">AP-2506-BK</t>
  </si>
  <si>
    <t xml:space="preserve">918726303780</t>
  </si>
  <si>
    <t xml:space="preserve">0918726303780</t>
  </si>
  <si>
    <t xml:space="preserve">Apple WH-1000XM5 On-ear Both Headphones</t>
  </si>
  <si>
    <t xml:space="preserve">Type: On-ear | Connectivity: Both | ANC: No | Battery_Hours: 24</t>
  </si>
  <si>
    <t xml:space="preserve">BB-MKT-00133</t>
  </si>
  <si>
    <t xml:space="preserve">JA-4189-SL</t>
  </si>
  <si>
    <t xml:space="preserve">0722989978517</t>
  </si>
  <si>
    <t xml:space="preserve">Jabra AirPods Max On-ear Wired Headphones</t>
  </si>
  <si>
    <t xml:space="preserve">Enjoy crystal-clear audio with the Jabra AirPods Max. Perfect for music lovers and remote workers.</t>
  </si>
  <si>
    <t xml:space="preserve">https://images.bestbuy.com/marketplace/jabra-airpods-max-main.jpg</t>
  </si>
  <si>
    <t xml:space="preserve">Type: On-ear | Connectivity: Wired | ANC: Yes | Battery_Hours: 36</t>
  </si>
  <si>
    <t xml:space="preserve">2025-02-16</t>
  </si>
  <si>
    <t xml:space="preserve">BB-MKT-00882</t>
  </si>
  <si>
    <t xml:space="preserve">LG-2610-BL</t>
  </si>
  <si>
    <t xml:space="preserve">291796878253</t>
  </si>
  <si>
    <t xml:space="preserve">0291796878253</t>
  </si>
  <si>
    <t xml:space="preserve">LG 55" 4K UHD Smart TV 5-Series 4K</t>
  </si>
  <si>
    <t xml:space="preserve">Immerse yourself in stunning visuals with the LG 5-Series 4K. Features cutting-edge display technology.</t>
  </si>
  <si>
    <t xml:space="preserve">https://images.bestbuy.com/marketplace/lg-5-series-4k-main.jpg</t>
  </si>
  <si>
    <t xml:space="preserve">Screen_Size: 55" | Resolution: 4K UHD | Smart_TV: No | HDR: Dolby Vision</t>
  </si>
  <si>
    <t xml:space="preserve">BB-MKT-00713</t>
  </si>
  <si>
    <t xml:space="preserve">HP-2056-SL</t>
  </si>
  <si>
    <t xml:space="preserve">462501770159</t>
  </si>
  <si>
    <t xml:space="preserve">0462501770159</t>
  </si>
  <si>
    <t xml:space="preserve">HP MacBook Air 16" Laptop - 8GB RAM 512GB SSD</t>
  </si>
  <si>
    <t xml:space="preserve">Experience premium performance with the HP MacBook Air. Designed for professionals and students alike.</t>
  </si>
  <si>
    <t xml:space="preserve">https://images.bestbuy.com/marketplace/hp-macbook-air-main.jpg</t>
  </si>
  <si>
    <t xml:space="preserve">RAM_GB: 8 | Storage_GB: 512 | Screen_Size: 16" | Processor: Intel i7</t>
  </si>
  <si>
    <t xml:space="preserve">BB-MKT-00057</t>
  </si>
  <si>
    <t xml:space="preserve">AS-9090-BL</t>
  </si>
  <si>
    <t xml:space="preserve">694854998490</t>
  </si>
  <si>
    <t xml:space="preserve">0694854998490</t>
  </si>
  <si>
    <t xml:space="preserve">ASUS MacBook Air 16" Laptop - 32GB RAM 1024GB SSD</t>
  </si>
  <si>
    <t xml:space="preserve">RAM_GB: 32 | Storage_GB: 1024 | Screen_Size: 16" | Processor: AMD Ryzen 5</t>
  </si>
  <si>
    <t xml:space="preserve">BB-MKT-00400</t>
  </si>
  <si>
    <t xml:space="preserve">LG-5467-WH</t>
  </si>
  <si>
    <t xml:space="preserve">231731474703</t>
  </si>
  <si>
    <t xml:space="preserve">0231731474703</t>
  </si>
  <si>
    <t xml:space="preserve">LG 55" 1080p Full HD Smart TV Bravia XR</t>
  </si>
  <si>
    <t xml:space="preserve">BB-MKT-00575</t>
  </si>
  <si>
    <t xml:space="preserve">MS-3045-BK</t>
  </si>
  <si>
    <t xml:space="preserve">592312124212</t>
  </si>
  <si>
    <t xml:space="preserve">0592312124212</t>
  </si>
  <si>
    <t xml:space="preserve">MSI IdeaPad 5 16" Laptop - 16GB RAM 256GB SSD</t>
  </si>
  <si>
    <t xml:space="preserve">RAM_GB: 16 | Storage_GB: 256 | Screen_Size: 16" | Processor: Intel i5</t>
  </si>
  <si>
    <t xml:space="preserve">2024-12-08</t>
  </si>
  <si>
    <t xml:space="preserve">BB-MKT-00983</t>
  </si>
  <si>
    <t xml:space="preserve">AP-4128-WH</t>
  </si>
  <si>
    <t xml:space="preserve">882615880998</t>
  </si>
  <si>
    <t xml:space="preserve">0882615880998</t>
  </si>
  <si>
    <t xml:space="preserve">Apple Evolve2 85 On-ear Wireless Headphones</t>
  </si>
  <si>
    <t xml:space="preserve">Type: On-ear | Connectivity: Wireless | ANC: Yes | Battery_Hours: 24</t>
  </si>
  <si>
    <t xml:space="preserve">2025-01-03</t>
  </si>
  <si>
    <t xml:space="preserve">BB-MKT-00601</t>
  </si>
  <si>
    <t xml:space="preserve">SO-6084-WH</t>
  </si>
  <si>
    <t xml:space="preserve">733953104855</t>
  </si>
  <si>
    <t xml:space="preserve">0733953104855</t>
  </si>
  <si>
    <t xml:space="preserve">Sony 85" 1080p Full HD Smart TV 5-Series 4K</t>
  </si>
  <si>
    <t xml:space="preserve">Immerse yourself in stunning visuals with the Sony 5-Series 4K. Features cutting-edge display technology.</t>
  </si>
  <si>
    <t xml:space="preserve">https://images.bestbuy.com/marketplace/sony-5-series-4k-main.jpg</t>
  </si>
  <si>
    <t xml:space="preserve">Screen_Size: 85" | Resolution: 1080p Full HD | Smart_TV: No | HDR: HDR10</t>
  </si>
  <si>
    <t xml:space="preserve">BB-MKT-00981</t>
  </si>
  <si>
    <t xml:space="preserve">LG-3626-SL</t>
  </si>
  <si>
    <t xml:space="preserve">383464149922</t>
  </si>
  <si>
    <t xml:space="preserve">0383464149922</t>
  </si>
  <si>
    <t xml:space="preserve">LG 85" 1080p Full HD Smart TV Bravia XR</t>
  </si>
  <si>
    <t xml:space="preserve">BB-MKT-00664</t>
  </si>
  <si>
    <t xml:space="preserve">AS-9832-BK</t>
  </si>
  <si>
    <t xml:space="preserve">373499493785</t>
  </si>
  <si>
    <t xml:space="preserve">0373499493785</t>
  </si>
  <si>
    <t xml:space="preserve">ASUS VivoBook 16 15.6" Laptop - 64GB RAM 256GB SSD - EXTREMELY DETAILED SPEC DESCRIPTION THAT GOES WAY BEYOND THE ALLOWED CHARACTER LIMIT FOR BEST BUY MARKETPLACE LISTINGS</t>
  </si>
  <si>
    <t xml:space="preserve">RAM_GB: 64 | Storage_GB: 256 | Screen_Size: 15.6" | Processor: Intel i5</t>
  </si>
  <si>
    <t xml:space="preserve">2024-10-18</t>
  </si>
  <si>
    <t xml:space="preserve">BB-MKT-00059</t>
  </si>
  <si>
    <t xml:space="preserve">AP-3634-SL</t>
  </si>
  <si>
    <t xml:space="preserve">214547351220</t>
  </si>
  <si>
    <t xml:space="preserve">0214547351220</t>
  </si>
  <si>
    <t xml:space="preserve">Apple Tab P12 Pro 12.4" 256GB Tablet</t>
  </si>
  <si>
    <t xml:space="preserve">BB-MKT-00659</t>
  </si>
  <si>
    <t xml:space="preserve">AM-5380-BK</t>
  </si>
  <si>
    <t xml:space="preserve">512929624002</t>
  </si>
  <si>
    <t xml:space="preserve">0512929624002</t>
  </si>
  <si>
    <t xml:space="preserve">Storage_GB: 256 | Screen_Size: 8" | Cellular: Yes | RAM_GB: 6</t>
  </si>
  <si>
    <t xml:space="preserve">2024-11-05</t>
  </si>
  <si>
    <t xml:space="preserve">2023-12-20</t>
  </si>
  <si>
    <t xml:space="preserve">BB-MKT-00392</t>
  </si>
  <si>
    <t xml:space="preserve">LE-2111-SL</t>
  </si>
  <si>
    <t xml:space="preserve">968676108707</t>
  </si>
  <si>
    <t xml:space="preserve">0968676108707</t>
  </si>
  <si>
    <t xml:space="preserve">Lenovo IdeaPad 5 14" Laptop - 16GB RAM 256GB SSD</t>
  </si>
  <si>
    <t xml:space="preserve">Experience premium performance with the Lenovo IdeaPad 5. Designed for professionals and students alike.</t>
  </si>
  <si>
    <t xml:space="preserve">https://images.bestbuy.com/marketplace/lenovo-ideapad-5-main.jpg</t>
  </si>
  <si>
    <t xml:space="preserve">RAM_GB: 16 | Storage_GB: 256 | Screen_Size: 14" | Processor: AMD Ryzen 5</t>
  </si>
  <si>
    <t xml:space="preserve">2024-07-04</t>
  </si>
  <si>
    <t xml:space="preserve">BB-MKT-00203</t>
  </si>
  <si>
    <t xml:space="preserve">AR-3017-BL</t>
  </si>
  <si>
    <t xml:space="preserve">925235072673</t>
  </si>
  <si>
    <t xml:space="preserve">0925235072673</t>
  </si>
  <si>
    <t xml:space="preserve">Arlo Learning Thermostat Smart Home Device</t>
  </si>
  <si>
    <t xml:space="preserve">Transform your home with the Arlo Learning Thermostat. Easy setup and seamless smart home integration.</t>
  </si>
  <si>
    <t xml:space="preserve">https://images.bestbuy.com/marketplace/arlo-learning-thermostat-main.jpg</t>
  </si>
  <si>
    <t xml:space="preserve">Connectivity: Zigbee | Voice_Assistant: Alexa | Power: Battery</t>
  </si>
  <si>
    <t xml:space="preserve">2024-09-10</t>
  </si>
  <si>
    <t xml:space="preserve">BB-MKT-00993</t>
  </si>
  <si>
    <t xml:space="preserve">AC-5591-BK</t>
  </si>
  <si>
    <t xml:space="preserve">663465448904</t>
  </si>
  <si>
    <t xml:space="preserve">0663465448904</t>
  </si>
  <si>
    <t xml:space="preserve">Acer Aspire 5 15.6" Laptop - 64GB RAM 256GB SSD</t>
  </si>
  <si>
    <t xml:space="preserve">Experience premium performance with the Acer Aspire 5. Designed for professionals and students alike.</t>
  </si>
  <si>
    <t xml:space="preserve">RAM_GB: 64 | Storage_GB: 256 | Screen_Size: 15.6" | Processor: AMD Ryzen 5</t>
  </si>
  <si>
    <t xml:space="preserve">2024-10-31</t>
  </si>
  <si>
    <t xml:space="preserve">BB-MKT-00610</t>
  </si>
  <si>
    <t xml:space="preserve">LG-2035-WH</t>
  </si>
  <si>
    <t xml:space="preserve">848149595279</t>
  </si>
  <si>
    <t xml:space="preserve">0848149595279</t>
  </si>
  <si>
    <t xml:space="preserve">LG 43" 8K Smart TV QLED 4K</t>
  </si>
  <si>
    <t xml:space="preserve">Immerse yourself in stunning visuals with the LG QLED 4K. Features cutting-edge display technology.</t>
  </si>
  <si>
    <t xml:space="preserve">https://images.bestbuy.com/marketplace/lg-qled-4k-main.jpg</t>
  </si>
  <si>
    <t xml:space="preserve">Screen_Size: 43" | Resolution: 8K | Smart_TV: Yes | HDR: HDR10</t>
  </si>
  <si>
    <t xml:space="preserve">BB-MKT-00816</t>
  </si>
  <si>
    <t xml:space="preserve">SE-2965-BL</t>
  </si>
  <si>
    <t xml:space="preserve">886449807487</t>
  </si>
  <si>
    <t xml:space="preserve">0886449807487</t>
  </si>
  <si>
    <t xml:space="preserve">Sennheiser Tour One In-ear Wired Headphones</t>
  </si>
  <si>
    <t xml:space="preserve">Enjoy crystal-clear audio with the Sennheiser Tour One. Perfect for music lovers and remote workers.</t>
  </si>
  <si>
    <t xml:space="preserve">https://images.bestbuy.com/marketplace/sennheiser-tour-one-main.jpg</t>
  </si>
  <si>
    <t xml:space="preserve">2024-09-09</t>
  </si>
  <si>
    <t xml:space="preserve">BB-MKT-00336</t>
  </si>
  <si>
    <t xml:space="preserve">TC-7504-BK</t>
  </si>
  <si>
    <t xml:space="preserve">126000982276</t>
  </si>
  <si>
    <t xml:space="preserve">0126000982276</t>
  </si>
  <si>
    <t xml:space="preserve">TCL 43" 4K UHD Smart TV QLED 4K</t>
  </si>
  <si>
    <t xml:space="preserve">Screen_Size: 43" | Resolution: 4K UHD | Smart_TV: No | HDR: HDR10+</t>
  </si>
  <si>
    <t xml:space="preserve">BB-MKT-00112</t>
  </si>
  <si>
    <t xml:space="preserve">WY-6780-WH</t>
  </si>
  <si>
    <t xml:space="preserve">774316584253</t>
  </si>
  <si>
    <t xml:space="preserve">0774316584253</t>
  </si>
  <si>
    <t xml:space="preserve">Wyze Nest Hub Max Smart Home Device</t>
  </si>
  <si>
    <t xml:space="preserve">Transform your home with the Wyze Nest Hub Max. Easy setup and seamless smart home integration.</t>
  </si>
  <si>
    <t xml:space="preserve">https://images.bestbuy.com/marketplace/wyze-nest-hub-max-main.jpg</t>
  </si>
  <si>
    <t xml:space="preserve">Connectivity: Zigbee | Voice_Assistant: Apple HomeKit | Power: Wired</t>
  </si>
  <si>
    <t xml:space="preserve">2024-08-13</t>
  </si>
  <si>
    <t xml:space="preserve">BB-MKT-00864</t>
  </si>
  <si>
    <t xml:space="preserve">HI-7523-BK</t>
  </si>
  <si>
    <t xml:space="preserve">770021733788</t>
  </si>
  <si>
    <t xml:space="preserve">0770021733788</t>
  </si>
  <si>
    <t xml:space="preserve">Hisense 50" 8K Smart TV OLED C3 - EXTREMELY DETAILED SPEC DESCRIPTION THAT GOES WAY BEYOND THE ALLOWED CHARACTER LIMIT FOR BEST BUY MARKETPLACE LISTINGS</t>
  </si>
  <si>
    <t xml:space="preserve">Screen_Size: 50" | Resolution: 8K | Smart_TV: No | HDR: Dolby Vision</t>
  </si>
  <si>
    <t xml:space="preserve">2024-07-23</t>
  </si>
  <si>
    <t xml:space="preserve">2023-11-25</t>
  </si>
  <si>
    <t xml:space="preserve">BB-MKT-00425</t>
  </si>
  <si>
    <t xml:space="preserve">VI-1931-WH</t>
  </si>
  <si>
    <t xml:space="preserve">201444538631</t>
  </si>
  <si>
    <t xml:space="preserve">0201444538631</t>
  </si>
  <si>
    <t xml:space="preserve">Vizio 55" 4K UHD Smart TV Bravia XR</t>
  </si>
  <si>
    <t xml:space="preserve">Immerse yourself in stunning visuals with the Vizio Bravia XR. Features cutting-edge display technology.</t>
  </si>
  <si>
    <t xml:space="preserve">https://images.bestbuy.com/marketplace/vizio-bravia-xr-main.jpg</t>
  </si>
  <si>
    <t xml:space="preserve">BB-MKT-00258</t>
  </si>
  <si>
    <t xml:space="preserve">JA-4430-WH</t>
  </si>
  <si>
    <t xml:space="preserve">402589264556</t>
  </si>
  <si>
    <t xml:space="preserve">0402589264556</t>
  </si>
  <si>
    <t xml:space="preserve">Jabra QuietComfort 45 On-ear Both Headphones</t>
  </si>
  <si>
    <t xml:space="preserve">Enjoy crystal-clear audio with the Jabra QuietComfort 45. Perfect for music lovers and remote workers.</t>
  </si>
  <si>
    <t xml:space="preserve">https://images.bestbuy.com/marketplace/jabra-quietcomfort-45-main.jpg</t>
  </si>
  <si>
    <t xml:space="preserve">Type: On-ear | Connectivity: Both | ANC: Yes | Battery_Hours: 20</t>
  </si>
  <si>
    <t xml:space="preserve">2024-08-15</t>
  </si>
  <si>
    <t xml:space="preserve">BB-MKT-00419</t>
  </si>
  <si>
    <t xml:space="preserve">SO-8317-SL</t>
  </si>
  <si>
    <t xml:space="preserve">266382597355</t>
  </si>
  <si>
    <t xml:space="preserve">0266382597355</t>
  </si>
  <si>
    <t xml:space="preserve">Sony Evolve2 85 Over-ear Both Headphones</t>
  </si>
  <si>
    <t xml:space="preserve">Type: Over-ear | Connectivity: Both | ANC: Yes | Battery_Hours: 40</t>
  </si>
  <si>
    <t xml:space="preserve">2024-10-29</t>
  </si>
  <si>
    <t xml:space="preserve">BB-MKT-00358</t>
  </si>
  <si>
    <t xml:space="preserve">LE-5162-SL</t>
  </si>
  <si>
    <t xml:space="preserve">704584113184</t>
  </si>
  <si>
    <t xml:space="preserve">0704584113184</t>
  </si>
  <si>
    <t xml:space="preserve">Lenovo Surface Pro 9 12.9" 128GB Tablet</t>
  </si>
  <si>
    <t xml:space="preserve">Stay productive and entertained with the Lenovo Surface Pro 9. Powerful performance in a sleek design.</t>
  </si>
  <si>
    <t xml:space="preserve">https://images.bestbuy.com/marketplace/lenovo-surface-pro-9-main.jpg</t>
  </si>
  <si>
    <t xml:space="preserve">Storage_GB: 128 | Screen_Size: 12.9" | Cellular: Yes | RAM_GB: 12</t>
  </si>
  <si>
    <t xml:space="preserve">BB-MKT-00147</t>
  </si>
  <si>
    <t xml:space="preserve">HI-2562-WH</t>
  </si>
  <si>
    <t xml:space="preserve">836160973311</t>
  </si>
  <si>
    <t xml:space="preserve">0836160973311</t>
  </si>
  <si>
    <t xml:space="preserve">Hisense 65" 8K Smart TV V-Series</t>
  </si>
  <si>
    <t xml:space="preserve">Screen_Size: 65" | Resolution: 8K | Smart_TV: No | HDR: HDR10</t>
  </si>
  <si>
    <t xml:space="preserve">BB-MKT-00426</t>
  </si>
  <si>
    <t xml:space="preserve">GO-5826-BL</t>
  </si>
  <si>
    <t xml:space="preserve">375669310483</t>
  </si>
  <si>
    <t xml:space="preserve">0375669310483</t>
  </si>
  <si>
    <t xml:space="preserve">Google Learning Thermostat Smart Home Device</t>
  </si>
  <si>
    <t xml:space="preserve">Transform your home with the Google Learning Thermostat. Easy setup and seamless smart home integration.</t>
  </si>
  <si>
    <t xml:space="preserve">https://images.bestbuy.com/marketplace/google-learning-thermostat-main.jpg</t>
  </si>
  <si>
    <t xml:space="preserve">Connectivity: Zigbee | Voice_Assistant: Alexa | Power: USB-C</t>
  </si>
  <si>
    <t xml:space="preserve">BB-MKT-00912</t>
  </si>
  <si>
    <t xml:space="preserve">SE-2840-WH</t>
  </si>
  <si>
    <t xml:space="preserve">957096331940</t>
  </si>
  <si>
    <t xml:space="preserve">0957096331940</t>
  </si>
  <si>
    <t xml:space="preserve">Sennheiser AirPods Max In-ear Wireless Headphones - EXTREMELY DETAILED SPEC DESCRIPTION THAT GOES WAY BEYOND THE ALLOWED CHARACTER LIMIT FOR BEST BUY MARKETPLACE LISTINGS</t>
  </si>
  <si>
    <t xml:space="preserve">BB-MKT-00205</t>
  </si>
  <si>
    <t xml:space="preserve">AP-7337-BL</t>
  </si>
  <si>
    <t xml:space="preserve">243093160470</t>
  </si>
  <si>
    <t xml:space="preserve">0243093160470</t>
  </si>
  <si>
    <t xml:space="preserve">Apple Galaxy Tab S9 12.9" 512GB Tablet</t>
  </si>
  <si>
    <t xml:space="preserve">Storage_GB: 512 | Screen_Size: 12.9" | Cellular: Yes | RAM_GB: 16</t>
  </si>
  <si>
    <t xml:space="preserve">2025-02-27</t>
  </si>
  <si>
    <t xml:space="preserve">BB-MKT-00183</t>
  </si>
  <si>
    <t xml:space="preserve">MI-8909-BK</t>
  </si>
  <si>
    <t xml:space="preserve">130054904381</t>
  </si>
  <si>
    <t xml:space="preserve">0130054904381</t>
  </si>
  <si>
    <t xml:space="preserve">Microsoft Tab P12 Pro 12.9" 512GB Tablet</t>
  </si>
  <si>
    <t xml:space="preserve">Storage_GB: 512 | Screen_Size: 12.9" | Cellular: Yes | RAM_GB: 8</t>
  </si>
  <si>
    <t xml:space="preserve">2024-08-29</t>
  </si>
  <si>
    <t xml:space="preserve">BB-MKT-00794</t>
  </si>
  <si>
    <t xml:space="preserve">AP-4021-BL</t>
  </si>
  <si>
    <t xml:space="preserve">517495431869</t>
  </si>
  <si>
    <t xml:space="preserve">0517495431869</t>
  </si>
  <si>
    <t xml:space="preserve">2025-04-04</t>
  </si>
  <si>
    <t xml:space="preserve">BB-MKT-00755</t>
  </si>
  <si>
    <t xml:space="preserve">VI-5055-BL</t>
  </si>
  <si>
    <t xml:space="preserve">636875234772</t>
  </si>
  <si>
    <t xml:space="preserve">0636875234772</t>
  </si>
  <si>
    <t xml:space="preserve">Vizio 75" 8K Smart TV QLED 4K</t>
  </si>
  <si>
    <t xml:space="preserve">Immerse yourself in stunning visuals with the Vizio QLED 4K. Features cutting-edge display technology.</t>
  </si>
  <si>
    <t xml:space="preserve">https://images.bestbuy.com/marketplace/vizio-qled-4k-main.jpg</t>
  </si>
  <si>
    <t xml:space="preserve">Screen_Size: 75" | Resolution: 8K | Smart_TV: No | HDR: HDR10+</t>
  </si>
  <si>
    <t xml:space="preserve">2024-11-26</t>
  </si>
  <si>
    <t xml:space="preserve">BB-MKT-00240</t>
  </si>
  <si>
    <t xml:space="preserve">NE-7468-BK</t>
  </si>
  <si>
    <t xml:space="preserve">187182905952</t>
  </si>
  <si>
    <t xml:space="preserve">0187182905952</t>
  </si>
  <si>
    <t xml:space="preserve">Nest Cam OG Smart Home Device</t>
  </si>
  <si>
    <t xml:space="preserve">Transform your home with the Nest Cam OG. Easy setup and seamless smart home integration.</t>
  </si>
  <si>
    <t xml:space="preserve">https://images.bestbuy.com/marketplace/nest-cam-og-main.jpg</t>
  </si>
  <si>
    <t xml:space="preserve">Connectivity: Bluetooth | Voice_Assistant: Google Assistant | Power: Wired</t>
  </si>
  <si>
    <t xml:space="preserve">2025-04-19</t>
  </si>
  <si>
    <t xml:space="preserve">BB-MKT-00436</t>
  </si>
  <si>
    <t xml:space="preserve">AM-4613-BK</t>
  </si>
  <si>
    <t xml:space="preserve">978728736882</t>
  </si>
  <si>
    <t xml:space="preserve">0978728736882</t>
  </si>
  <si>
    <t xml:space="preserve">Amazon Galaxy Tab S9 8" 64GB Tablet</t>
  </si>
  <si>
    <t xml:space="preserve">Storage_GB: 64 | Screen_Size: 8" | Cellular: Yes | RAM_GB: 12</t>
  </si>
  <si>
    <t xml:space="preserve">BB-MKT-00337</t>
  </si>
  <si>
    <t xml:space="preserve">LG-1575-SL</t>
  </si>
  <si>
    <t xml:space="preserve">130797526802</t>
  </si>
  <si>
    <t xml:space="preserve">0130797526802</t>
  </si>
  <si>
    <t xml:space="preserve">LG 55" 8K Smart TV V-Series</t>
  </si>
  <si>
    <t xml:space="preserve">Screen_Size: 55" | Resolution: 8K | Smart_TV: Yes | HDR: HDR10</t>
  </si>
  <si>
    <t xml:space="preserve">BB-MKT-00145</t>
  </si>
  <si>
    <t xml:space="preserve">SA-6489-SL</t>
  </si>
  <si>
    <t xml:space="preserve">218553050124</t>
  </si>
  <si>
    <t xml:space="preserve">0218553050124</t>
  </si>
  <si>
    <t xml:space="preserve">Samsung Surface Pro 9 8" 64GB Tablet</t>
  </si>
  <si>
    <t xml:space="preserve">Storage_GB: 64 | Screen_Size: 8" | Cellular: No | RAM_GB: 16</t>
  </si>
  <si>
    <t xml:space="preserve">2025-03-10</t>
  </si>
  <si>
    <t xml:space="preserve">BB-MKT-00257</t>
  </si>
  <si>
    <t xml:space="preserve">AP-8496-WH</t>
  </si>
  <si>
    <t xml:space="preserve">727010213563</t>
  </si>
  <si>
    <t xml:space="preserve">0727010213563</t>
  </si>
  <si>
    <t xml:space="preserve">Apple Galaxy Tab S9 10.1" 128GB Tablet</t>
  </si>
  <si>
    <t xml:space="preserve">Storage_GB: 128 | Screen_Size: 10.1" | Cellular: No | RAM_GB: 12</t>
  </si>
  <si>
    <t xml:space="preserve">2024-08-11</t>
  </si>
  <si>
    <t xml:space="preserve">BB-MKT-00007</t>
  </si>
  <si>
    <t xml:space="preserve">VI-5040-SL</t>
  </si>
  <si>
    <t xml:space="preserve">251461507038</t>
  </si>
  <si>
    <t xml:space="preserve">0251461507038</t>
  </si>
  <si>
    <t xml:space="preserve">Vizio 65" 1080p Full HD Smart TV 5-Series 4K</t>
  </si>
  <si>
    <t xml:space="preserve">2025-01-21</t>
  </si>
  <si>
    <t xml:space="preserve">BB-MKT-00658</t>
  </si>
  <si>
    <t xml:space="preserve">RI-6210-BL</t>
  </si>
  <si>
    <t xml:space="preserve">284889594465</t>
  </si>
  <si>
    <t xml:space="preserve">0284889594465</t>
  </si>
  <si>
    <t xml:space="preserve">Ring Ultra 2 Smart Home Device</t>
  </si>
  <si>
    <t xml:space="preserve">Transform your home with the Ring Ultra 2. Easy setup and seamless smart home integration.</t>
  </si>
  <si>
    <t xml:space="preserve">https://images.bestbuy.com/marketplace/ring-ultra-2-main.jpg</t>
  </si>
  <si>
    <t xml:space="preserve">Connectivity: Z-Wave | Voice_Assistant: Apple HomeKit | Power: USB-C</t>
  </si>
  <si>
    <t xml:space="preserve">2025-03-30</t>
  </si>
  <si>
    <t xml:space="preserve">BB-MKT-00242</t>
  </si>
  <si>
    <t xml:space="preserve">JA-6343-SL</t>
  </si>
  <si>
    <t xml:space="preserve">707297015444</t>
  </si>
  <si>
    <t xml:space="preserve">0707297015444</t>
  </si>
  <si>
    <t xml:space="preserve">Jabra Studio Pro Over-ear Wireless Headphones</t>
  </si>
  <si>
    <t xml:space="preserve">Enjoy crystal-clear audio with the Jabra Studio Pro. Perfect for music lovers and remote workers.</t>
  </si>
  <si>
    <t xml:space="preserve">https://images.bestbuy.com/marketplace/jabra-studio-pro-main.jpg</t>
  </si>
  <si>
    <t xml:space="preserve">Type: Over-ear | Connectivity: Wireless | ANC: No | Battery_Hours: 40</t>
  </si>
  <si>
    <t xml:space="preserve">2025-04-27</t>
  </si>
  <si>
    <t xml:space="preserve">BB-MKT-00409</t>
  </si>
  <si>
    <t xml:space="preserve">AP-8421-SL</t>
  </si>
  <si>
    <t xml:space="preserve">266047221246</t>
  </si>
  <si>
    <t xml:space="preserve">0266047221246</t>
  </si>
  <si>
    <t xml:space="preserve">Apple iPad Pro 12.9 10.1" 128GB Tablet</t>
  </si>
  <si>
    <t xml:space="preserve">Storage_GB: 128 | Screen_Size: 10.1" | Cellular: Yes | RAM_GB: 6</t>
  </si>
  <si>
    <t xml:space="preserve">BB-MKT-00060</t>
  </si>
  <si>
    <t xml:space="preserve">AP-1018-BL</t>
  </si>
  <si>
    <t xml:space="preserve">666355478456</t>
  </si>
  <si>
    <t xml:space="preserve">0666355478456</t>
  </si>
  <si>
    <t xml:space="preserve">Apple Surface Pro 9 11" 256GB Tablet</t>
  </si>
  <si>
    <t xml:space="preserve">Stay productive and entertained with the Apple Surface Pro 9. Powerful performance in a sleek design.</t>
  </si>
  <si>
    <t xml:space="preserve">https://images.bestbuy.com/marketplace/apple-surface-pro-9-main.jpg</t>
  </si>
  <si>
    <t xml:space="preserve">Storage_GB: 256 | Screen_Size: 11" | Cellular: Yes | RAM_GB: 12</t>
  </si>
  <si>
    <t xml:space="preserve">2025-03-13</t>
  </si>
  <si>
    <t xml:space="preserve">BB-MKT-00888</t>
  </si>
  <si>
    <t xml:space="preserve">AM-2831-WH</t>
  </si>
  <si>
    <t xml:space="preserve">391400948440</t>
  </si>
  <si>
    <t xml:space="preserve">0391400948440</t>
  </si>
  <si>
    <t xml:space="preserve">Amazon Tab P12 Pro 8" 512GB Tablet</t>
  </si>
  <si>
    <t xml:space="preserve">Storage_GB: 512 | Screen_Size: 8" | Cellular: Yes | RAM_GB: 6</t>
  </si>
  <si>
    <t xml:space="preserve">2024-11-02</t>
  </si>
  <si>
    <t xml:space="preserve">BB-MKT-00184</t>
  </si>
  <si>
    <t xml:space="preserve">AP-8178-BL</t>
  </si>
  <si>
    <t xml:space="preserve">205124317610</t>
  </si>
  <si>
    <t xml:space="preserve">0205124317610</t>
  </si>
  <si>
    <t xml:space="preserve">Apple AirPods Max On-ear Wireless Headphones</t>
  </si>
  <si>
    <t xml:space="preserve">Type: On-ear | Connectivity: Wireless | ANC: No | Battery_Hours: 30</t>
  </si>
  <si>
    <t xml:space="preserve">BB-MKT-00270</t>
  </si>
  <si>
    <t xml:space="preserve">AM-3140-BL</t>
  </si>
  <si>
    <t xml:space="preserve">132690535494</t>
  </si>
  <si>
    <t xml:space="preserve">0132690535494</t>
  </si>
  <si>
    <t xml:space="preserve">Amazon Tab P12 Pro 10.1" 512GB Tablet</t>
  </si>
  <si>
    <t xml:space="preserve">Storage_GB: 512 | Screen_Size: 10.1" | Cellular: No | RAM_GB: 8</t>
  </si>
  <si>
    <t xml:space="preserve">2025-02-11</t>
  </si>
  <si>
    <t xml:space="preserve">BB-MKT-00497</t>
  </si>
  <si>
    <t xml:space="preserve">MI-3456-WH</t>
  </si>
  <si>
    <t xml:space="preserve">225578330109</t>
  </si>
  <si>
    <t xml:space="preserve">0225578330109</t>
  </si>
  <si>
    <t xml:space="preserve">Microsoft Surface Pro 9 11" 128GB Tablet</t>
  </si>
  <si>
    <t xml:space="preserve">Storage_GB: 128 | Screen_Size: 11" | Cellular: Yes | RAM_GB: 12</t>
  </si>
  <si>
    <t xml:space="preserve">2025-02-23</t>
  </si>
  <si>
    <t xml:space="preserve">BB-MKT-00628</t>
  </si>
  <si>
    <t xml:space="preserve">MS-3795-WH</t>
  </si>
  <si>
    <t xml:space="preserve">575594794981</t>
  </si>
  <si>
    <t xml:space="preserve">0575594794981</t>
  </si>
  <si>
    <t xml:space="preserve">MSI MacBook Air 16" Laptop - 64GB RAM 1024GB SSD</t>
  </si>
  <si>
    <t xml:space="preserve">RAM_GB: 64 | Storage_GB: 1024 | Screen_Size: 16" | Processor: AMD Ryzen 5</t>
  </si>
  <si>
    <t xml:space="preserve">2025-03-07</t>
  </si>
  <si>
    <t xml:space="preserve">BB-MKT-00887</t>
  </si>
  <si>
    <t xml:space="preserve">AR-1979-SL</t>
  </si>
  <si>
    <t xml:space="preserve">898124125401</t>
  </si>
  <si>
    <t xml:space="preserve">0898124125401</t>
  </si>
  <si>
    <t xml:space="preserve">2024-07-21</t>
  </si>
  <si>
    <t xml:space="preserve">BB-MKT-00081</t>
  </si>
  <si>
    <t xml:space="preserve">MS-3417-BK</t>
  </si>
  <si>
    <t xml:space="preserve">951814677126</t>
  </si>
  <si>
    <t xml:space="preserve">0951814677126</t>
  </si>
  <si>
    <t xml:space="preserve">MSI Katana 15 14" Laptop - 16GB RAM 1024GB SSD</t>
  </si>
  <si>
    <t xml:space="preserve">RAM_GB: 16 | Storage_GB: 1024 | Screen_Size: 14" | Processor: Intel i7</t>
  </si>
  <si>
    <t xml:space="preserve">2025-04-03</t>
  </si>
  <si>
    <t xml:space="preserve">BB-MKT-00683</t>
  </si>
  <si>
    <t xml:space="preserve">TC-6824-WH</t>
  </si>
  <si>
    <t xml:space="preserve">112094293589</t>
  </si>
  <si>
    <t xml:space="preserve">0112094293589</t>
  </si>
  <si>
    <t xml:space="preserve">TCL 55" 8K Smart TV U8K</t>
  </si>
  <si>
    <t xml:space="preserve">Immerse yourself in stunning visuals with the TCL U8K. Features cutting-edge display technology.</t>
  </si>
  <si>
    <t xml:space="preserve">https://images.bestbuy.com/marketplace/tcl-u8k-main.jpg</t>
  </si>
  <si>
    <t xml:space="preserve">Screen_Size: 55" | Resolution: 8K | Smart_TV: Yes | HDR: HDR10+</t>
  </si>
  <si>
    <t xml:space="preserve">BB-MKT-00054</t>
  </si>
  <si>
    <t xml:space="preserve">SE-5335-BK</t>
  </si>
  <si>
    <t xml:space="preserve">334614800586</t>
  </si>
  <si>
    <t xml:space="preserve">0334614800586</t>
  </si>
  <si>
    <t xml:space="preserve">Sennheiser Momentum 4 Over-ear Both Headphones</t>
  </si>
  <si>
    <t xml:space="preserve">Type: Over-ear | Connectivity: Both | ANC: Yes | Battery_Hours: 24</t>
  </si>
  <si>
    <t xml:space="preserve">2023-12-30</t>
  </si>
  <si>
    <t xml:space="preserve">BB-MKT-00625</t>
  </si>
  <si>
    <t xml:space="preserve">NE-3644-BK</t>
  </si>
  <si>
    <t xml:space="preserve">738241371482</t>
  </si>
  <si>
    <t xml:space="preserve">0738241371482</t>
  </si>
  <si>
    <t xml:space="preserve">Nest Ultra 2 Smart Home Device</t>
  </si>
  <si>
    <t xml:space="preserve">Transform your home with the Nest Ultra 2. Easy setup and seamless smart home integration.</t>
  </si>
  <si>
    <t xml:space="preserve">https://images.bestbuy.com/marketplace/nest-ultra-2-main.jpg</t>
  </si>
  <si>
    <t xml:space="preserve">Connectivity: Zigbee | Voice_Assistant: Apple HomeKit | Power: Battery</t>
  </si>
  <si>
    <t xml:space="preserve">2025-01-13</t>
  </si>
  <si>
    <t xml:space="preserve">BB-MKT-00540</t>
  </si>
  <si>
    <t xml:space="preserve">AP-1107-WH</t>
  </si>
  <si>
    <t xml:space="preserve">559431091150</t>
  </si>
  <si>
    <t xml:space="preserve">0559431091150</t>
  </si>
  <si>
    <t xml:space="preserve">Apple Studio Pro Over-ear Wireless Headphones</t>
  </si>
  <si>
    <t xml:space="preserve">2025-03-16</t>
  </si>
  <si>
    <t xml:space="preserve">BB-MKT-00499</t>
  </si>
  <si>
    <t xml:space="preserve">AP-2479-BL</t>
  </si>
  <si>
    <t xml:space="preserve">836000345811</t>
  </si>
  <si>
    <t xml:space="preserve">0836000345811</t>
  </si>
  <si>
    <t xml:space="preserve">Apple iPad Pro 12.9 11" 64GB Tablet</t>
  </si>
  <si>
    <t xml:space="preserve">BB-MKT-00362</t>
  </si>
  <si>
    <t xml:space="preserve">BE-7266-BK</t>
  </si>
  <si>
    <t xml:space="preserve">112578469592</t>
  </si>
  <si>
    <t xml:space="preserve">0112578469592</t>
  </si>
  <si>
    <t xml:space="preserve">BB-MKT-00374</t>
  </si>
  <si>
    <t xml:space="preserve">HI-4387-WH</t>
  </si>
  <si>
    <t xml:space="preserve">244062797014</t>
  </si>
  <si>
    <t xml:space="preserve">0244062797014</t>
  </si>
  <si>
    <t xml:space="preserve">Hisense 65" 8K Smart TV OLED C3</t>
  </si>
  <si>
    <t xml:space="preserve">Screen_Size: 65" | Resolution: 8K | Smart_TV: No | HDR: Dolby Vision</t>
  </si>
  <si>
    <t xml:space="preserve">BB-MKT-00432</t>
  </si>
  <si>
    <t xml:space="preserve">LG-2749-SL</t>
  </si>
  <si>
    <t xml:space="preserve">528190553934</t>
  </si>
  <si>
    <t xml:space="preserve">0528190553934</t>
  </si>
  <si>
    <t xml:space="preserve">LG 43" 8K Smart TV U8K</t>
  </si>
  <si>
    <t xml:space="preserve">2024-10-06</t>
  </si>
  <si>
    <t xml:space="preserve">BB-MKT-00472</t>
  </si>
  <si>
    <t xml:space="preserve">SO-5610-SL</t>
  </si>
  <si>
    <t xml:space="preserve">667523876457</t>
  </si>
  <si>
    <t xml:space="preserve">0667523876457</t>
  </si>
  <si>
    <t xml:space="preserve">Sony Momentum 4 In-ear Wired Headphones</t>
  </si>
  <si>
    <t xml:space="preserve">Type: In-ear | Connectivity: Wired | ANC: Yes | Battery_Hours: 20</t>
  </si>
  <si>
    <t xml:space="preserve">2024-09-22</t>
  </si>
  <si>
    <t xml:space="preserve">BB-MKT-00154</t>
  </si>
  <si>
    <t xml:space="preserve">LE-9802-BL</t>
  </si>
  <si>
    <t xml:space="preserve">293783053908</t>
  </si>
  <si>
    <t xml:space="preserve">0293783053908</t>
  </si>
  <si>
    <t xml:space="preserve">Lenovo Tab P12 Pro 8" 512GB Tablet</t>
  </si>
  <si>
    <t xml:space="preserve">Stay productive and entertained with the Lenovo Tab P12 Pro. Powerful performance in a sleek design.</t>
  </si>
  <si>
    <t xml:space="preserve">https://images.bestbuy.com/marketplace/lenovo-tab-p12-pro-main.jpg</t>
  </si>
  <si>
    <t xml:space="preserve">Storage_GB: 512 | Screen_Size: 8" | Cellular: Yes | RAM_GB: 8</t>
  </si>
  <si>
    <t xml:space="preserve">2024-07-02</t>
  </si>
  <si>
    <t xml:space="preserve">BB-MKT-00020</t>
  </si>
  <si>
    <t xml:space="preserve">BO-5915-BL</t>
  </si>
  <si>
    <t xml:space="preserve">243433808038</t>
  </si>
  <si>
    <t xml:space="preserve">0243433808038</t>
  </si>
  <si>
    <t xml:space="preserve">Bose Evolve2 85 In-ear Wired Headphones</t>
  </si>
  <si>
    <t xml:space="preserve">BB-MKT-00637</t>
  </si>
  <si>
    <t xml:space="preserve">AS-4610-SL</t>
  </si>
  <si>
    <t xml:space="preserve">408233949370</t>
  </si>
  <si>
    <t xml:space="preserve">0408233949370</t>
  </si>
  <si>
    <t xml:space="preserve">ASUS MacBook Air 15.6" Laptop - 8GB RAM 256GB SSD</t>
  </si>
  <si>
    <t xml:space="preserve">RAM_GB: 8 | Storage_GB: 256 | Screen_Size: 15.6" | Processor: AMD Ryzen 7</t>
  </si>
  <si>
    <t xml:space="preserve">BB-MKT-00370</t>
  </si>
  <si>
    <t xml:space="preserve">AP-7332-WH</t>
  </si>
  <si>
    <t xml:space="preserve">417909520690</t>
  </si>
  <si>
    <t xml:space="preserve">0417909520690</t>
  </si>
  <si>
    <t xml:space="preserve">Apple iPad Pro 12.9 11" 512GB Tablet</t>
  </si>
  <si>
    <t xml:space="preserve">Storage_GB: 512 | Screen_Size: 11" | Cellular: No | RAM_GB: 4</t>
  </si>
  <si>
    <t xml:space="preserve">BB-MKT-00096</t>
  </si>
  <si>
    <t xml:space="preserve">BO-6724-SL</t>
  </si>
  <si>
    <t xml:space="preserve">312643624935</t>
  </si>
  <si>
    <t xml:space="preserve">0312643624935</t>
  </si>
  <si>
    <t xml:space="preserve">Bose AirPods Max Over-ear Wireless Headphones</t>
  </si>
  <si>
    <t xml:space="preserve">Enjoy crystal-clear audio with the Bose AirPods Max. Perfect for music lovers and remote workers.</t>
  </si>
  <si>
    <t xml:space="preserve">https://images.bestbuy.com/marketplace/bose-airpods-max-main.jpg</t>
  </si>
  <si>
    <t xml:space="preserve">Type: Over-ear | Connectivity: Wireless | ANC: Yes | Battery_Hours: 40</t>
  </si>
  <si>
    <t xml:space="preserve">BB-MKT-00053</t>
  </si>
  <si>
    <t xml:space="preserve">HI-4697-BL</t>
  </si>
  <si>
    <t xml:space="preserve">558549792976</t>
  </si>
  <si>
    <t xml:space="preserve">0558549792976</t>
  </si>
  <si>
    <t xml:space="preserve">Hisense 43" 4K UHD Smart TV Bravia XR</t>
  </si>
  <si>
    <t xml:space="preserve">Immerse yourself in stunning visuals with the Hisense Bravia XR. Features cutting-edge display technology.</t>
  </si>
  <si>
    <t xml:space="preserve">https://images.bestbuy.com/marketplace/hisense-bravia-xr-main.jpg</t>
  </si>
  <si>
    <t xml:space="preserve">2025-04-28</t>
  </si>
  <si>
    <t xml:space="preserve">BB-MKT-00482</t>
  </si>
  <si>
    <t xml:space="preserve">AM-2666-WH</t>
  </si>
  <si>
    <t xml:space="preserve">751525223379</t>
  </si>
  <si>
    <t xml:space="preserve">0751525223379</t>
  </si>
  <si>
    <t xml:space="preserve">Amazon iPad Pro 12.9 10.1" 64GB Tablet</t>
  </si>
  <si>
    <t xml:space="preserve">Storage_GB: 64 | Screen_Size: 10.1" | Cellular: No | RAM_GB: 12</t>
  </si>
  <si>
    <t xml:space="preserve">BB-MKT-00606</t>
  </si>
  <si>
    <t xml:space="preserve">JA-3236-SL</t>
  </si>
  <si>
    <t xml:space="preserve">225630395011</t>
  </si>
  <si>
    <t xml:space="preserve">0225630395011</t>
  </si>
  <si>
    <t xml:space="preserve">Jabra Tour One Over-ear Wired Headphones</t>
  </si>
  <si>
    <t xml:space="preserve">Enjoy crystal-clear audio with the Jabra Tour One. Perfect for music lovers and remote workers.</t>
  </si>
  <si>
    <t xml:space="preserve">https://images.bestbuy.com/marketplace/jabra-tour-one-main.jpg</t>
  </si>
  <si>
    <t xml:space="preserve">Type: Over-ear | Connectivity: Wired | ANC: Yes | Battery_Hours: 20</t>
  </si>
  <si>
    <t xml:space="preserve">BB-MKT-00959</t>
  </si>
  <si>
    <t xml:space="preserve">LG-2540-SL</t>
  </si>
  <si>
    <t xml:space="preserve">926573875621</t>
  </si>
  <si>
    <t xml:space="preserve">0926573875621</t>
  </si>
  <si>
    <t xml:space="preserve">2024-07-31</t>
  </si>
  <si>
    <t xml:space="preserve">BB-MKT-00717</t>
  </si>
  <si>
    <t xml:space="preserve">MI-3369-SL</t>
  </si>
  <si>
    <t xml:space="preserve">833248514898</t>
  </si>
  <si>
    <t xml:space="preserve">0833248514898</t>
  </si>
  <si>
    <t xml:space="preserve">2024-12-10</t>
  </si>
  <si>
    <t xml:space="preserve">BB-MKT-00375</t>
  </si>
  <si>
    <t xml:space="preserve">GO-9732-BK</t>
  </si>
  <si>
    <t xml:space="preserve">710176615117</t>
  </si>
  <si>
    <t xml:space="preserve">0710176615117</t>
  </si>
  <si>
    <t xml:space="preserve">Connectivity: Zigbee | Voice_Assistant: Google Assistant | Power: Wired</t>
  </si>
  <si>
    <t xml:space="preserve">2024-07-16</t>
  </si>
  <si>
    <t xml:space="preserve">BB-MKT-00935</t>
  </si>
  <si>
    <t xml:space="preserve">BO-6105-WH</t>
  </si>
  <si>
    <t xml:space="preserve">712927657710</t>
  </si>
  <si>
    <t xml:space="preserve">0712927657710</t>
  </si>
  <si>
    <t xml:space="preserve">Bose Evolve2 85 On-ear Wireless Headphones</t>
  </si>
  <si>
    <t xml:space="preserve">BB-MKT-00128</t>
  </si>
  <si>
    <t xml:space="preserve">AR-8912-WH</t>
  </si>
  <si>
    <t xml:space="preserve">434821263002</t>
  </si>
  <si>
    <t xml:space="preserve">0434821263002</t>
  </si>
  <si>
    <t xml:space="preserve">Arlo Echo Show 10 Smart Home Device</t>
  </si>
  <si>
    <t xml:space="preserve">Transform your home with the Arlo Echo Show 10. Easy setup and seamless smart home integration.</t>
  </si>
  <si>
    <t xml:space="preserve">https://images.bestbuy.com/marketplace/arlo-echo-show-10-main.jpg</t>
  </si>
  <si>
    <t xml:space="preserve">BB-MKT-00320</t>
  </si>
  <si>
    <t xml:space="preserve">LE-9482-BK</t>
  </si>
  <si>
    <t xml:space="preserve">321560527246</t>
  </si>
  <si>
    <t xml:space="preserve">0321560527246</t>
  </si>
  <si>
    <t xml:space="preserve">Lenovo Katana 15 16" Laptop - 64GB RAM 512GB SSD</t>
  </si>
  <si>
    <t xml:space="preserve">RAM_GB: 64 | Storage_GB: 512 | Screen_Size: 16" | Processor: AMD Ryzen 7</t>
  </si>
  <si>
    <t xml:space="preserve">2025-04-08</t>
  </si>
  <si>
    <t xml:space="preserve">BB-MKT-00402</t>
  </si>
  <si>
    <t xml:space="preserve">HP-2410-BL</t>
  </si>
  <si>
    <t xml:space="preserve">157482122762</t>
  </si>
  <si>
    <t xml:space="preserve">0157482122762</t>
  </si>
  <si>
    <t xml:space="preserve">HP XPS 15 13.3" Laptop - 64GB RAM 1024GB SSD</t>
  </si>
  <si>
    <t xml:space="preserve">Experience premium performance with the HP XPS 15. Designed for professionals and students alike.</t>
  </si>
  <si>
    <t xml:space="preserve">https://images.bestbuy.com/marketplace/hp-xps-15-main.jpg</t>
  </si>
  <si>
    <t xml:space="preserve">RAM_GB: 64 | Storage_GB: 1024 | Screen_Size: 13.3" | Processor: Intel i5</t>
  </si>
  <si>
    <t xml:space="preserve">2025-04-30</t>
  </si>
  <si>
    <t xml:space="preserve">BB-MKT-00451</t>
  </si>
  <si>
    <t xml:space="preserve">MI-6963-BK</t>
  </si>
  <si>
    <t xml:space="preserve">842642812822</t>
  </si>
  <si>
    <t xml:space="preserve">0842642812822</t>
  </si>
  <si>
    <t xml:space="preserve">Microsoft Fire HD 10 8" 128GB Tablet</t>
  </si>
  <si>
    <t xml:space="preserve">BB-MKT-00420</t>
  </si>
  <si>
    <t xml:space="preserve">HI-7765-BL</t>
  </si>
  <si>
    <t xml:space="preserve">926763802459</t>
  </si>
  <si>
    <t xml:space="preserve">0926763802459</t>
  </si>
  <si>
    <t xml:space="preserve">Hisense 55" 4K UHD Smart TV QLED 4K</t>
  </si>
  <si>
    <t xml:space="preserve">Screen_Size: 55" | Resolution: 4K UHD | Smart_TV: Yes | HDR: HDR10+</t>
  </si>
  <si>
    <t xml:space="preserve">BB-MKT-00693</t>
  </si>
  <si>
    <t xml:space="preserve">TC-5562-WH</t>
  </si>
  <si>
    <t xml:space="preserve">570633251525</t>
  </si>
  <si>
    <t xml:space="preserve">0570633251525</t>
  </si>
  <si>
    <t xml:space="preserve">TCL 85" 8K Smart TV 5-Series 4K</t>
  </si>
  <si>
    <t xml:space="preserve">Immerse yourself in stunning visuals with the TCL 5-Series 4K. Features cutting-edge display technology.</t>
  </si>
  <si>
    <t xml:space="preserve">https://images.bestbuy.com/marketplace/tcl-5-series-4k-main.jpg</t>
  </si>
  <si>
    <t xml:space="preserve">BB-MKT-00784</t>
  </si>
  <si>
    <t xml:space="preserve">WY-2816-BL</t>
  </si>
  <si>
    <t xml:space="preserve">697243756291</t>
  </si>
  <si>
    <t xml:space="preserve">0697243756291</t>
  </si>
  <si>
    <t xml:space="preserve">Connectivity: Z-Wave | Voice_Assistant: None | Power: USB-C</t>
  </si>
  <si>
    <t xml:space="preserve">BB-MKT-00140</t>
  </si>
  <si>
    <t xml:space="preserve">LG-4396-BL</t>
  </si>
  <si>
    <t xml:space="preserve">416844780876</t>
  </si>
  <si>
    <t xml:space="preserve">0416844780876</t>
  </si>
  <si>
    <t xml:space="preserve">LG 75" 8K Smart TV Bravia XR</t>
  </si>
  <si>
    <t xml:space="preserve">BB-MKT-00304</t>
  </si>
  <si>
    <t xml:space="preserve">LE-6918-BL</t>
  </si>
  <si>
    <t xml:space="preserve">971482047665</t>
  </si>
  <si>
    <t xml:space="preserve">0971482047665</t>
  </si>
  <si>
    <t xml:space="preserve">RAM_GB: 16 | Storage_GB: 256 | Screen_Size: 14" | Processor: Apple M2</t>
  </si>
  <si>
    <t xml:space="preserve">BB-MKT-00195</t>
  </si>
  <si>
    <t xml:space="preserve">RI-5543-WH</t>
  </si>
  <si>
    <t xml:space="preserve">168370591034</t>
  </si>
  <si>
    <t xml:space="preserve">0168370591034</t>
  </si>
  <si>
    <t xml:space="preserve">BB-MKT-00399</t>
  </si>
  <si>
    <t xml:space="preserve">PH-6119-BK</t>
  </si>
  <si>
    <t xml:space="preserve">671673473661</t>
  </si>
  <si>
    <t xml:space="preserve">0671673473661</t>
  </si>
  <si>
    <t xml:space="preserve">Philips Echo Show 10 Smart Home Device</t>
  </si>
  <si>
    <t xml:space="preserve">Transform your home with the Philips Echo Show 10. Easy setup and seamless smart home integration.</t>
  </si>
  <si>
    <t xml:space="preserve">https://images.bestbuy.com/marketplace/philips-echo-show-10-main.jpg</t>
  </si>
  <si>
    <t xml:space="preserve">Connectivity: Z-Wave | Voice_Assistant: None | Power: Battery</t>
  </si>
  <si>
    <t xml:space="preserve">BB-MKT-00077</t>
  </si>
  <si>
    <t xml:space="preserve">GO-7689-BK</t>
  </si>
  <si>
    <t xml:space="preserve">814262468039</t>
  </si>
  <si>
    <t xml:space="preserve">0814262468039</t>
  </si>
  <si>
    <t xml:space="preserve">Google Ultra 2 Smart Home Device</t>
  </si>
  <si>
    <t xml:space="preserve">Transform your home with the Google Ultra 2. Easy setup and seamless smart home integration.</t>
  </si>
  <si>
    <t xml:space="preserve">https://images.bestbuy.com/marketplace/google-ultra-2-main.jpg</t>
  </si>
  <si>
    <t xml:space="preserve">Connectivity: Wi-Fi | Voice_Assistant: None | Power: USB-C</t>
  </si>
  <si>
    <t xml:space="preserve">BB-MKT-00227</t>
  </si>
  <si>
    <t xml:space="preserve">RI-3328-WH</t>
  </si>
  <si>
    <t xml:space="preserve">489555942393</t>
  </si>
  <si>
    <t xml:space="preserve">0489555942393</t>
  </si>
  <si>
    <t xml:space="preserve">Connectivity: Z-Wave | Voice_Assistant: Alexa | Power: USB-C</t>
  </si>
  <si>
    <t xml:space="preserve">BB-MKT-00228</t>
  </si>
  <si>
    <t xml:space="preserve">TC-9625-BL</t>
  </si>
  <si>
    <t xml:space="preserve">122414613742</t>
  </si>
  <si>
    <t xml:space="preserve">0122414613742</t>
  </si>
  <si>
    <t xml:space="preserve">2024-09-05</t>
  </si>
  <si>
    <t xml:space="preserve">BB-MKT-00978</t>
  </si>
  <si>
    <t xml:space="preserve">DE-6270-SL</t>
  </si>
  <si>
    <t xml:space="preserve">287778042337</t>
  </si>
  <si>
    <t xml:space="preserve">0287778042337</t>
  </si>
  <si>
    <t xml:space="preserve">Dell MacBook Air 13.3" Laptop - 8GB RAM 512GB SSD</t>
  </si>
  <si>
    <t xml:space="preserve">Experience premium performance with the Dell MacBook Air. Designed for professionals and students alike.</t>
  </si>
  <si>
    <t xml:space="preserve">https://images.bestbuy.com/marketplace/dell-macbook-air-main.jpg</t>
  </si>
  <si>
    <t xml:space="preserve">RAM_GB: 8 | Storage_GB: 512 | Screen_Size: 13.3" | Processor: Apple M2</t>
  </si>
  <si>
    <t xml:space="preserve">2024-10-28</t>
  </si>
  <si>
    <t xml:space="preserve">BB-MKT-00042</t>
  </si>
  <si>
    <t xml:space="preserve">LG-2874-WH</t>
  </si>
  <si>
    <t xml:space="preserve">836473336882</t>
  </si>
  <si>
    <t xml:space="preserve">0836473336882</t>
  </si>
  <si>
    <t xml:space="preserve">LG 75" 4K UHD Smart TV QLED 4K</t>
  </si>
  <si>
    <t xml:space="preserve">Screen_Size: 75" | Resolution: 4K UHD | Smart_TV: Yes | HDR: HDR10</t>
  </si>
  <si>
    <t xml:space="preserve">BB-MKT-00313</t>
  </si>
  <si>
    <t xml:space="preserve">PH-4809-BK</t>
  </si>
  <si>
    <t xml:space="preserve">625079156715</t>
  </si>
  <si>
    <t xml:space="preserve">0625079156715</t>
  </si>
  <si>
    <t xml:space="preserve">Philips Ultra 2 Smart Home Device</t>
  </si>
  <si>
    <t xml:space="preserve">Transform your home with the Philips Ultra 2. Easy setup and seamless smart home integration.</t>
  </si>
  <si>
    <t xml:space="preserve">https://images.bestbuy.com/marketplace/philips-ultra-2-main.jpg</t>
  </si>
  <si>
    <t xml:space="preserve">Connectivity: Wi-Fi | Voice_Assistant: None | Power: Battery</t>
  </si>
  <si>
    <t xml:space="preserve">2024-11-09</t>
  </si>
  <si>
    <t xml:space="preserve">BB-MKT-00110</t>
  </si>
  <si>
    <t xml:space="preserve">LE-1086-BK</t>
  </si>
  <si>
    <t xml:space="preserve">776236594141</t>
  </si>
  <si>
    <t xml:space="preserve">0776236594141</t>
  </si>
  <si>
    <t xml:space="preserve">Lenovo Katana 15 14" Laptop - 64GB RAM 1024GB SSD</t>
  </si>
  <si>
    <t xml:space="preserve">RAM_GB: 64 | Storage_GB: 1024 | Screen_Size: 14" | Processor: AMD Ryzen 7</t>
  </si>
  <si>
    <t xml:space="preserve">BB-MKT-00632</t>
  </si>
  <si>
    <t xml:space="preserve">MI-4925-SL</t>
  </si>
  <si>
    <t xml:space="preserve">447889967854</t>
  </si>
  <si>
    <t xml:space="preserve">0447889967854</t>
  </si>
  <si>
    <t xml:space="preserve">Microsoft Fire HD 10 11" 512GB Tablet</t>
  </si>
  <si>
    <t xml:space="preserve">Storage_GB: 512 | Screen_Size: 11" | Cellular: No | RAM_GB: 8</t>
  </si>
  <si>
    <t xml:space="preserve">2024-12-30</t>
  </si>
  <si>
    <t xml:space="preserve">BB-MKT-00934</t>
  </si>
  <si>
    <t xml:space="preserve">WY-5857-BL</t>
  </si>
  <si>
    <t xml:space="preserve">542162154842</t>
  </si>
  <si>
    <t xml:space="preserve">0542162154842</t>
  </si>
  <si>
    <t xml:space="preserve">2023-11-14</t>
  </si>
  <si>
    <t xml:space="preserve">BB-MKT-00223</t>
  </si>
  <si>
    <t xml:space="preserve">SA-7750-BL</t>
  </si>
  <si>
    <t xml:space="preserve">646728313631</t>
  </si>
  <si>
    <t xml:space="preserve">0646728313631</t>
  </si>
  <si>
    <t xml:space="preserve">Samsung 75" 1080p Full HD Smart TV U8K - EXTREMELY DETAILED SPEC DESCRIPTION THAT GOES WAY BEYOND THE ALLOWED CHARACTER LIMIT FOR BEST BUY MARKETPLACE LISTINGS</t>
  </si>
  <si>
    <t xml:space="preserve">Screen_Size: 75" | Resolution: 1080p Full HD | Smart_TV: Yes | HDR: HDR10+</t>
  </si>
  <si>
    <t xml:space="preserve">BB-MKT-00476</t>
  </si>
  <si>
    <t xml:space="preserve">AP-3028-WH</t>
  </si>
  <si>
    <t xml:space="preserve">206319983860</t>
  </si>
  <si>
    <t xml:space="preserve">0206319983860</t>
  </si>
  <si>
    <t xml:space="preserve">Apple Surface Pro 9 8" 64GB Tablet</t>
  </si>
  <si>
    <t xml:space="preserve">Storage_GB: 64 | Screen_Size: 8" | Cellular: No | RAM_GB: 4</t>
  </si>
  <si>
    <t xml:space="preserve">2024-12-27</t>
  </si>
  <si>
    <t xml:space="preserve">BB-MKT-00435</t>
  </si>
  <si>
    <t xml:space="preserve">DE-4976-WH</t>
  </si>
  <si>
    <t xml:space="preserve">149900528148</t>
  </si>
  <si>
    <t xml:space="preserve">0149900528148</t>
  </si>
  <si>
    <t xml:space="preserve">Dell MacBook Air 13.3" Laptop - 16GB RAM 512GB SSD</t>
  </si>
  <si>
    <t xml:space="preserve">RAM_GB: 16 | Storage_GB: 512 | Screen_Size: 13.3" | Processor: AMD Ryzen 7</t>
  </si>
  <si>
    <t xml:space="preserve">2024-12-05</t>
  </si>
  <si>
    <t xml:space="preserve">BB-MKT-00364</t>
  </si>
  <si>
    <t xml:space="preserve">SO-2393-BL</t>
  </si>
  <si>
    <t xml:space="preserve">389477322407</t>
  </si>
  <si>
    <t xml:space="preserve">0389477322407</t>
  </si>
  <si>
    <t xml:space="preserve">Sony Tour One In-ear Both Headphones</t>
  </si>
  <si>
    <t xml:space="preserve">Type: In-ear | Connectivity: Both | ANC: Yes | Battery_Hours: 40</t>
  </si>
  <si>
    <t xml:space="preserve">2024-09-08</t>
  </si>
  <si>
    <t xml:space="preserve">BB-MKT-00437</t>
  </si>
  <si>
    <t xml:space="preserve">AP-6496-BK</t>
  </si>
  <si>
    <t xml:space="preserve">291525842785</t>
  </si>
  <si>
    <t xml:space="preserve">0291525842785</t>
  </si>
  <si>
    <t xml:space="preserve">Apple Aspire 5 14" Laptop - 16GB RAM 512GB SSD</t>
  </si>
  <si>
    <t xml:space="preserve">RAM_GB: 16 | Storage_GB: 512 | Screen_Size: 14" | Processor: Intel i5</t>
  </si>
  <si>
    <t xml:space="preserve">2024-09-25</t>
  </si>
  <si>
    <t xml:space="preserve">BB-MKT-00967</t>
  </si>
  <si>
    <t xml:space="preserve">LE-1773-SL</t>
  </si>
  <si>
    <t xml:space="preserve">132359538314</t>
  </si>
  <si>
    <t xml:space="preserve">0132359538314</t>
  </si>
  <si>
    <t xml:space="preserve">Lenovo Aspire 5 15.6" Laptop - 16GB RAM 1024GB SSD</t>
  </si>
  <si>
    <t xml:space="preserve">RAM_GB: 16 | Storage_GB: 1024 | Screen_Size: 15.6" | Processor: Intel i5</t>
  </si>
  <si>
    <t xml:space="preserve">BB-MKT-00690</t>
  </si>
  <si>
    <t xml:space="preserve">SA-2804-WH</t>
  </si>
  <si>
    <t xml:space="preserve">286795947034</t>
  </si>
  <si>
    <t xml:space="preserve">0286795947034</t>
  </si>
  <si>
    <t xml:space="preserve">Storage_GB: 256 | Screen_Size: 10.1" | Cellular: No | RAM_GB: 4</t>
  </si>
  <si>
    <t xml:space="preserve">2024-08-09</t>
  </si>
  <si>
    <t xml:space="preserve">BB-MKT-00638</t>
  </si>
  <si>
    <t xml:space="preserve">AR-2059-SL</t>
  </si>
  <si>
    <t xml:space="preserve">944287371277</t>
  </si>
  <si>
    <t xml:space="preserve">0665526273973</t>
  </si>
  <si>
    <t xml:space="preserve">Arlo Ultra 2 Smart Home Device</t>
  </si>
  <si>
    <t xml:space="preserve">Transform your home with the Arlo Ultra 2. Easy setup and seamless smart home integration.</t>
  </si>
  <si>
    <t xml:space="preserve">https://images.bestbuy.com/marketplace/arlo-ultra-2-main.jpg</t>
  </si>
  <si>
    <t xml:space="preserve">Connectivity: Bluetooth | Voice_Assistant: Alexa | Power: USB-C</t>
  </si>
  <si>
    <t xml:space="preserve">2025-01-12</t>
  </si>
  <si>
    <t xml:space="preserve">BB-MKT-00694</t>
  </si>
  <si>
    <t xml:space="preserve">JB-6463-WH</t>
  </si>
  <si>
    <t xml:space="preserve">799192765325</t>
  </si>
  <si>
    <t xml:space="preserve">0799192765325</t>
  </si>
  <si>
    <t xml:space="preserve">JBL Tour One On-ear Both Headphones</t>
  </si>
  <si>
    <t xml:space="preserve">BB-MKT-00649</t>
  </si>
  <si>
    <t xml:space="preserve">JA-8105-SL</t>
  </si>
  <si>
    <t xml:space="preserve">871567667493</t>
  </si>
  <si>
    <t xml:space="preserve">0871567667493</t>
  </si>
  <si>
    <t xml:space="preserve">Jabra Evolve2 85 Over-ear Both Headphones</t>
  </si>
  <si>
    <t xml:space="preserve">BB-MKT-00827</t>
  </si>
  <si>
    <t xml:space="preserve">SO-3025-BL</t>
  </si>
  <si>
    <t xml:space="preserve">921508952771</t>
  </si>
  <si>
    <t xml:space="preserve">0921508952771</t>
  </si>
  <si>
    <t xml:space="preserve">Sony QuietComfort 45 In-ear Both Headphones</t>
  </si>
  <si>
    <t xml:space="preserve">Enjoy crystal-clear audio with the Sony QuietComfort 45. Perfect for music lovers and remote workers.</t>
  </si>
  <si>
    <t xml:space="preserve">2024-11-16</t>
  </si>
  <si>
    <t xml:space="preserve">BB-MKT-00114</t>
  </si>
  <si>
    <t xml:space="preserve">MS-3868-BL</t>
  </si>
  <si>
    <t xml:space="preserve">471712298625</t>
  </si>
  <si>
    <t xml:space="preserve">0471712298625</t>
  </si>
  <si>
    <t xml:space="preserve">MSI Aspire 5 13.3" Laptop - 32GB RAM 256GB SSD</t>
  </si>
  <si>
    <t xml:space="preserve">Experience premium performance with the MSI Aspire 5. Designed for professionals and students alike.</t>
  </si>
  <si>
    <t xml:space="preserve">https://images.bestbuy.com/marketplace/msi-aspire-5-main.jpg</t>
  </si>
  <si>
    <t xml:space="preserve">RAM_GB: 32 | Storage_GB: 256 | Screen_Size: 13.3" | Processor: AMD Ryzen 5</t>
  </si>
  <si>
    <t xml:space="preserve">BB-MKT-00209</t>
  </si>
  <si>
    <t xml:space="preserve">VI-5247-WH</t>
  </si>
  <si>
    <t xml:space="preserve">961214914381</t>
  </si>
  <si>
    <t xml:space="preserve">0961214914381</t>
  </si>
  <si>
    <t xml:space="preserve">Vizio 50" 8K Smart TV QLED 4K</t>
  </si>
  <si>
    <t xml:space="preserve">Screen_Size: 50" | Resolution: 8K | Smart_TV: No | HDR: HDR10+</t>
  </si>
  <si>
    <t xml:space="preserve">BB-MKT-00193</t>
  </si>
  <si>
    <t xml:space="preserve">AS-4882-WH</t>
  </si>
  <si>
    <t xml:space="preserve">992389542821</t>
  </si>
  <si>
    <t xml:space="preserve">0992389542821</t>
  </si>
  <si>
    <t xml:space="preserve">ASUS IdeaPad 5 16" Laptop - 32GB RAM 256GB SSD</t>
  </si>
  <si>
    <t xml:space="preserve">2025-02-05</t>
  </si>
  <si>
    <t xml:space="preserve">BB-MKT-00890</t>
  </si>
  <si>
    <t xml:space="preserve">MI-5725-BK</t>
  </si>
  <si>
    <t xml:space="preserve">671866408499</t>
  </si>
  <si>
    <t xml:space="preserve">0671866408499</t>
  </si>
  <si>
    <t xml:space="preserve">Microsoft Fire HD 10 12.9" 256GB Tablet</t>
  </si>
  <si>
    <t xml:space="preserve">Storage_GB: 256 | Screen_Size: 12.9" | Cellular: Yes | RAM_GB: 6</t>
  </si>
  <si>
    <t xml:space="preserve">2024-11-27</t>
  </si>
  <si>
    <t xml:space="preserve">2023-12-14</t>
  </si>
  <si>
    <t xml:space="preserve">BB-MKT-00379</t>
  </si>
  <si>
    <t xml:space="preserve">HP-8005-BL</t>
  </si>
  <si>
    <t xml:space="preserve">374395096441</t>
  </si>
  <si>
    <t xml:space="preserve">0374395096441</t>
  </si>
  <si>
    <t xml:space="preserve">HP VivoBook 16 15.6" Laptop - 64GB RAM 1024GB SSD</t>
  </si>
  <si>
    <t xml:space="preserve">RAM_GB: 64 | Storage_GB: 1024 | Screen_Size: 15.6" | Processor: AMD Ryzen 7</t>
  </si>
  <si>
    <t xml:space="preserve">2025-01-11</t>
  </si>
  <si>
    <t xml:space="preserve">BB-MKT-00249</t>
  </si>
  <si>
    <t xml:space="preserve">SO-3669-WH</t>
  </si>
  <si>
    <t xml:space="preserve">153199894466</t>
  </si>
  <si>
    <t xml:space="preserve">0153199894466</t>
  </si>
  <si>
    <t xml:space="preserve">Sony 85" 4K UHD Smart TV V-Series</t>
  </si>
  <si>
    <t xml:space="preserve">Immerse yourself in stunning visuals with the Sony V-Series. Features cutting-edge display technology.</t>
  </si>
  <si>
    <t xml:space="preserve">https://images.bestbuy.com/marketplace/sony-v-series-main.jpg</t>
  </si>
  <si>
    <t xml:space="preserve">Screen_Size: 85" | Resolution: 4K UHD | Smart_TV: No | HDR: HDR10</t>
  </si>
  <si>
    <t xml:space="preserve">BB-MKT-00920</t>
  </si>
  <si>
    <t xml:space="preserve">AP-2383-BL</t>
  </si>
  <si>
    <t xml:space="preserve">873092852971</t>
  </si>
  <si>
    <t xml:space="preserve">0873092852971</t>
  </si>
  <si>
    <t xml:space="preserve">Apple AirPods Max Over-ear Wired Headphones</t>
  </si>
  <si>
    <t xml:space="preserve">BB-MKT-00454</t>
  </si>
  <si>
    <t xml:space="preserve">AR-2075-WH</t>
  </si>
  <si>
    <t xml:space="preserve">977754502752</t>
  </si>
  <si>
    <t xml:space="preserve">0977754502752</t>
  </si>
  <si>
    <t xml:space="preserve">BB-MKT-00083</t>
  </si>
  <si>
    <t xml:space="preserve">AS-1710-SL</t>
  </si>
  <si>
    <t xml:space="preserve">342682139286</t>
  </si>
  <si>
    <t xml:space="preserve">0342682139286</t>
  </si>
  <si>
    <t xml:space="preserve">ASUS VivoBook 16 13.3" Laptop - 32GB RAM 1024GB SSD</t>
  </si>
  <si>
    <t xml:space="preserve">RAM_GB: 32 | Storage_GB: 1024 | Screen_Size: 13.3" | Processor: AMD Ryzen 7</t>
  </si>
  <si>
    <t xml:space="preserve">2025-03-03</t>
  </si>
  <si>
    <t xml:space="preserve">BB-MKT-00009</t>
  </si>
  <si>
    <t xml:space="preserve">PH-5808-BL</t>
  </si>
  <si>
    <t xml:space="preserve">221720126831</t>
  </si>
  <si>
    <t xml:space="preserve">0221720126831</t>
  </si>
  <si>
    <t xml:space="preserve">2024-11-12</t>
  </si>
  <si>
    <t xml:space="preserve">BB-MKT-00404</t>
  </si>
  <si>
    <t xml:space="preserve">MS-8625-BL</t>
  </si>
  <si>
    <t xml:space="preserve">807314447054</t>
  </si>
  <si>
    <t xml:space="preserve">0807314447054</t>
  </si>
  <si>
    <t xml:space="preserve">MSI Katana 15 16" Laptop - 64GB RAM 256GB SSD</t>
  </si>
  <si>
    <t xml:space="preserve">RAM_GB: 64 | Storage_GB: 256 | Screen_Size: 16" | Processor: AMD Ryzen 5</t>
  </si>
  <si>
    <t xml:space="preserve">BB-MKT-00469</t>
  </si>
  <si>
    <t xml:space="preserve">NE-2959-SL</t>
  </si>
  <si>
    <t xml:space="preserve">622637016018</t>
  </si>
  <si>
    <t xml:space="preserve">0622637016018</t>
  </si>
  <si>
    <t xml:space="preserve">BB-MKT-00197</t>
  </si>
  <si>
    <t xml:space="preserve">MI-9756-BL</t>
  </si>
  <si>
    <t xml:space="preserve">172370655239</t>
  </si>
  <si>
    <t xml:space="preserve">0172370655239</t>
  </si>
  <si>
    <t xml:space="preserve">Microsoft Fire HD 10 8" 64GB Tablet</t>
  </si>
  <si>
    <t xml:space="preserve">Storage_GB: 64 | Screen_Size: 8" | Cellular: No | RAM_GB: 8</t>
  </si>
  <si>
    <t xml:space="preserve">2025-03-11</t>
  </si>
  <si>
    <t xml:space="preserve">BB-MKT-00088</t>
  </si>
  <si>
    <t xml:space="preserve">SO-7022-BK</t>
  </si>
  <si>
    <t xml:space="preserve">482716883762</t>
  </si>
  <si>
    <t xml:space="preserve">0482716883762</t>
  </si>
  <si>
    <t xml:space="preserve">Type: In-ear | Connectivity: Wireless | ANC: Yes | Battery_Hours: 36</t>
  </si>
  <si>
    <t xml:space="preserve">BB-MKT-00731</t>
  </si>
  <si>
    <t xml:space="preserve">AP-7148-SL</t>
  </si>
  <si>
    <t xml:space="preserve">562513588084</t>
  </si>
  <si>
    <t xml:space="preserve">0562513588084</t>
  </si>
  <si>
    <t xml:space="preserve">Apple Tab P12 Pro 12.4" 64GB Tablet</t>
  </si>
  <si>
    <t xml:space="preserve">2024-10-01</t>
  </si>
  <si>
    <t xml:space="preserve">BB-MKT-00163</t>
  </si>
  <si>
    <t xml:space="preserve">AM-8635-BK</t>
  </si>
  <si>
    <t xml:space="preserve">649252495040</t>
  </si>
  <si>
    <t xml:space="preserve">0649252495040</t>
  </si>
  <si>
    <t xml:space="preserve">Amazon Surface Pro 9 11" 256GB Tablet</t>
  </si>
  <si>
    <t xml:space="preserve">Stay productive and entertained with the Amazon Surface Pro 9. Powerful performance in a sleek design.</t>
  </si>
  <si>
    <t xml:space="preserve">https://images.bestbuy.com/marketplace/amazon-surface-pro-9-main.jpg</t>
  </si>
  <si>
    <t xml:space="preserve">Storage_GB: 256 | Screen_Size: 11" | Cellular: No | RAM_GB: 16</t>
  </si>
  <si>
    <t xml:space="preserve">2023-12-07</t>
  </si>
  <si>
    <t xml:space="preserve">BB-MKT-00860</t>
  </si>
  <si>
    <t xml:space="preserve">PH-6067-WH</t>
  </si>
  <si>
    <t xml:space="preserve">202951762523</t>
  </si>
  <si>
    <t xml:space="preserve">0202951762523</t>
  </si>
  <si>
    <t xml:space="preserve">BB-MKT-00415</t>
  </si>
  <si>
    <t xml:space="preserve">WY-7038-BK</t>
  </si>
  <si>
    <t xml:space="preserve">875169734100</t>
  </si>
  <si>
    <t xml:space="preserve">0875169734100</t>
  </si>
  <si>
    <t xml:space="preserve">BB-MKT-00567</t>
  </si>
  <si>
    <t xml:space="preserve">DE-2270-BK</t>
  </si>
  <si>
    <t xml:space="preserve">188210602917</t>
  </si>
  <si>
    <t xml:space="preserve">0188210602917</t>
  </si>
  <si>
    <t xml:space="preserve">Dell MacBook Air 16" Laptop - 16GB RAM 512GB SSD</t>
  </si>
  <si>
    <t xml:space="preserve">RAM_GB: 16 | Storage_GB: 512 | Screen_Size: 16" | Processor: AMD Ryzen 7</t>
  </si>
  <si>
    <t xml:space="preserve">BB-MKT-00997</t>
  </si>
  <si>
    <t xml:space="preserve">MS-3523-WH</t>
  </si>
  <si>
    <t xml:space="preserve">170323167245</t>
  </si>
  <si>
    <t xml:space="preserve">0170323167245</t>
  </si>
  <si>
    <t xml:space="preserve">MSI Pavilion 15 13.3" Laptop - 8GB RAM 256GB SSD</t>
  </si>
  <si>
    <t xml:space="preserve">BB-MKT-00876</t>
  </si>
  <si>
    <t xml:space="preserve">RI-9871-BL</t>
  </si>
  <si>
    <t xml:space="preserve">463333749515</t>
  </si>
  <si>
    <t xml:space="preserve">0463333749515</t>
  </si>
  <si>
    <t xml:space="preserve">2024-12-22</t>
  </si>
  <si>
    <t xml:space="preserve">BB-MKT-00182</t>
  </si>
  <si>
    <t xml:space="preserve">AR-2615-SL</t>
  </si>
  <si>
    <t xml:space="preserve">109044962993</t>
  </si>
  <si>
    <t xml:space="preserve">0109044962993</t>
  </si>
  <si>
    <t xml:space="preserve">Connectivity: Bluetooth | Voice_Assistant: Apple HomeKit | Power: Wired</t>
  </si>
  <si>
    <t xml:space="preserve">BB-MKT-00283</t>
  </si>
  <si>
    <t xml:space="preserve">AP-2679-WH</t>
  </si>
  <si>
    <t xml:space="preserve">597417455016</t>
  </si>
  <si>
    <t xml:space="preserve">0597417455016</t>
  </si>
  <si>
    <t xml:space="preserve">Apple Katana 15 13.3" Laptop - 32GB RAM 256GB SSD</t>
  </si>
  <si>
    <t xml:space="preserve">2025-03-19</t>
  </si>
  <si>
    <t xml:space="preserve">BB-MKT-00351</t>
  </si>
  <si>
    <t xml:space="preserve">AC-1011-BL</t>
  </si>
  <si>
    <t xml:space="preserve">599792943394</t>
  </si>
  <si>
    <t xml:space="preserve">0599792943394</t>
  </si>
  <si>
    <t xml:space="preserve">Acer Pavilion 15 15.6" Laptop - 64GB RAM 512GB SSD</t>
  </si>
  <si>
    <t xml:space="preserve">Experience premium performance with the Acer Pavilion 15. Designed for professionals and students alike.</t>
  </si>
  <si>
    <t xml:space="preserve">https://images.bestbuy.com/marketplace/acer-pavilion-15-main.jpg</t>
  </si>
  <si>
    <t xml:space="preserve">RAM_GB: 64 | Storage_GB: 512 | Screen_Size: 15.6" | Processor: Apple M2</t>
  </si>
  <si>
    <t xml:space="preserve">BB-MKT-00293</t>
  </si>
  <si>
    <t xml:space="preserve">LE-9762-BK</t>
  </si>
  <si>
    <t xml:space="preserve">231740814935</t>
  </si>
  <si>
    <t xml:space="preserve">0231740814935</t>
  </si>
  <si>
    <t xml:space="preserve">Lenovo Tab P12 Pro 11" 512GB Tablet</t>
  </si>
  <si>
    <t xml:space="preserve">Storage_GB: 512 | Screen_Size: 11" | Cellular: Yes | RAM_GB: 12</t>
  </si>
  <si>
    <t xml:space="preserve">2025-04-26</t>
  </si>
  <si>
    <t xml:space="preserve">BB-MKT-00883</t>
  </si>
  <si>
    <t xml:space="preserve">AC-7697-BK</t>
  </si>
  <si>
    <t xml:space="preserve">905609526988</t>
  </si>
  <si>
    <t xml:space="preserve">0905609526988</t>
  </si>
  <si>
    <t xml:space="preserve">Acer Pavilion 15 13.3" Laptop - 16GB RAM 1024GB SSD</t>
  </si>
  <si>
    <t xml:space="preserve">RAM_GB: 16 | Storage_GB: 1024 | Screen_Size: 13.3" | Processor: Apple M2</t>
  </si>
  <si>
    <t xml:space="preserve">BB-MKT-00646</t>
  </si>
  <si>
    <t xml:space="preserve">AM-6825-BL</t>
  </si>
  <si>
    <t xml:space="preserve">203321157088</t>
  </si>
  <si>
    <t xml:space="preserve">0203321157088</t>
  </si>
  <si>
    <t xml:space="preserve">Amazon Ultra 2 Smart Home Device</t>
  </si>
  <si>
    <t xml:space="preserve">Transform your home with the Amazon Ultra 2. Easy setup and seamless smart home integration.</t>
  </si>
  <si>
    <t xml:space="preserve">BB-MKT-00576</t>
  </si>
  <si>
    <t xml:space="preserve">SA-1914-BK</t>
  </si>
  <si>
    <t xml:space="preserve">843466688345</t>
  </si>
  <si>
    <t xml:space="preserve">0843466688345</t>
  </si>
  <si>
    <t xml:space="preserve">Samsung 43" 8K Smart TV 5-Series 4K</t>
  </si>
  <si>
    <t xml:space="preserve">BB-MKT-00592</t>
  </si>
  <si>
    <t xml:space="preserve">JB-6883-BK</t>
  </si>
  <si>
    <t xml:space="preserve">184376156631</t>
  </si>
  <si>
    <t xml:space="preserve">0184376156631</t>
  </si>
  <si>
    <t xml:space="preserve">JBL WH-1000XM5 Over-ear Wired Headphones</t>
  </si>
  <si>
    <t xml:space="preserve">Type: Over-ear | Connectivity: Wired | ANC: Yes | Battery_Hours: 30</t>
  </si>
  <si>
    <t xml:space="preserve">BB-MKT-00944</t>
  </si>
  <si>
    <t xml:space="preserve">JB-6636-SL</t>
  </si>
  <si>
    <t xml:space="preserve">999188292603</t>
  </si>
  <si>
    <t xml:space="preserve">0999188292603</t>
  </si>
  <si>
    <t xml:space="preserve">JBL Studio Pro Over-ear Both Headphones</t>
  </si>
  <si>
    <t xml:space="preserve">2024-07-25</t>
  </si>
  <si>
    <t xml:space="preserve">BB-MKT-00986</t>
  </si>
  <si>
    <t xml:space="preserve">JA-4240-WH</t>
  </si>
  <si>
    <t xml:space="preserve">983826354112</t>
  </si>
  <si>
    <t xml:space="preserve">0983826354112</t>
  </si>
  <si>
    <t xml:space="preserve">Jabra Evolve2 85 In-ear Wireless Headphones</t>
  </si>
  <si>
    <t xml:space="preserve">Type: In-ear | Connectivity: Wireless | ANC: No | Battery_Hours: 40</t>
  </si>
  <si>
    <t xml:space="preserve">BB-MKT-00778</t>
  </si>
  <si>
    <t xml:space="preserve">VI-2014-SL</t>
  </si>
  <si>
    <t xml:space="preserve">172681050625</t>
  </si>
  <si>
    <t xml:space="preserve">0172681050625</t>
  </si>
  <si>
    <t xml:space="preserve">Vizio 43" 4K UHD Smart TV OLED C3</t>
  </si>
  <si>
    <t xml:space="preserve">Screen_Size: 43" | Resolution: 4K UHD | Smart_TV: No | HDR: Dolby Vision</t>
  </si>
  <si>
    <t xml:space="preserve">2025-02-12</t>
  </si>
  <si>
    <t xml:space="preserve">BB-MKT-00940</t>
  </si>
  <si>
    <t xml:space="preserve">LE-9320-SL</t>
  </si>
  <si>
    <t xml:space="preserve">378763698557</t>
  </si>
  <si>
    <t xml:space="preserve">0378763698557</t>
  </si>
  <si>
    <t xml:space="preserve">Lenovo Tab P12 Pro 8" 64GB Tablet</t>
  </si>
  <si>
    <t xml:space="preserve">BB-MKT-00058</t>
  </si>
  <si>
    <t xml:space="preserve">DE-3870-BL</t>
  </si>
  <si>
    <t xml:space="preserve">937691416447</t>
  </si>
  <si>
    <t xml:space="preserve">0937691416447</t>
  </si>
  <si>
    <t xml:space="preserve">Dell Pavilion 15 15.6" Laptop - 8GB RAM 1024GB SSD</t>
  </si>
  <si>
    <t xml:space="preserve">RAM_GB: 8 | Storage_GB: 1024 | Screen_Size: 15.6" | Processor: Apple M2</t>
  </si>
  <si>
    <t xml:space="preserve">2023-11-17</t>
  </si>
  <si>
    <t xml:space="preserve">BB-MKT-00639</t>
  </si>
  <si>
    <t xml:space="preserve">LG-4082-BK</t>
  </si>
  <si>
    <t xml:space="preserve">474045005672</t>
  </si>
  <si>
    <t xml:space="preserve">0474045005672</t>
  </si>
  <si>
    <t xml:space="preserve">LG 43" 8K Smart TV Bravia XR</t>
  </si>
  <si>
    <t xml:space="preserve">BB-MKT-00939</t>
  </si>
  <si>
    <t xml:space="preserve">AS-8983-SL</t>
  </si>
  <si>
    <t xml:space="preserve">287196057574</t>
  </si>
  <si>
    <t xml:space="preserve">0287196057574</t>
  </si>
  <si>
    <t xml:space="preserve">ASUS Katana 15 16" Laptop - 32GB RAM 256GB SSD</t>
  </si>
  <si>
    <t xml:space="preserve">RAM_GB: 32 | Storage_GB: 256 | Screen_Size: 16" | Processor: AMD Ryzen 7</t>
  </si>
  <si>
    <t xml:space="preserve">BB-MKT-00354</t>
  </si>
  <si>
    <t xml:space="preserve">WY-2161-BK</t>
  </si>
  <si>
    <t xml:space="preserve">766667928028</t>
  </si>
  <si>
    <t xml:space="preserve">0766667928028</t>
  </si>
  <si>
    <t xml:space="preserve">Connectivity: Z-Wave | Voice_Assistant: Alexa | Power: Wired</t>
  </si>
  <si>
    <t xml:space="preserve">BB-MKT-00839</t>
  </si>
  <si>
    <t xml:space="preserve">HP-7607-SL</t>
  </si>
  <si>
    <t xml:space="preserve">944495801115</t>
  </si>
  <si>
    <t xml:space="preserve">0944495801115</t>
  </si>
  <si>
    <t xml:space="preserve">HP IdeaPad 5 15.6" Laptop - 32GB RAM 512GB SSD</t>
  </si>
  <si>
    <t xml:space="preserve">BB-MKT-00754</t>
  </si>
  <si>
    <t xml:space="preserve">LG-1208-BL</t>
  </si>
  <si>
    <t xml:space="preserve">256573961868</t>
  </si>
  <si>
    <t xml:space="preserve">0256573961868</t>
  </si>
  <si>
    <t xml:space="preserve">LG 85" 4K UHD Smart TV Bravia XR</t>
  </si>
  <si>
    <t xml:space="preserve">Screen_Size: 85" | Resolution: 4K UHD | Smart_TV: Yes | HDR: HDR10</t>
  </si>
  <si>
    <t xml:space="preserve">2024-11-13</t>
  </si>
  <si>
    <t xml:space="preserve">BB-MKT-00217</t>
  </si>
  <si>
    <t xml:space="preserve">SA-6211-BL</t>
  </si>
  <si>
    <t xml:space="preserve">459640602106</t>
  </si>
  <si>
    <t xml:space="preserve">0459640602106</t>
  </si>
  <si>
    <t xml:space="preserve">Samsung Galaxy Tab S9 11" 256GB Tablet</t>
  </si>
  <si>
    <t xml:space="preserve">Storage_GB: 256 | Screen_Size: 11" | Cellular: No | RAM_GB: 12</t>
  </si>
  <si>
    <t xml:space="preserve">BB-MKT-00843</t>
  </si>
  <si>
    <t xml:space="preserve">BE-3721-SL</t>
  </si>
  <si>
    <t xml:space="preserve">335545417741</t>
  </si>
  <si>
    <t xml:space="preserve">0335545417741</t>
  </si>
  <si>
    <t xml:space="preserve">BB-MKT-00066</t>
  </si>
  <si>
    <t xml:space="preserve">HP-3361-BL</t>
  </si>
  <si>
    <t xml:space="preserve">114847393047</t>
  </si>
  <si>
    <t xml:space="preserve">0114847393047</t>
  </si>
  <si>
    <t xml:space="preserve">HP Aspire 5 16" Laptop - 32GB RAM 256GB SSD</t>
  </si>
  <si>
    <t xml:space="preserve">Experience premium performance with the HP Aspire 5. Designed for professionals and students alike.</t>
  </si>
  <si>
    <t xml:space="preserve">https://images.bestbuy.com/marketplace/hp-aspire-5-main.jpg</t>
  </si>
  <si>
    <t xml:space="preserve">2025-02-26</t>
  </si>
  <si>
    <t xml:space="preserve">BB-MKT-00792</t>
  </si>
  <si>
    <t xml:space="preserve">AM-5996-WH</t>
  </si>
  <si>
    <t xml:space="preserve">355640726726</t>
  </si>
  <si>
    <t xml:space="preserve">0355640726726</t>
  </si>
  <si>
    <t xml:space="preserve">Amazon Tab P12 Pro 8" 256GB Tablet</t>
  </si>
  <si>
    <t xml:space="preserve">BB-MKT-00480</t>
  </si>
  <si>
    <t xml:space="preserve">AR-5646-BL</t>
  </si>
  <si>
    <t xml:space="preserve">521403819813</t>
  </si>
  <si>
    <t xml:space="preserve">0521403819813</t>
  </si>
  <si>
    <t xml:space="preserve">Connectivity: Wi-Fi | Voice_Assistant: Apple HomeKit | Power: Wired</t>
  </si>
  <si>
    <t xml:space="preserve">2025-02-13</t>
  </si>
  <si>
    <t xml:space="preserve">177759201989</t>
  </si>
  <si>
    <t xml:space="preserve">BB-MKT-00345</t>
  </si>
  <si>
    <t xml:space="preserve">DE-8550-BK</t>
  </si>
  <si>
    <t xml:space="preserve">314892290422</t>
  </si>
  <si>
    <t xml:space="preserve">0314892290422</t>
  </si>
  <si>
    <t xml:space="preserve">Dell Katana 15 16" Laptop - 16GB RAM 512GB SSD</t>
  </si>
  <si>
    <t xml:space="preserve">RAM_GB: 16 | Storage_GB: 512 | Screen_Size: 16" | Processor: Intel i7</t>
  </si>
  <si>
    <t xml:space="preserve">BB-MKT-00532</t>
  </si>
  <si>
    <t xml:space="preserve">SO-5764-BK</t>
  </si>
  <si>
    <t xml:space="preserve">0644810658381</t>
  </si>
  <si>
    <t xml:space="preserve">Sony WH-1000XM5 In-ear Both Headphones</t>
  </si>
  <si>
    <t xml:space="preserve">Type: In-ear | Connectivity: Both | ANC: No | Battery_Hours: 36</t>
  </si>
  <si>
    <t xml:space="preserve">BB-MKT-00671</t>
  </si>
  <si>
    <t xml:space="preserve">MI-9376-WH</t>
  </si>
  <si>
    <t xml:space="preserve">270156352877</t>
  </si>
  <si>
    <t xml:space="preserve">0270156352877</t>
  </si>
  <si>
    <t xml:space="preserve">Microsoft Surface Pro 9 8" 512GB Tablet</t>
  </si>
  <si>
    <t xml:space="preserve">Storage_GB: 512 | Screen_Size: 8" | Cellular: No | RAM_GB: 6</t>
  </si>
  <si>
    <t xml:space="preserve">BB-MKT-00831</t>
  </si>
  <si>
    <t xml:space="preserve">MI-2370-BK</t>
  </si>
  <si>
    <t xml:space="preserve">794967287154</t>
  </si>
  <si>
    <t xml:space="preserve">0794967287154</t>
  </si>
  <si>
    <t xml:space="preserve">Microsoft Tab P12 Pro 11" 64GB Tablet</t>
  </si>
  <si>
    <t xml:space="preserve">2025-03-08</t>
  </si>
  <si>
    <t xml:space="preserve">BB-MKT-00703</t>
  </si>
  <si>
    <t xml:space="preserve">SO-6064-WH</t>
  </si>
  <si>
    <t xml:space="preserve">111154505777</t>
  </si>
  <si>
    <t xml:space="preserve">0111154505777</t>
  </si>
  <si>
    <t xml:space="preserve">Sony 75" 4K UHD Smart TV OLED C3</t>
  </si>
  <si>
    <t xml:space="preserve">BB-MKT-00819</t>
  </si>
  <si>
    <t xml:space="preserve">MI-9039-WH</t>
  </si>
  <si>
    <t xml:space="preserve">174879829009</t>
  </si>
  <si>
    <t xml:space="preserve">0174879829009</t>
  </si>
  <si>
    <t xml:space="preserve">Microsoft Galaxy Tab S9 8" 128GB Tablet</t>
  </si>
  <si>
    <t xml:space="preserve">Storage_GB: 128 | Screen_Size: 8" | Cellular: Yes | RAM_GB: 4</t>
  </si>
  <si>
    <t xml:space="preserve">BB-MKT-00063</t>
  </si>
  <si>
    <t xml:space="preserve">HI-7798-SL</t>
  </si>
  <si>
    <t xml:space="preserve">970902008220</t>
  </si>
  <si>
    <t xml:space="preserve">0970902008220</t>
  </si>
  <si>
    <t xml:space="preserve">Hisense 85" 4K UHD Smart TV U8K</t>
  </si>
  <si>
    <t xml:space="preserve">Screen_Size: 85" | Resolution: 4K UHD | Smart_TV: Yes | HDR: Dolby Vision</t>
  </si>
  <si>
    <t xml:space="preserve">BB-MKT-00093</t>
  </si>
  <si>
    <t xml:space="preserve">LG-8055-WH</t>
  </si>
  <si>
    <t xml:space="preserve">922475007249</t>
  </si>
  <si>
    <t xml:space="preserve">0922475007249</t>
  </si>
  <si>
    <t xml:space="preserve">LG 55" 8K Smart TV Bravia XR</t>
  </si>
  <si>
    <t xml:space="preserve">2025-03-14</t>
  </si>
  <si>
    <t xml:space="preserve">BB-MKT-00714</t>
  </si>
  <si>
    <t xml:space="preserve">JB-6245-BK</t>
  </si>
  <si>
    <t xml:space="preserve">334677942418</t>
  </si>
  <si>
    <t xml:space="preserve">0334677942418</t>
  </si>
  <si>
    <t xml:space="preserve">JBL WH-1000XM5 In-ear Wireless Headphones</t>
  </si>
  <si>
    <t xml:space="preserve">Type: In-ear | Connectivity: Wireless | ANC: No | Battery_Hours: 24</t>
  </si>
  <si>
    <t xml:space="preserve">BB-MKT-00527</t>
  </si>
  <si>
    <t xml:space="preserve">AP-6592-WH</t>
  </si>
  <si>
    <t xml:space="preserve">391232429742</t>
  </si>
  <si>
    <t xml:space="preserve">0391232429742</t>
  </si>
  <si>
    <t xml:space="preserve">Apple Momentum 4 In-ear Wired Headphones</t>
  </si>
  <si>
    <t xml:space="preserve">Enjoy crystal-clear audio with the Apple Momentum 4. Perfect for music lovers and remote workers.</t>
  </si>
  <si>
    <t xml:space="preserve">https://images.bestbuy.com/marketplace/apple-momentum-4-main.jpg</t>
  </si>
  <si>
    <t xml:space="preserve">Type: In-ear | Connectivity: Wired | ANC: No | Battery_Hours: 40</t>
  </si>
  <si>
    <t xml:space="preserve">BB-MKT-00854</t>
  </si>
  <si>
    <t xml:space="preserve">AP-6957-SL</t>
  </si>
  <si>
    <t xml:space="preserve">737180530773</t>
  </si>
  <si>
    <t xml:space="preserve">0737180530773</t>
  </si>
  <si>
    <t xml:space="preserve">2024-09-26</t>
  </si>
  <si>
    <t xml:space="preserve">BB-MKT-00199</t>
  </si>
  <si>
    <t xml:space="preserve">MS-3604-SL</t>
  </si>
  <si>
    <t xml:space="preserve">433504198505</t>
  </si>
  <si>
    <t xml:space="preserve">0433504198505</t>
  </si>
  <si>
    <t xml:space="preserve">MSI Pavilion 15 13.3" Laptop - 64GB RAM 512GB SSD</t>
  </si>
  <si>
    <t xml:space="preserve">RAM_GB: 64 | Storage_GB: 512 | Screen_Size: 13.3" | Processor: AMD Ryzen 7</t>
  </si>
  <si>
    <t xml:space="preserve">2025-01-07</t>
  </si>
  <si>
    <t xml:space="preserve">BB-MKT-00224</t>
  </si>
  <si>
    <t xml:space="preserve">GO-9921-BL</t>
  </si>
  <si>
    <t xml:space="preserve">625528384880</t>
  </si>
  <si>
    <t xml:space="preserve">0625528384880</t>
  </si>
  <si>
    <t xml:space="preserve">2025-01-15</t>
  </si>
  <si>
    <t xml:space="preserve">BB-MKT-00244</t>
  </si>
  <si>
    <t xml:space="preserve">LE-7581-BK</t>
  </si>
  <si>
    <t xml:space="preserve">256349582652</t>
  </si>
  <si>
    <t xml:space="preserve">0256349582652</t>
  </si>
  <si>
    <t xml:space="preserve">Lenovo Fire HD 10 8" 512GB Tablet</t>
  </si>
  <si>
    <t xml:space="preserve">BB-MKT-00056</t>
  </si>
  <si>
    <t xml:space="preserve">AP-3718-SL</t>
  </si>
  <si>
    <t xml:space="preserve">164731212366</t>
  </si>
  <si>
    <t xml:space="preserve">0164731212366</t>
  </si>
  <si>
    <t xml:space="preserve">Storage_GB: 128 | Screen_Size: 10.1" | Cellular: No | RAM_GB: 6</t>
  </si>
  <si>
    <t xml:space="preserve">BB-MKT-00440</t>
  </si>
  <si>
    <t xml:space="preserve">AM-4144-BK</t>
  </si>
  <si>
    <t xml:space="preserve">360093385701</t>
  </si>
  <si>
    <t xml:space="preserve">0360093385701</t>
  </si>
  <si>
    <t xml:space="preserve">Storage_GB: 256 | Screen_Size: 11" | Cellular: No | RAM_GB: 4</t>
  </si>
  <si>
    <t xml:space="preserve">BB-MKT-00452</t>
  </si>
  <si>
    <t xml:space="preserve">BO-4354-WH</t>
  </si>
  <si>
    <t xml:space="preserve">953450104387</t>
  </si>
  <si>
    <t xml:space="preserve">0953450104387</t>
  </si>
  <si>
    <t xml:space="preserve">Bose Evolve2 85 In-ear Both Headphones</t>
  </si>
  <si>
    <t xml:space="preserve">BB-MKT-00322</t>
  </si>
  <si>
    <t xml:space="preserve">RI-5098-BL</t>
  </si>
  <si>
    <t xml:space="preserve">975370802363</t>
  </si>
  <si>
    <t xml:space="preserve">0975370802363</t>
  </si>
  <si>
    <t xml:space="preserve">Ring Video Doorbell Pro 2 Smart Home Device</t>
  </si>
  <si>
    <t xml:space="preserve">Transform your home with the Ring Video Doorbell Pro 2. Easy setup and seamless smart home integration.</t>
  </si>
  <si>
    <t xml:space="preserve">https://images.bestbuy.com/marketplace/ring-video-doorbell-pro-2-main.jpg</t>
  </si>
  <si>
    <t xml:space="preserve">BB-MKT-00766</t>
  </si>
  <si>
    <t xml:space="preserve">MI-7896-BK</t>
  </si>
  <si>
    <t xml:space="preserve">128170300103</t>
  </si>
  <si>
    <t xml:space="preserve">0128170300103</t>
  </si>
  <si>
    <t xml:space="preserve">Microsoft Tab P12 Pro 12.4" 512GB Tablet</t>
  </si>
  <si>
    <t xml:space="preserve">Storage_GB: 512 | Screen_Size: 12.4" | Cellular: No | RAM_GB: 12</t>
  </si>
  <si>
    <t xml:space="preserve">BB-MKT-00027</t>
  </si>
  <si>
    <t xml:space="preserve">BO-4644-WH</t>
  </si>
  <si>
    <t xml:space="preserve">619083705463</t>
  </si>
  <si>
    <t xml:space="preserve">0619083705463</t>
  </si>
  <si>
    <t xml:space="preserve">Bose Studio Pro In-ear Wireless Headphones</t>
  </si>
  <si>
    <t xml:space="preserve">Enjoy crystal-clear audio with the Bose Studio Pro. Perfect for music lovers and remote workers.</t>
  </si>
  <si>
    <t xml:space="preserve">https://images.bestbuy.com/marketplace/bose-studio-pro-main.jpg</t>
  </si>
  <si>
    <t xml:space="preserve">2024-10-25</t>
  </si>
  <si>
    <t xml:space="preserve">BB-MKT-00569</t>
  </si>
  <si>
    <t xml:space="preserve">SA-6947-BK</t>
  </si>
  <si>
    <t xml:space="preserve">645375458868</t>
  </si>
  <si>
    <t xml:space="preserve">0645375458868</t>
  </si>
  <si>
    <t xml:space="preserve">Samsung 85" 8K Smart TV U8K</t>
  </si>
  <si>
    <t xml:space="preserve">BB-MKT-00546</t>
  </si>
  <si>
    <t xml:space="preserve">MS-2809-BK</t>
  </si>
  <si>
    <t xml:space="preserve">658289719336</t>
  </si>
  <si>
    <t xml:space="preserve">0658289719336</t>
  </si>
  <si>
    <t xml:space="preserve">MSI Aspire 5 15.6" Laptop - 32GB RAM 256GB SSD</t>
  </si>
  <si>
    <t xml:space="preserve">RAM_GB: 32 | Storage_GB: 256 | Screen_Size: 15.6" | Processor: AMD Ryzen 7</t>
  </si>
  <si>
    <t xml:space="preserve">2024-12-29</t>
  </si>
  <si>
    <t xml:space="preserve">BB-MKT-00216</t>
  </si>
  <si>
    <t xml:space="preserve">HP-2391-BK</t>
  </si>
  <si>
    <t xml:space="preserve">924524434492</t>
  </si>
  <si>
    <t xml:space="preserve">0924524434492</t>
  </si>
  <si>
    <t xml:space="preserve">HP Katana 15 15.6" Laptop - 64GB RAM 1024GB SSD</t>
  </si>
  <si>
    <t xml:space="preserve">2024-08-08</t>
  </si>
  <si>
    <t xml:space="preserve">BB-MKT-00885</t>
  </si>
  <si>
    <t xml:space="preserve">SO-8268-WH</t>
  </si>
  <si>
    <t xml:space="preserve">852671745521</t>
  </si>
  <si>
    <t xml:space="preserve">0852671745521</t>
  </si>
  <si>
    <t xml:space="preserve">Sony 43" 4K UHD Smart TV QLED 4K</t>
  </si>
  <si>
    <t xml:space="preserve">BB-MKT-00473</t>
  </si>
  <si>
    <t xml:space="preserve">LG-3150-BK</t>
  </si>
  <si>
    <t xml:space="preserve">224882188492</t>
  </si>
  <si>
    <t xml:space="preserve">0224882188492</t>
  </si>
  <si>
    <t xml:space="preserve">LG 50" 4K UHD Smart TV U8K</t>
  </si>
  <si>
    <t xml:space="preserve">Screen_Size: 50" | Resolution: 4K UHD | Smart_TV: Yes | HDR: Dolby Vision</t>
  </si>
  <si>
    <t xml:space="preserve">BB-MKT-00142</t>
  </si>
  <si>
    <t xml:space="preserve">HI-4920-WH</t>
  </si>
  <si>
    <t xml:space="preserve">774778990070</t>
  </si>
  <si>
    <t xml:space="preserve">0774778990070</t>
  </si>
  <si>
    <t xml:space="preserve">Hisense 75" 1080p Full HD Smart TV Bravia XR</t>
  </si>
  <si>
    <t xml:space="preserve">Screen_Size: 75" | Resolution: 1080p Full HD | Smart_TV: No | HDR: HDR10</t>
  </si>
  <si>
    <t xml:space="preserve">BB-MKT-00299</t>
  </si>
  <si>
    <t xml:space="preserve">MI-6182-BL</t>
  </si>
  <si>
    <t xml:space="preserve">501866611833</t>
  </si>
  <si>
    <t xml:space="preserve">0501866611833</t>
  </si>
  <si>
    <t xml:space="preserve">Storage_GB: 256 | Screen_Size: 12.9" | Cellular: Yes | RAM_GB: 16</t>
  </si>
  <si>
    <t xml:space="preserve">2024-10-22</t>
  </si>
  <si>
    <t xml:space="preserve">BB-MKT-00366</t>
  </si>
  <si>
    <t xml:space="preserve">AP-1396-SL</t>
  </si>
  <si>
    <t xml:space="preserve">479334682818</t>
  </si>
  <si>
    <t xml:space="preserve">0479334682818</t>
  </si>
  <si>
    <t xml:space="preserve">Apple VivoBook 16 15.6" Laptop - 64GB RAM 512GB SSD</t>
  </si>
  <si>
    <t xml:space="preserve">RAM_GB: 64 | Storage_GB: 512 | Screen_Size: 15.6" | Processor: Intel i7</t>
  </si>
  <si>
    <t xml:space="preserve">BB-MKT-00803</t>
  </si>
  <si>
    <t xml:space="preserve">MI-2740-WH</t>
  </si>
  <si>
    <t xml:space="preserve">128309106281</t>
  </si>
  <si>
    <t xml:space="preserve">0128309106281</t>
  </si>
  <si>
    <t xml:space="preserve">Microsoft Fire HD 10 10.1" 64GB Tablet</t>
  </si>
  <si>
    <t xml:space="preserve">Storage_GB: 64 | Screen_Size: 10.1" | Cellular: No | RAM_GB: 4</t>
  </si>
  <si>
    <t xml:space="preserve">2025-03-18</t>
  </si>
  <si>
    <t xml:space="preserve">BB-MKT-00254</t>
  </si>
  <si>
    <t xml:space="preserve">AP-8794-SL</t>
  </si>
  <si>
    <t xml:space="preserve">961734995189</t>
  </si>
  <si>
    <t xml:space="preserve">0961734995189</t>
  </si>
  <si>
    <t xml:space="preserve">Apple Fire HD 10 11" 128GB Tablet</t>
  </si>
  <si>
    <t xml:space="preserve">Storage_GB: 128 | Screen_Size: 11" | Cellular: Yes | RAM_GB: 16</t>
  </si>
  <si>
    <t xml:space="preserve">BB-MKT-00372</t>
  </si>
  <si>
    <t xml:space="preserve">SA-9212-SL</t>
  </si>
  <si>
    <t xml:space="preserve">358996518966</t>
  </si>
  <si>
    <t xml:space="preserve">0358996518966</t>
  </si>
  <si>
    <t xml:space="preserve">Samsung 85" 8K Smart TV Bravia XR</t>
  </si>
  <si>
    <t xml:space="preserve">Screen_Size: 85" | Resolution: 8K | Smart_TV: No | HDR: HDR10+</t>
  </si>
  <si>
    <t xml:space="preserve">BB-MKT-00785</t>
  </si>
  <si>
    <t xml:space="preserve">JB-6400-BK</t>
  </si>
  <si>
    <t xml:space="preserve">702172596807</t>
  </si>
  <si>
    <t xml:space="preserve">0702172596807</t>
  </si>
  <si>
    <t xml:space="preserve">JBL AirPods Max Over-ear Wired Headphones</t>
  </si>
  <si>
    <t xml:space="preserve">2025-04-15</t>
  </si>
  <si>
    <t xml:space="preserve">BB-MKT-00607</t>
  </si>
  <si>
    <t xml:space="preserve">AR-3643-WH</t>
  </si>
  <si>
    <t xml:space="preserve">408466383812</t>
  </si>
  <si>
    <t xml:space="preserve">0408466383812</t>
  </si>
  <si>
    <t xml:space="preserve">2024-11-28</t>
  </si>
  <si>
    <t xml:space="preserve">BB-MKT-00906</t>
  </si>
  <si>
    <t xml:space="preserve">JB-8210-SL</t>
  </si>
  <si>
    <t xml:space="preserve">652408196002</t>
  </si>
  <si>
    <t xml:space="preserve">0652408196002</t>
  </si>
  <si>
    <t xml:space="preserve">JBL Studio Pro On-ear Wired Headphones - EXTREMELY DETAILED SPEC DESCRIPTION THAT GOES WAY BEYOND THE ALLOWED CHARACTER LIMIT FOR BEST BUY MARKETPLACE LISTINGS</t>
  </si>
  <si>
    <t xml:space="preserve">Type: On-ear | Connectivity: Wired | ANC: Yes | Battery_Hours: 24</t>
  </si>
  <si>
    <t xml:space="preserve">BB-MKT-00489</t>
  </si>
  <si>
    <t xml:space="preserve">SO-1440-SL</t>
  </si>
  <si>
    <t xml:space="preserve">990556644647</t>
  </si>
  <si>
    <t xml:space="preserve">0990556644647</t>
  </si>
  <si>
    <t xml:space="preserve">Type: In-ear | Connectivity: Wireless | ANC: Yes | Battery_Hours: 30</t>
  </si>
  <si>
    <t xml:space="preserve">BB-MKT-00665</t>
  </si>
  <si>
    <t xml:space="preserve">NE-8999-BK</t>
  </si>
  <si>
    <t xml:space="preserve">782438064899</t>
  </si>
  <si>
    <t xml:space="preserve">0782438064899</t>
  </si>
  <si>
    <t xml:space="preserve">2024-11-30</t>
  </si>
  <si>
    <t xml:space="preserve">BB-MKT-00774</t>
  </si>
  <si>
    <t xml:space="preserve">RI-8666-BL</t>
  </si>
  <si>
    <t xml:space="preserve">254459034948</t>
  </si>
  <si>
    <t xml:space="preserve">0254459034948</t>
  </si>
  <si>
    <t xml:space="preserve">Connectivity: Bluetooth | Voice_Assistant: Alexa | Power: Wired</t>
  </si>
  <si>
    <t xml:space="preserve">BB-MKT-00544</t>
  </si>
  <si>
    <t xml:space="preserve">AP-4360-BL</t>
  </si>
  <si>
    <t xml:space="preserve">806291003905</t>
  </si>
  <si>
    <t xml:space="preserve">0806291003905</t>
  </si>
  <si>
    <t xml:space="preserve">Type: On-ear | Connectivity: Both | ANC: Yes | Battery_Hours: 36</t>
  </si>
  <si>
    <t xml:space="preserve">BB-MKT-00130</t>
  </si>
  <si>
    <t xml:space="preserve">SO-5382-BL</t>
  </si>
  <si>
    <t xml:space="preserve">235147470601</t>
  </si>
  <si>
    <t xml:space="preserve">0235147470601</t>
  </si>
  <si>
    <t xml:space="preserve">Sony 75" 4K UHD Smart TV U8K</t>
  </si>
  <si>
    <t xml:space="preserve">Immerse yourself in stunning visuals with the Sony U8K. Features cutting-edge display technology.</t>
  </si>
  <si>
    <t xml:space="preserve">https://images.bestbuy.com/marketplace/sony-u8k-main.jpg</t>
  </si>
  <si>
    <t xml:space="preserve">BB-MKT-00037</t>
  </si>
  <si>
    <t xml:space="preserve">AP-3503-WH</t>
  </si>
  <si>
    <t xml:space="preserve">521900055512</t>
  </si>
  <si>
    <t xml:space="preserve">0521900055512</t>
  </si>
  <si>
    <t xml:space="preserve">Apple AirPods Max In-ear Wireless Headphones</t>
  </si>
  <si>
    <t xml:space="preserve">2025-02-24</t>
  </si>
  <si>
    <t xml:space="preserve">BB-MKT-00611</t>
  </si>
  <si>
    <t xml:space="preserve">AS-4393-BL</t>
  </si>
  <si>
    <t xml:space="preserve">308850457458</t>
  </si>
  <si>
    <t xml:space="preserve">0308850457458</t>
  </si>
  <si>
    <t xml:space="preserve">ASUS Aspire 5 15.6" Laptop - 8GB RAM 512GB SSD</t>
  </si>
  <si>
    <t xml:space="preserve">BB-MKT-00516</t>
  </si>
  <si>
    <t xml:space="preserve">LG-8653-BL</t>
  </si>
  <si>
    <t xml:space="preserve">277211312573</t>
  </si>
  <si>
    <t xml:space="preserve">0277211312573</t>
  </si>
  <si>
    <t xml:space="preserve">LG 50" 4K UHD Smart TV QLED 4K</t>
  </si>
  <si>
    <t xml:space="preserve">BB-MKT-00495</t>
  </si>
  <si>
    <t xml:space="preserve">AP-8656-SL</t>
  </si>
  <si>
    <t xml:space="preserve">919582444151</t>
  </si>
  <si>
    <t xml:space="preserve">0919582444151</t>
  </si>
  <si>
    <t xml:space="preserve">Apple MacBook Air 16" Laptop - 16GB RAM 1024GB SSD</t>
  </si>
  <si>
    <t xml:space="preserve">Experience premium performance with the Apple MacBook Air. Designed for professionals and students alike.</t>
  </si>
  <si>
    <t xml:space="preserve">https://images.bestbuy.com/marketplace/apple-macbook-air-main.jpg</t>
  </si>
  <si>
    <t xml:space="preserve">RAM_GB: 16 | Storage_GB: 1024 | Screen_Size: 16" | Processor: Intel i7</t>
  </si>
  <si>
    <t xml:space="preserve">2025-02-08</t>
  </si>
  <si>
    <t xml:space="preserve">BB-MKT-00483</t>
  </si>
  <si>
    <t xml:space="preserve">HP-5472-BL</t>
  </si>
  <si>
    <t xml:space="preserve">884968911912</t>
  </si>
  <si>
    <t xml:space="preserve">0884968911912</t>
  </si>
  <si>
    <t xml:space="preserve">HP Katana 15 16" Laptop - 64GB RAM 1024GB SSD</t>
  </si>
  <si>
    <t xml:space="preserve">BB-MKT-00276</t>
  </si>
  <si>
    <t xml:space="preserve">SE-9067-WH</t>
  </si>
  <si>
    <t xml:space="preserve">284240684348</t>
  </si>
  <si>
    <t xml:space="preserve">0284240684348</t>
  </si>
  <si>
    <t xml:space="preserve">Sennheiser Momentum 4 On-ear Both Headphones</t>
  </si>
  <si>
    <t xml:space="preserve">BB-MKT-00236</t>
  </si>
  <si>
    <t xml:space="preserve">AR-1813-BL</t>
  </si>
  <si>
    <t xml:space="preserve">204099477227</t>
  </si>
  <si>
    <t xml:space="preserve">0204099477227</t>
  </si>
  <si>
    <t xml:space="preserve">Arlo Ultra 2 Smart Home Device - EXTREMELY DETAILED SPEC DESCRIPTION THAT GOES WAY BEYOND THE ALLOWED CHARACTER LIMIT FOR BEST BUY MARKETPLACE LISTINGS</t>
  </si>
  <si>
    <t xml:space="preserve">BB-MKT-00291</t>
  </si>
  <si>
    <t xml:space="preserve">HP-4492-BL</t>
  </si>
  <si>
    <t xml:space="preserve">794368802109</t>
  </si>
  <si>
    <t xml:space="preserve">0794368802109</t>
  </si>
  <si>
    <t xml:space="preserve">HP Katana 15 13.3" Laptop - 8GB RAM 1024GB SSD</t>
  </si>
  <si>
    <t xml:space="preserve">RAM_GB: 8 | Storage_GB: 1024 | Screen_Size: 13.3" | Processor: Intel i7</t>
  </si>
  <si>
    <t xml:space="preserve">BB-MKT-00442</t>
  </si>
  <si>
    <t xml:space="preserve">TC-1859-WH</t>
  </si>
  <si>
    <t xml:space="preserve">912197304142</t>
  </si>
  <si>
    <t xml:space="preserve">0912197304142</t>
  </si>
  <si>
    <t xml:space="preserve">TCL 55" 1080p Full HD Smart TV Bravia XR</t>
  </si>
  <si>
    <t xml:space="preserve">Immerse yourself in stunning visuals with the TCL Bravia XR. Features cutting-edge display technology.</t>
  </si>
  <si>
    <t xml:space="preserve">https://images.bestbuy.com/marketplace/tcl-bravia-xr-main.jpg</t>
  </si>
  <si>
    <t xml:space="preserve">Screen_Size: 55" | Resolution: 1080p Full HD | Smart_TV: No | HDR: HDR10</t>
  </si>
  <si>
    <t xml:space="preserve">BB-MKT-00844</t>
  </si>
  <si>
    <t xml:space="preserve">JA-6668-BL</t>
  </si>
  <si>
    <t xml:space="preserve">948110337979</t>
  </si>
  <si>
    <t xml:space="preserve">0948110337979</t>
  </si>
  <si>
    <t xml:space="preserve">Jabra WH-1000XM5 In-ear Wired Headphones</t>
  </si>
  <si>
    <t xml:space="preserve">BB-MKT-00719</t>
  </si>
  <si>
    <t xml:space="preserve">AM-3721-BL</t>
  </si>
  <si>
    <t xml:space="preserve">699991667309</t>
  </si>
  <si>
    <t xml:space="preserve">0699991667309</t>
  </si>
  <si>
    <t xml:space="preserve">Amazon Echo Show 10 Smart Home Device</t>
  </si>
  <si>
    <t xml:space="preserve">Transform your home with the Amazon Echo Show 10. Easy setup and seamless smart home integration.</t>
  </si>
  <si>
    <t xml:space="preserve">https://images.bestbuy.com/marketplace/amazon-echo-show-10-main.jpg</t>
  </si>
  <si>
    <t xml:space="preserve">BB-MKT-00201</t>
  </si>
  <si>
    <t xml:space="preserve">DE-4751-BL</t>
  </si>
  <si>
    <t xml:space="preserve">179361118255</t>
  </si>
  <si>
    <t xml:space="preserve">0179361118255</t>
  </si>
  <si>
    <t xml:space="preserve">Dell MacBook Air 16" Laptop - 32GB RAM 256GB SSD</t>
  </si>
  <si>
    <t xml:space="preserve">RAM_GB: 32 | Storage_GB: 256 | Screen_Size: 16" | Processor: Intel i7</t>
  </si>
  <si>
    <t xml:space="preserve">BB-MKT-00126</t>
  </si>
  <si>
    <t xml:space="preserve">SE-5961-BK</t>
  </si>
  <si>
    <t xml:space="preserve">238617711685</t>
  </si>
  <si>
    <t xml:space="preserve">0238617711685</t>
  </si>
  <si>
    <t xml:space="preserve">Sennheiser AirPods Max Over-ear Wired Headphones</t>
  </si>
  <si>
    <t xml:space="preserve">Type: Over-ear | Connectivity: Wired | ANC: Yes | Battery_Hours: 40</t>
  </si>
  <si>
    <t xml:space="preserve">BB-MKT-00587</t>
  </si>
  <si>
    <t xml:space="preserve">AP-4098-SL</t>
  </si>
  <si>
    <t xml:space="preserve">777587279298</t>
  </si>
  <si>
    <t xml:space="preserve">0777587279298</t>
  </si>
  <si>
    <t xml:space="preserve">Apple Momentum 4 On-ear Both Headphones</t>
  </si>
  <si>
    <t xml:space="preserve">BB-MKT-00769</t>
  </si>
  <si>
    <t xml:space="preserve">GO-3535-SL</t>
  </si>
  <si>
    <t xml:space="preserve">842578595436</t>
  </si>
  <si>
    <t xml:space="preserve">0842578595436</t>
  </si>
  <si>
    <t xml:space="preserve">Google Cam OG Smart Home Device</t>
  </si>
  <si>
    <t xml:space="preserve">Transform your home with the Google Cam OG. Easy setup and seamless smart home integration.</t>
  </si>
  <si>
    <t xml:space="preserve">https://images.bestbuy.com/marketplace/google-cam-og-main.jpg</t>
  </si>
  <si>
    <t xml:space="preserve">BB-MKT-00332</t>
  </si>
  <si>
    <t xml:space="preserve">AS-5222-SL</t>
  </si>
  <si>
    <t xml:space="preserve">712292041102</t>
  </si>
  <si>
    <t xml:space="preserve">0712292041102</t>
  </si>
  <si>
    <t xml:space="preserve">ASUS MacBook Air 15.6" Laptop - 32GB RAM 512GB SSD</t>
  </si>
  <si>
    <t xml:space="preserve">BB-MKT-00094</t>
  </si>
  <si>
    <t xml:space="preserve">AS-6129-BL</t>
  </si>
  <si>
    <t xml:space="preserve">185560741164</t>
  </si>
  <si>
    <t xml:space="preserve">0185560741164</t>
  </si>
  <si>
    <t xml:space="preserve">ASUS Katana 15 13.3" Laptop - 8GB RAM 512GB SSD</t>
  </si>
  <si>
    <t xml:space="preserve">BB-MKT-00455</t>
  </si>
  <si>
    <t xml:space="preserve">SO-4346-BK</t>
  </si>
  <si>
    <t xml:space="preserve">265340472930</t>
  </si>
  <si>
    <t xml:space="preserve">0265340472930</t>
  </si>
  <si>
    <t xml:space="preserve">Sony WH-1000XM5 Over-ear Wired Headphones</t>
  </si>
  <si>
    <t xml:space="preserve">2024-09-06</t>
  </si>
  <si>
    <t xml:space="preserve">BB-MKT-00325</t>
  </si>
  <si>
    <t xml:space="preserve">LG-3555-BK</t>
  </si>
  <si>
    <t xml:space="preserve">493498877389</t>
  </si>
  <si>
    <t xml:space="preserve">0493498877389</t>
  </si>
  <si>
    <t xml:space="preserve">LG 50" 8K Smart TV V-Series</t>
  </si>
  <si>
    <t xml:space="preserve">Screen_Size: 50" | Resolution: 8K | Smart_TV: Yes | HDR: HDR10</t>
  </si>
  <si>
    <t xml:space="preserve">BB-MKT-00422</t>
  </si>
  <si>
    <t xml:space="preserve">LE-7258-SL</t>
  </si>
  <si>
    <t xml:space="preserve">593050688004</t>
  </si>
  <si>
    <t xml:space="preserve">0593050688004</t>
  </si>
  <si>
    <t xml:space="preserve">Lenovo Tab P12 Pro 10.1" 256GB Tablet</t>
  </si>
  <si>
    <t xml:space="preserve">BB-MKT-00106</t>
  </si>
  <si>
    <t xml:space="preserve">RI-8684-WH</t>
  </si>
  <si>
    <t xml:space="preserve">440329637250</t>
  </si>
  <si>
    <t xml:space="preserve">0440329637250</t>
  </si>
  <si>
    <t xml:space="preserve">Connectivity: Bluetooth | Voice_Assistant: Google Assistant | Power: USB-C</t>
  </si>
  <si>
    <t xml:space="preserve">BB-MKT-00127</t>
  </si>
  <si>
    <t xml:space="preserve">VI-2330-BK</t>
  </si>
  <si>
    <t xml:space="preserve">133774683071</t>
  </si>
  <si>
    <t xml:space="preserve">0133774683071</t>
  </si>
  <si>
    <t xml:space="preserve">Vizio 85" 1080p Full HD Smart TV U8K</t>
  </si>
  <si>
    <t xml:space="preserve">Immerse yourself in stunning visuals with the Vizio U8K. Features cutting-edge display technology.</t>
  </si>
  <si>
    <t xml:space="preserve">https://images.bestbuy.com/marketplace/vizio-u8k-main.jpg</t>
  </si>
  <si>
    <t xml:space="preserve">Screen_Size: 85" | Resolution: 1080p Full HD | Smart_TV: No | HDR: HDR10+</t>
  </si>
  <si>
    <t xml:space="preserve">BB-MKT-00327</t>
  </si>
  <si>
    <t xml:space="preserve">HI-1533-SL</t>
  </si>
  <si>
    <t xml:space="preserve">696741271854</t>
  </si>
  <si>
    <t xml:space="preserve">0696741271854</t>
  </si>
  <si>
    <t xml:space="preserve">Hisense 43" 1080p Full HD Smart TV OLED C3</t>
  </si>
  <si>
    <t xml:space="preserve">Screen_Size: 43" | Resolution: 1080p Full HD | Smart_TV: No | HDR: Dolby Vision</t>
  </si>
  <si>
    <t xml:space="preserve">2025-02-20</t>
  </si>
  <si>
    <t xml:space="preserve">BB-MKT-00542</t>
  </si>
  <si>
    <t xml:space="preserve">AM-9476-BK</t>
  </si>
  <si>
    <t xml:space="preserve">987845442030</t>
  </si>
  <si>
    <t xml:space="preserve">0987845442030</t>
  </si>
  <si>
    <t xml:space="preserve">Amazon Surface Pro 9 12.4" 64GB Tablet</t>
  </si>
  <si>
    <t xml:space="preserve">Storage_GB: 64 | Screen_Size: 12.4" | Cellular: Yes | RAM_GB: 4</t>
  </si>
  <si>
    <t xml:space="preserve">2024-09-23</t>
  </si>
  <si>
    <t xml:space="preserve">BB-MKT-00865</t>
  </si>
  <si>
    <t xml:space="preserve">JB-6096-BL</t>
  </si>
  <si>
    <t xml:space="preserve">409885101207</t>
  </si>
  <si>
    <t xml:space="preserve">0409885101207</t>
  </si>
  <si>
    <t xml:space="preserve">JBL WH-1000XM5 On-ear Wired Headphones</t>
  </si>
  <si>
    <t xml:space="preserve">BB-MKT-00531</t>
  </si>
  <si>
    <t xml:space="preserve">DE-8364-WH</t>
  </si>
  <si>
    <t xml:space="preserve">123499867178</t>
  </si>
  <si>
    <t xml:space="preserve">0123499867178</t>
  </si>
  <si>
    <t xml:space="preserve">Dell Pavilion 15 16" Laptop - 16GB RAM 1024GB SSD</t>
  </si>
  <si>
    <t xml:space="preserve">BB-MKT-00061</t>
  </si>
  <si>
    <t xml:space="preserve">HP-4920-WH</t>
  </si>
  <si>
    <t xml:space="preserve">130586292150</t>
  </si>
  <si>
    <t xml:space="preserve">0130586292150</t>
  </si>
  <si>
    <t xml:space="preserve">HP IdeaPad 5 16" Laptop - 16GB RAM 512GB SSD</t>
  </si>
  <si>
    <t xml:space="preserve">2024-08-17</t>
  </si>
  <si>
    <t xml:space="preserve">BB-MKT-00589</t>
  </si>
  <si>
    <t xml:space="preserve">AM-9106-BL</t>
  </si>
  <si>
    <t xml:space="preserve">631263873744</t>
  </si>
  <si>
    <t xml:space="preserve">0631263873744</t>
  </si>
  <si>
    <t xml:space="preserve">Amazon Tab P12 Pro 11" 128GB Tablet</t>
  </si>
  <si>
    <t xml:space="preserve">Storage_GB: 128 | Screen_Size: 11" | Cellular: No | RAM_GB: 16</t>
  </si>
  <si>
    <t xml:space="preserve">2025-04-25</t>
  </si>
  <si>
    <t xml:space="preserve">BB-MKT-00979</t>
  </si>
  <si>
    <t xml:space="preserve">AP-1576-BK</t>
  </si>
  <si>
    <t xml:space="preserve">790468289425</t>
  </si>
  <si>
    <t xml:space="preserve">0790468289425</t>
  </si>
  <si>
    <t xml:space="preserve">Apple Fire HD 10 12.4" 64GB Tablet</t>
  </si>
  <si>
    <t xml:space="preserve">BB-MKT-00650</t>
  </si>
  <si>
    <t xml:space="preserve">AP-2922-WH</t>
  </si>
  <si>
    <t xml:space="preserve">825702074238</t>
  </si>
  <si>
    <t xml:space="preserve">0825702074238</t>
  </si>
  <si>
    <t xml:space="preserve">Apple Tab P12 Pro 8" 512GB Tablet</t>
  </si>
  <si>
    <t xml:space="preserve">BB-MKT-00237</t>
  </si>
  <si>
    <t xml:space="preserve">AS-4390-WH</t>
  </si>
  <si>
    <t xml:space="preserve">126186359352</t>
  </si>
  <si>
    <t xml:space="preserve">0126186359352</t>
  </si>
  <si>
    <t xml:space="preserve">ASUS XPS 15 16" Laptop - 32GB RAM 1024GB SSD</t>
  </si>
  <si>
    <t xml:space="preserve">Experience premium performance with the ASUS XPS 15. Designed for professionals and students alike.</t>
  </si>
  <si>
    <t xml:space="preserve">https://images.bestbuy.com/marketplace/asus-xps-15-main.jpg</t>
  </si>
  <si>
    <t xml:space="preserve">RAM_GB: 32 | Storage_GB: 1024 | Screen_Size: 16" | Processor: Intel i7</t>
  </si>
  <si>
    <t xml:space="preserve">BB-MKT-00105</t>
  </si>
  <si>
    <t xml:space="preserve">BE-3712-BL</t>
  </si>
  <si>
    <t xml:space="preserve">298265342080</t>
  </si>
  <si>
    <t xml:space="preserve">0298265342080</t>
  </si>
  <si>
    <t xml:space="preserve">Beats Momentum 4 Over-ear Both Headphones</t>
  </si>
  <si>
    <t xml:space="preserve">Type: Over-ear | Connectivity: Both | ANC: No | Battery_Hours: 24</t>
  </si>
  <si>
    <t xml:space="preserve">BB-MKT-00165</t>
  </si>
  <si>
    <t xml:space="preserve">AM-6770-WH</t>
  </si>
  <si>
    <t xml:space="preserve">903881442358</t>
  </si>
  <si>
    <t xml:space="preserve">0903881442358</t>
  </si>
  <si>
    <t xml:space="preserve">Amazon Surface Pro 9 12.4" 256GB Tablet</t>
  </si>
  <si>
    <t xml:space="preserve">Storage_GB: 256 | Screen_Size: 12.4" | Cellular: No | RAM_GB: 12</t>
  </si>
  <si>
    <t xml:space="preserve">BB-MKT-00284</t>
  </si>
  <si>
    <t xml:space="preserve">AS-5117-WH</t>
  </si>
  <si>
    <t xml:space="preserve">113115980550</t>
  </si>
  <si>
    <t xml:space="preserve">0113115980550</t>
  </si>
  <si>
    <t xml:space="preserve">ASUS VivoBook 16 15.6" Laptop - 64GB RAM 1024GB SSD</t>
  </si>
  <si>
    <t xml:space="preserve">RAM_GB: 64 | Storage_GB: 1024 | Screen_Size: 15.6" | Processor: Apple M2</t>
  </si>
  <si>
    <t xml:space="preserve">BB-MKT-00278</t>
  </si>
  <si>
    <t xml:space="preserve">LE-8091-BL</t>
  </si>
  <si>
    <t xml:space="preserve">154701622307</t>
  </si>
  <si>
    <t xml:space="preserve">0154701622307</t>
  </si>
  <si>
    <t xml:space="preserve">Lenovo Fire HD 10 12.4" 128GB Tablet</t>
  </si>
  <si>
    <t xml:space="preserve">BB-MKT-00365</t>
  </si>
  <si>
    <t xml:space="preserve">GO-5034-WH</t>
  </si>
  <si>
    <t xml:space="preserve">678685286593</t>
  </si>
  <si>
    <t xml:space="preserve">0678685286593</t>
  </si>
  <si>
    <t xml:space="preserve">2025-04-21</t>
  </si>
  <si>
    <t xml:space="preserve">BB-MKT-00667</t>
  </si>
  <si>
    <t xml:space="preserve">AP-6971-BL</t>
  </si>
  <si>
    <t xml:space="preserve">428025161411</t>
  </si>
  <si>
    <t xml:space="preserve">0428025161411</t>
  </si>
  <si>
    <t xml:space="preserve">2024-08-25</t>
  </si>
  <si>
    <t xml:space="preserve">BB-MKT-00976</t>
  </si>
  <si>
    <t xml:space="preserve">SO-1924-BL</t>
  </si>
  <si>
    <t xml:space="preserve">808246819329</t>
  </si>
  <si>
    <t xml:space="preserve">0808246819329</t>
  </si>
  <si>
    <t xml:space="preserve">Screen_Size: 50" | Resolution: 8K | Smart_TV: No | HDR: HDR10</t>
  </si>
  <si>
    <t xml:space="preserve">BB-MKT-00735</t>
  </si>
  <si>
    <t xml:space="preserve">VI-6105-WH</t>
  </si>
  <si>
    <t xml:space="preserve">945220157193</t>
  </si>
  <si>
    <t xml:space="preserve">0945220157193</t>
  </si>
  <si>
    <t xml:space="preserve">Vizio 55" 8K Smart TV V-Series</t>
  </si>
  <si>
    <t xml:space="preserve">Immerse yourself in stunning visuals with the Vizio V-Series. Features cutting-edge display technology.</t>
  </si>
  <si>
    <t xml:space="preserve">https://images.bestbuy.com/marketplace/vizio-v-series-main.jpg</t>
  </si>
  <si>
    <t xml:space="preserve">2025-02-07</t>
  </si>
  <si>
    <t xml:space="preserve">BB-MKT-00603</t>
  </si>
  <si>
    <t xml:space="preserve">JB-8079-BL</t>
  </si>
  <si>
    <t xml:space="preserve">782470151387</t>
  </si>
  <si>
    <t xml:space="preserve">0782470151387</t>
  </si>
  <si>
    <t xml:space="preserve">JBL Momentum 4 Over-ear Wired Headphones</t>
  </si>
  <si>
    <t xml:space="preserve">BB-MKT-00859</t>
  </si>
  <si>
    <t xml:space="preserve">LE-5413-BL</t>
  </si>
  <si>
    <t xml:space="preserve">952232726388</t>
  </si>
  <si>
    <t xml:space="preserve">0952232726388</t>
  </si>
  <si>
    <t xml:space="preserve">Lenovo Surface Pro 9 10.1" 64GB Tablet</t>
  </si>
  <si>
    <t xml:space="preserve">Storage_GB: 64 | Screen_Size: 10.1" | Cellular: Yes | RAM_GB: 12</t>
  </si>
  <si>
    <t xml:space="preserve">BB-MKT-00960</t>
  </si>
  <si>
    <t xml:space="preserve">HP-7141-BK</t>
  </si>
  <si>
    <t xml:space="preserve">131380164466</t>
  </si>
  <si>
    <t xml:space="preserve">0131380164466</t>
  </si>
  <si>
    <t xml:space="preserve">HP XPS 15 15.6" Laptop - 8GB RAM 256GB SSD</t>
  </si>
  <si>
    <t xml:space="preserve">BB-MKT-00395</t>
  </si>
  <si>
    <t xml:space="preserve">HI-7147-WH</t>
  </si>
  <si>
    <t xml:space="preserve">469501075191</t>
  </si>
  <si>
    <t xml:space="preserve">0469501075191</t>
  </si>
  <si>
    <t xml:space="preserve">Hisense 55" 8K Smart TV V-Series</t>
  </si>
  <si>
    <t xml:space="preserve">BB-MKT-00596</t>
  </si>
  <si>
    <t xml:space="preserve">SA-3102-SL</t>
  </si>
  <si>
    <t xml:space="preserve">731956979188</t>
  </si>
  <si>
    <t xml:space="preserve">0731956979188</t>
  </si>
  <si>
    <t xml:space="preserve">Samsung Tab P12 Pro 12.9" 512GB Tablet</t>
  </si>
  <si>
    <t xml:space="preserve">Stay productive and entertained with the Samsung Tab P12 Pro. Powerful performance in a sleek design.</t>
  </si>
  <si>
    <t xml:space="preserve">https://images.bestbuy.com/marketplace/samsung-tab-p12-pro-main.jpg</t>
  </si>
  <si>
    <t xml:space="preserve">BB-MKT-00072</t>
  </si>
  <si>
    <t xml:space="preserve">TC-7484-SL</t>
  </si>
  <si>
    <t xml:space="preserve">122742842928</t>
  </si>
  <si>
    <t xml:space="preserve">0122742842928</t>
  </si>
  <si>
    <t xml:space="preserve">TCL 55" 1080p Full HD Smart TV U8K</t>
  </si>
  <si>
    <t xml:space="preserve">Screen_Size: 55" | Resolution: 1080p Full HD | Smart_TV: No | HDR: HDR10+</t>
  </si>
  <si>
    <t xml:space="preserve">2024-07-26</t>
  </si>
  <si>
    <t xml:space="preserve">BB-MKT-00958</t>
  </si>
  <si>
    <t xml:space="preserve">LE-3906-BL</t>
  </si>
  <si>
    <t xml:space="preserve">487883630646</t>
  </si>
  <si>
    <t xml:space="preserve">0487883630646</t>
  </si>
  <si>
    <t xml:space="preserve">Lenovo Tab P12 Pro 11" 128GB Tablet</t>
  </si>
  <si>
    <t xml:space="preserve">Storage_GB: 128 | Screen_Size: 11" | Cellular: Yes | RAM_GB: 4</t>
  </si>
  <si>
    <t xml:space="preserve">2024-11-11</t>
  </si>
  <si>
    <t xml:space="preserve">BB-MKT-00765</t>
  </si>
  <si>
    <t xml:space="preserve">AP-8158-BK</t>
  </si>
  <si>
    <t xml:space="preserve">513104437904</t>
  </si>
  <si>
    <t xml:space="preserve">0513104437904</t>
  </si>
  <si>
    <t xml:space="preserve">2025-03-15</t>
  </si>
  <si>
    <t xml:space="preserve">BB-MKT-00394</t>
  </si>
  <si>
    <t xml:space="preserve">VI-1917-SL</t>
  </si>
  <si>
    <t xml:space="preserve">920028613832</t>
  </si>
  <si>
    <t xml:space="preserve">0920028613832</t>
  </si>
  <si>
    <t xml:space="preserve">Screen_Size: 75" | Resolution: 8K | Smart_TV: No | HDR: Dolby Vision</t>
  </si>
  <si>
    <t xml:space="preserve">BB-MKT-00691</t>
  </si>
  <si>
    <t xml:space="preserve">LE-6486-WH</t>
  </si>
  <si>
    <t xml:space="preserve">681661529940</t>
  </si>
  <si>
    <t xml:space="preserve">0681661529940</t>
  </si>
  <si>
    <t xml:space="preserve">Lenovo XPS 15 14" Laptop - 8GB RAM 1024GB SSD</t>
  </si>
  <si>
    <t xml:space="preserve">RAM_GB: 8 | Storage_GB: 1024 | Screen_Size: 14" | Processor: Intel i7</t>
  </si>
  <si>
    <t xml:space="preserve">2024-12-02</t>
  </si>
  <si>
    <t xml:space="preserve">BB-MKT-00338</t>
  </si>
  <si>
    <t xml:space="preserve">NE-8126-SL</t>
  </si>
  <si>
    <t xml:space="preserve">799001252793</t>
  </si>
  <si>
    <t xml:space="preserve">0799001252793</t>
  </si>
  <si>
    <t xml:space="preserve">BB-MKT-00800</t>
  </si>
  <si>
    <t xml:space="preserve">AR-9302-BL</t>
  </si>
  <si>
    <t xml:space="preserve">302028826793</t>
  </si>
  <si>
    <t xml:space="preserve">0302028826793</t>
  </si>
  <si>
    <t xml:space="preserve">BB-MKT-00218</t>
  </si>
  <si>
    <t xml:space="preserve">SA-6870-WH</t>
  </si>
  <si>
    <t xml:space="preserve">688929079884</t>
  </si>
  <si>
    <t xml:space="preserve">0457323121762</t>
  </si>
  <si>
    <t xml:space="preserve">Samsung 65" 8K Smart TV OLED C3</t>
  </si>
  <si>
    <t xml:space="preserve">Immerse yourself in stunning visuals with the Samsung OLED C3. Features cutting-edge display technology.</t>
  </si>
  <si>
    <t xml:space="preserve">https://images.bestbuy.com/marketplace/samsung-oled-c3-main.jpg</t>
  </si>
  <si>
    <t xml:space="preserve">BB-MKT-00518</t>
  </si>
  <si>
    <t xml:space="preserve">PH-3958-BL</t>
  </si>
  <si>
    <t xml:space="preserve">730358810706</t>
  </si>
  <si>
    <t xml:space="preserve">0730358810706</t>
  </si>
  <si>
    <t xml:space="preserve">BB-MKT-00622</t>
  </si>
  <si>
    <t xml:space="preserve">LE-9203-SL</t>
  </si>
  <si>
    <t xml:space="preserve">112902857221</t>
  </si>
  <si>
    <t xml:space="preserve">0112902857221</t>
  </si>
  <si>
    <t xml:space="preserve">Lenovo Pavilion 15 14" Laptop - 64GB RAM 256GB SSD</t>
  </si>
  <si>
    <t xml:space="preserve">Experience premium performance with the Lenovo Pavilion 15. Designed for professionals and students alike.</t>
  </si>
  <si>
    <t xml:space="preserve">https://images.bestbuy.com/marketplace/lenovo-pavilion-15-main.jpg</t>
  </si>
  <si>
    <t xml:space="preserve">RAM_GB: 64 | Storage_GB: 256 | Screen_Size: 14" | Processor: Intel i7</t>
  </si>
  <si>
    <t xml:space="preserve">2025-01-19</t>
  </si>
  <si>
    <t xml:space="preserve">BB-MKT-00537</t>
  </si>
  <si>
    <t xml:space="preserve">HI-2977-WH</t>
  </si>
  <si>
    <t xml:space="preserve">351760515736</t>
  </si>
  <si>
    <t xml:space="preserve">0351760515736</t>
  </si>
  <si>
    <t xml:space="preserve">Hisense 43" 8K Smart TV QLED 4K</t>
  </si>
  <si>
    <t xml:space="preserve">BB-MKT-00821</t>
  </si>
  <si>
    <t xml:space="preserve">SO-7960-BK</t>
  </si>
  <si>
    <t xml:space="preserve">371980509326</t>
  </si>
  <si>
    <t xml:space="preserve">0371980509326</t>
  </si>
  <si>
    <t xml:space="preserve">Sony QuietComfort 45 Over-ear Wired Headphones</t>
  </si>
  <si>
    <t xml:space="preserve">https://images.bestbuy.com/marketplace/sony-quietcomfort-45-main.jpg</t>
  </si>
  <si>
    <t xml:space="preserve">BB-MKT-00347</t>
  </si>
  <si>
    <t xml:space="preserve">VI-7484-WH</t>
  </si>
  <si>
    <t xml:space="preserve">231360272779</t>
  </si>
  <si>
    <t xml:space="preserve">0231360272779</t>
  </si>
  <si>
    <t xml:space="preserve">Vizio 55" 4K UHD Smart TV 5-Series 4K</t>
  </si>
  <si>
    <t xml:space="preserve">Screen_Size: 55" | Resolution: 4K UHD | Smart_TV: Yes | HDR: Dolby Vision</t>
  </si>
  <si>
    <t xml:space="preserve">BB-MKT-00266</t>
  </si>
  <si>
    <t xml:space="preserve">VI-2809-BL</t>
  </si>
  <si>
    <t xml:space="preserve">197373922878</t>
  </si>
  <si>
    <t xml:space="preserve">0197373922878</t>
  </si>
  <si>
    <t xml:space="preserve">BB-MKT-00172</t>
  </si>
  <si>
    <t xml:space="preserve">SA-7499-SL</t>
  </si>
  <si>
    <t xml:space="preserve">473988650640</t>
  </si>
  <si>
    <t xml:space="preserve">0473988650640</t>
  </si>
  <si>
    <t xml:space="preserve">Samsung iPad Pro 12.9 8" 256GB Tablet</t>
  </si>
  <si>
    <t xml:space="preserve">Stay productive and entertained with the Samsung iPad Pro 12.9. Powerful performance in a sleek design.</t>
  </si>
  <si>
    <t xml:space="preserve">https://images.bestbuy.com/marketplace/samsung-ipad-pro-12.9-main.jpg</t>
  </si>
  <si>
    <t xml:space="preserve">Storage_GB: 256 | Screen_Size: 8" | Cellular: Yes | RAM_GB: 12</t>
  </si>
  <si>
    <t xml:space="preserve">2025-03-09</t>
  </si>
  <si>
    <t xml:space="preserve">BB-MKT-00933</t>
  </si>
  <si>
    <t xml:space="preserve">SE-4775-WH</t>
  </si>
  <si>
    <t xml:space="preserve">694263083161</t>
  </si>
  <si>
    <t xml:space="preserve">0694263083161</t>
  </si>
  <si>
    <t xml:space="preserve">BB-MKT-00804</t>
  </si>
  <si>
    <t xml:space="preserve">TC-2266-WH</t>
  </si>
  <si>
    <t xml:space="preserve">188687690576</t>
  </si>
  <si>
    <t xml:space="preserve">0188687690576</t>
  </si>
  <si>
    <t xml:space="preserve">TCL 43" 1080p Full HD Smart TV U8K</t>
  </si>
  <si>
    <t xml:space="preserve">BB-MKT-00945</t>
  </si>
  <si>
    <t xml:space="preserve">MI-3818-BL</t>
  </si>
  <si>
    <t xml:space="preserve">485487570495</t>
  </si>
  <si>
    <t xml:space="preserve">0485487570495</t>
  </si>
  <si>
    <t xml:space="preserve">Microsoft Galaxy Tab S9 12.9" 128GB Tablet</t>
  </si>
  <si>
    <t xml:space="preserve">Storage_GB: 128 | Screen_Size: 12.9" | Cellular: No | RAM_GB: 12</t>
  </si>
  <si>
    <t xml:space="preserve">BB-MKT-00870</t>
  </si>
  <si>
    <t xml:space="preserve">SO-1583-BK</t>
  </si>
  <si>
    <t xml:space="preserve">797063242206</t>
  </si>
  <si>
    <t xml:space="preserve">0797063242206</t>
  </si>
  <si>
    <t xml:space="preserve">BB-MKT-00676</t>
  </si>
  <si>
    <t xml:space="preserve">AP-4441-BL</t>
  </si>
  <si>
    <t xml:space="preserve">403440506081</t>
  </si>
  <si>
    <t xml:space="preserve">0403440506081</t>
  </si>
  <si>
    <t xml:space="preserve">Apple Evolve2 85 On-ear Both Headphones</t>
  </si>
  <si>
    <t xml:space="preserve">BB-MKT-00290</t>
  </si>
  <si>
    <t xml:space="preserve">MI-8300-BL</t>
  </si>
  <si>
    <t xml:space="preserve">661793820110</t>
  </si>
  <si>
    <t xml:space="preserve">0661793820110</t>
  </si>
  <si>
    <t xml:space="preserve">Microsoft Fire HD 10 8" 256GB Tablet</t>
  </si>
  <si>
    <t xml:space="preserve">Storage_GB: 256 | Screen_Size: 8" | Cellular: No | RAM_GB: 16</t>
  </si>
  <si>
    <t xml:space="preserve">BB-MKT-00988</t>
  </si>
  <si>
    <t xml:space="preserve">AP-6946-SL</t>
  </si>
  <si>
    <t xml:space="preserve">172330163470</t>
  </si>
  <si>
    <t xml:space="preserve">0172330163470</t>
  </si>
  <si>
    <t xml:space="preserve">Apple QuietComfort 45 In-ear Wireless Headphones</t>
  </si>
  <si>
    <t xml:space="preserve">BB-MKT-00810</t>
  </si>
  <si>
    <t xml:space="preserve">MI-6515-BK</t>
  </si>
  <si>
    <t xml:space="preserve">469878415874</t>
  </si>
  <si>
    <t xml:space="preserve">0469878415874</t>
  </si>
  <si>
    <t xml:space="preserve">Microsoft Galaxy Tab S9 12.9" 512GB Tablet</t>
  </si>
  <si>
    <t xml:space="preserve">BB-MKT-00161</t>
  </si>
  <si>
    <t xml:space="preserve">JB-4555-BL</t>
  </si>
  <si>
    <t xml:space="preserve">981276450865</t>
  </si>
  <si>
    <t xml:space="preserve">0981276450865</t>
  </si>
  <si>
    <t xml:space="preserve">2024-07-08</t>
  </si>
  <si>
    <t xml:space="preserve">BB-MKT-00117</t>
  </si>
  <si>
    <t xml:space="preserve">RI-3956-SL</t>
  </si>
  <si>
    <t xml:space="preserve">763274407218</t>
  </si>
  <si>
    <t xml:space="preserve">0763274407218</t>
  </si>
  <si>
    <t xml:space="preserve">BB-MKT-00263</t>
  </si>
  <si>
    <t xml:space="preserve">WY-1790-BK</t>
  </si>
  <si>
    <t xml:space="preserve">125065944579</t>
  </si>
  <si>
    <t xml:space="preserve">0125065944579</t>
  </si>
  <si>
    <t xml:space="preserve">BB-MKT-00992</t>
  </si>
  <si>
    <t xml:space="preserve">RI-6254-SL</t>
  </si>
  <si>
    <t xml:space="preserve">317621285036</t>
  </si>
  <si>
    <t xml:space="preserve">0317621285036</t>
  </si>
  <si>
    <t xml:space="preserve">BB-MKT-00848</t>
  </si>
  <si>
    <t xml:space="preserve">SA-6148-BK</t>
  </si>
  <si>
    <t xml:space="preserve">167476474012</t>
  </si>
  <si>
    <t xml:space="preserve">0167476474012</t>
  </si>
  <si>
    <t xml:space="preserve">Samsung 43" 4K UHD Smart TV 5-Series 4K</t>
  </si>
  <si>
    <t xml:space="preserve">2024-10-08</t>
  </si>
  <si>
    <t xml:space="preserve">BB-MKT-00139</t>
  </si>
  <si>
    <t xml:space="preserve">RI-8531-SL</t>
  </si>
  <si>
    <t xml:space="preserve">293087493940</t>
  </si>
  <si>
    <t xml:space="preserve">0293087493940</t>
  </si>
  <si>
    <t xml:space="preserve">BB-MKT-00138</t>
  </si>
  <si>
    <t xml:space="preserve">SA-7723-BL</t>
  </si>
  <si>
    <t xml:space="preserve">326303975452</t>
  </si>
  <si>
    <t xml:space="preserve">0326303975452</t>
  </si>
  <si>
    <t xml:space="preserve">Samsung 55" 8K Smart TV 5-Series 4K</t>
  </si>
  <si>
    <t xml:space="preserve">Screen_Size: 55" | Resolution: 8K | Smart_TV: Yes | HDR: Dolby Vision</t>
  </si>
  <si>
    <t xml:space="preserve">BB-MKT-00323</t>
  </si>
  <si>
    <t xml:space="preserve">LE-4610-WH</t>
  </si>
  <si>
    <t xml:space="preserve">516901971065</t>
  </si>
  <si>
    <t xml:space="preserve">0516901971065</t>
  </si>
  <si>
    <t xml:space="preserve">Lenovo Fire HD 10 12.4" 64GB Tablet</t>
  </si>
  <si>
    <t xml:space="preserve">Storage_GB: 64 | Screen_Size: 12.4" | Cellular: Yes | RAM_GB: 8</t>
  </si>
  <si>
    <t xml:space="preserve">BB-MKT-00129</t>
  </si>
  <si>
    <t xml:space="preserve">HP-3353-SL</t>
  </si>
  <si>
    <t xml:space="preserve">767181046830</t>
  </si>
  <si>
    <t xml:space="preserve">0767181046830</t>
  </si>
  <si>
    <t xml:space="preserve">HP VivoBook 16 16" Laptop - 64GB RAM 512GB SSD</t>
  </si>
  <si>
    <t xml:space="preserve">RAM_GB: 64 | Storage_GB: 512 | Screen_Size: 16" | Processor: Intel i7</t>
  </si>
  <si>
    <t xml:space="preserve">2024-12-24</t>
  </si>
  <si>
    <t xml:space="preserve">BB-MKT-00897</t>
  </si>
  <si>
    <t xml:space="preserve">VI-4996-BL</t>
  </si>
  <si>
    <t xml:space="preserve">350000305528</t>
  </si>
  <si>
    <t xml:space="preserve">0350000305528</t>
  </si>
  <si>
    <t xml:space="preserve">Vizio 50" 1080p Full HD Smart TV QLED 4K</t>
  </si>
  <si>
    <t xml:space="preserve">Screen_Size: 50" | Resolution: 1080p Full HD | Smart_TV: No | HDR: HDR10</t>
  </si>
  <si>
    <t xml:space="preserve">BB-MKT-00324</t>
  </si>
  <si>
    <t xml:space="preserve">BO-6142-SL</t>
  </si>
  <si>
    <t xml:space="preserve">620457633259</t>
  </si>
  <si>
    <t xml:space="preserve">0620457633259</t>
  </si>
  <si>
    <t xml:space="preserve">Bose AirPods Max Over-ear Wired Headphones</t>
  </si>
  <si>
    <t xml:space="preserve">Type: Over-ear | Connectivity: Wired | ANC: No | Battery_Hours: 20</t>
  </si>
  <si>
    <t xml:space="preserve">BB-MKT-00316</t>
  </si>
  <si>
    <t xml:space="preserve">AP-4764-BL</t>
  </si>
  <si>
    <t xml:space="preserve">231680617183</t>
  </si>
  <si>
    <t xml:space="preserve">0231680617183</t>
  </si>
  <si>
    <t xml:space="preserve">BB-MKT-00265</t>
  </si>
  <si>
    <t xml:space="preserve">SO-5308-WH</t>
  </si>
  <si>
    <t xml:space="preserve">955556408971</t>
  </si>
  <si>
    <t xml:space="preserve">0955556408971</t>
  </si>
  <si>
    <t xml:space="preserve">BB-MKT-00584</t>
  </si>
  <si>
    <t xml:space="preserve">SO-4262-WH</t>
  </si>
  <si>
    <t xml:space="preserve">134253692541</t>
  </si>
  <si>
    <t xml:space="preserve">0134253692541</t>
  </si>
  <si>
    <t xml:space="preserve">Sony 50" 1080p Full HD Smart TV 5-Series 4K</t>
  </si>
  <si>
    <t xml:space="preserve">BB-MKT-00176</t>
  </si>
  <si>
    <t xml:space="preserve">WY-5397-BL</t>
  </si>
  <si>
    <t xml:space="preserve">431867479962</t>
  </si>
  <si>
    <t xml:space="preserve">0431867479962</t>
  </si>
  <si>
    <t xml:space="preserve">BB-MKT-00251</t>
  </si>
  <si>
    <t xml:space="preserve">MI-7506-BK</t>
  </si>
  <si>
    <t xml:space="preserve">674139185700</t>
  </si>
  <si>
    <t xml:space="preserve">0674139185700</t>
  </si>
  <si>
    <t xml:space="preserve">Microsoft Tab P12 Pro 10.1" 256GB Tablet</t>
  </si>
  <si>
    <t xml:space="preserve">BB-MKT-00355</t>
  </si>
  <si>
    <t xml:space="preserve">LE-1666-BK</t>
  </si>
  <si>
    <t xml:space="preserve">680962254427</t>
  </si>
  <si>
    <t xml:space="preserve">0680962254427</t>
  </si>
  <si>
    <t xml:space="preserve">Lenovo Aspire 5 13.3" Laptop - 64GB RAM 512GB SSD</t>
  </si>
  <si>
    <t xml:space="preserve">2025-03-23</t>
  </si>
  <si>
    <t xml:space="preserve">BB-MKT-00047</t>
  </si>
  <si>
    <t xml:space="preserve">BO-5526-BK</t>
  </si>
  <si>
    <t xml:space="preserve">871359612234</t>
  </si>
  <si>
    <t xml:space="preserve">0871359612234</t>
  </si>
  <si>
    <t xml:space="preserve">Bose Tour One Over-ear Wired Headphones</t>
  </si>
  <si>
    <t xml:space="preserve">Enjoy crystal-clear audio with the Bose Tour One. Perfect for music lovers and remote workers.</t>
  </si>
  <si>
    <t xml:space="preserve">https://images.bestbuy.com/marketplace/bose-tour-one-main.jpg</t>
  </si>
  <si>
    <t xml:space="preserve">BB-MKT-00173</t>
  </si>
  <si>
    <t xml:space="preserve">SE-5839-WH</t>
  </si>
  <si>
    <t xml:space="preserve">781921266516</t>
  </si>
  <si>
    <t xml:space="preserve">0781921266516</t>
  </si>
  <si>
    <t xml:space="preserve">Sennheiser Tour One On-ear Wireless Headphones</t>
  </si>
  <si>
    <t xml:space="preserve">Type: On-ear | Connectivity: Wireless | ANC: No | Battery_Hours: 20</t>
  </si>
  <si>
    <t xml:space="preserve">BB-MKT-00474</t>
  </si>
  <si>
    <t xml:space="preserve">WY-2943-WH</t>
  </si>
  <si>
    <t xml:space="preserve">131373380010</t>
  </si>
  <si>
    <t xml:space="preserve">0131373380010</t>
  </si>
  <si>
    <t xml:space="preserve">BB-MKT-00669</t>
  </si>
  <si>
    <t xml:space="preserve">VI-9119-WH</t>
  </si>
  <si>
    <t xml:space="preserve">638679502634</t>
  </si>
  <si>
    <t xml:space="preserve">0638679502634</t>
  </si>
  <si>
    <t xml:space="preserve">Vizio 65" 1080p Full HD Smart TV OLED C3</t>
  </si>
  <si>
    <t xml:space="preserve">BB-MKT-00889</t>
  </si>
  <si>
    <t xml:space="preserve">SO-9053-WH</t>
  </si>
  <si>
    <t xml:space="preserve">881251095022</t>
  </si>
  <si>
    <t xml:space="preserve">0881251095022</t>
  </si>
  <si>
    <t xml:space="preserve">Sony 55" 1080p Full HD Smart TV QLED 4K</t>
  </si>
  <si>
    <t xml:space="preserve">Screen_Size: 55" | Resolution: 1080p Full HD | Smart_TV: Yes | HDR: Dolby Vision</t>
  </si>
  <si>
    <t xml:space="preserve">BB-MKT-00790</t>
  </si>
  <si>
    <t xml:space="preserve">AP-8843-BK</t>
  </si>
  <si>
    <t xml:space="preserve">536394978982</t>
  </si>
  <si>
    <t xml:space="preserve">0536394978982</t>
  </si>
  <si>
    <t xml:space="preserve">Apple Momentum 4 In-ear Wireless Headphones</t>
  </si>
  <si>
    <t xml:space="preserve">2025-04-05</t>
  </si>
  <si>
    <t xml:space="preserve">BB-MKT-00511</t>
  </si>
  <si>
    <t xml:space="preserve">LE-8506-BK</t>
  </si>
  <si>
    <t xml:space="preserve">741537709100</t>
  </si>
  <si>
    <t xml:space="preserve">0741537709100</t>
  </si>
  <si>
    <t xml:space="preserve">Lenovo IdeaPad 5 16" Laptop - 16GB RAM 1024GB SSD</t>
  </si>
  <si>
    <t xml:space="preserve">2025-01-20</t>
  </si>
  <si>
    <t xml:space="preserve">BB-MKT-00863</t>
  </si>
  <si>
    <t xml:space="preserve">BE-9750-BK</t>
  </si>
  <si>
    <t xml:space="preserve">532060562529</t>
  </si>
  <si>
    <t xml:space="preserve">0532060562529</t>
  </si>
  <si>
    <t xml:space="preserve">Beats QuietComfort 45 On-ear Wired Headphones</t>
  </si>
  <si>
    <t xml:space="preserve">Enjoy crystal-clear audio with the Beats QuietComfort 45. Perfect for music lovers and remote workers.</t>
  </si>
  <si>
    <t xml:space="preserve">https://images.bestbuy.com/marketplace/beats-quietcomfort-45-main.jpg</t>
  </si>
  <si>
    <t xml:space="preserve">Type: On-ear | Connectivity: Wired | ANC: No | Battery_Hours: 36</t>
  </si>
  <si>
    <t xml:space="preserve">BB-MKT-00907</t>
  </si>
  <si>
    <t xml:space="preserve">MS-7144-BK</t>
  </si>
  <si>
    <t xml:space="preserve">746850871858</t>
  </si>
  <si>
    <t xml:space="preserve">0746850871858</t>
  </si>
  <si>
    <t xml:space="preserve">RAM_GB: 64 | Storage_GB: 1024 | Screen_Size: 16" | Processor: Intel i7</t>
  </si>
  <si>
    <t xml:space="preserve">BB-MKT-00996</t>
  </si>
  <si>
    <t xml:space="preserve">BO-2364-BL</t>
  </si>
  <si>
    <t xml:space="preserve">393267415610</t>
  </si>
  <si>
    <t xml:space="preserve">0393267415610</t>
  </si>
  <si>
    <t xml:space="preserve">Bose AirPods Max In-ear Wired Headphones</t>
  </si>
  <si>
    <t xml:space="preserve">BB-MKT-00862</t>
  </si>
  <si>
    <t xml:space="preserve">SA-7165-BL</t>
  </si>
  <si>
    <t xml:space="preserve">619316663592</t>
  </si>
  <si>
    <t xml:space="preserve">0619316663592</t>
  </si>
  <si>
    <t xml:space="preserve">Samsung Surface Pro 9 12.4" 64GB Tablet</t>
  </si>
  <si>
    <t xml:space="preserve">Storage_GB: 64 | Screen_Size: 12.4" | Cellular: No | RAM_GB: 6</t>
  </si>
  <si>
    <t xml:space="preserve">BB-MKT-00302</t>
  </si>
  <si>
    <t xml:space="preserve">WY-5767-WH</t>
  </si>
  <si>
    <t xml:space="preserve">747561431258</t>
  </si>
  <si>
    <t xml:space="preserve">0747561431258</t>
  </si>
  <si>
    <t xml:space="preserve">BB-MKT-00353</t>
  </si>
  <si>
    <t xml:space="preserve">AC-4310-BK</t>
  </si>
  <si>
    <t xml:space="preserve">138111361296</t>
  </si>
  <si>
    <t xml:space="preserve">0138111361296</t>
  </si>
  <si>
    <t xml:space="preserve">Acer MacBook Air 14" Laptop - 8GB RAM 256GB SSD</t>
  </si>
  <si>
    <t xml:space="preserve">Experience premium performance with the Acer MacBook Air. Designed for professionals and students alike.</t>
  </si>
  <si>
    <t xml:space="preserve">https://images.bestbuy.com/marketplace/acer-macbook-air-main.jpg</t>
  </si>
  <si>
    <t xml:space="preserve">BB-MKT-00817</t>
  </si>
  <si>
    <t xml:space="preserve">LE-9307-SL</t>
  </si>
  <si>
    <t xml:space="preserve">273203643141</t>
  </si>
  <si>
    <t xml:space="preserve">0273203643141</t>
  </si>
  <si>
    <t xml:space="preserve">Lenovo Katana 15 14" Laptop - 8GB RAM 1024GB SSD</t>
  </si>
  <si>
    <t xml:space="preserve">RAM_GB: 8 | Storage_GB: 1024 | Screen_Size: 14" | Processor: Intel i5</t>
  </si>
  <si>
    <t xml:space="preserve">2024-08-07</t>
  </si>
  <si>
    <t xml:space="preserve">BB-MKT-00605</t>
  </si>
  <si>
    <t xml:space="preserve">AC-9291-BK</t>
  </si>
  <si>
    <t xml:space="preserve">328718891043</t>
  </si>
  <si>
    <t xml:space="preserve">0328718891043</t>
  </si>
  <si>
    <t xml:space="preserve">Acer Katana 15 16" Laptop - 32GB RAM 512GB SSD</t>
  </si>
  <si>
    <t xml:space="preserve">Experience premium performance with the Acer Katana 15. Designed for professionals and students alike.</t>
  </si>
  <si>
    <t xml:space="preserve">https://images.bestbuy.com/marketplace/acer-katana-15-main.jpg</t>
  </si>
  <si>
    <t xml:space="preserve">BB-MKT-00388</t>
  </si>
  <si>
    <t xml:space="preserve">DE-3906-BL</t>
  </si>
  <si>
    <t xml:space="preserve">828474083546</t>
  </si>
  <si>
    <t xml:space="preserve">0828474083546</t>
  </si>
  <si>
    <t xml:space="preserve">Dell XPS 15 14" Laptop - 64GB RAM 256GB SSD</t>
  </si>
  <si>
    <t xml:space="preserve">Experience premium performance with the Dell XPS 15. Designed for professionals and students alike.</t>
  </si>
  <si>
    <t xml:space="preserve">https://images.bestbuy.com/marketplace/dell-xps-15-main.jpg</t>
  </si>
  <si>
    <t xml:space="preserve">RAM_GB: 64 | Storage_GB: 256 | Screen_Size: 14" | Processor: AMD Ryzen 5</t>
  </si>
  <si>
    <t xml:space="preserve">BB-MKT-00521</t>
  </si>
  <si>
    <t xml:space="preserve">AC-7535-BK</t>
  </si>
  <si>
    <t xml:space="preserve">362757555627</t>
  </si>
  <si>
    <t xml:space="preserve">0362757555627</t>
  </si>
  <si>
    <t xml:space="preserve">Acer Aspire 5 16" Laptop - 64GB RAM 256GB SSD</t>
  </si>
  <si>
    <t xml:space="preserve">https://images.bestbuy.com/marketplace/acer-aspire-5-main.jpg</t>
  </si>
  <si>
    <t xml:space="preserve">2025-01-23</t>
  </si>
  <si>
    <t xml:space="preserve">BB-MKT-00829</t>
  </si>
  <si>
    <t xml:space="preserve">AR-5329-BL</t>
  </si>
  <si>
    <t xml:space="preserve">208244629239</t>
  </si>
  <si>
    <t xml:space="preserve">0208244629239</t>
  </si>
  <si>
    <t xml:space="preserve">BB-MKT-00738</t>
  </si>
  <si>
    <t xml:space="preserve">AP-6388-WH</t>
  </si>
  <si>
    <t xml:space="preserve">111546128003</t>
  </si>
  <si>
    <t xml:space="preserve">0111546128003</t>
  </si>
  <si>
    <t xml:space="preserve">Apple QuietComfort 45 On-ear Wireless Headphones</t>
  </si>
  <si>
    <t xml:space="preserve">BB-MKT-00910</t>
  </si>
  <si>
    <t xml:space="preserve">SO-5243-SL</t>
  </si>
  <si>
    <t xml:space="preserve">843883977052</t>
  </si>
  <si>
    <t xml:space="preserve">0843883977052</t>
  </si>
  <si>
    <t xml:space="preserve">Sony 50" 8K Smart TV 5-Series 4K</t>
  </si>
  <si>
    <t xml:space="preserve">BB-MKT-00438</t>
  </si>
  <si>
    <t xml:space="preserve">GO-7162-WH</t>
  </si>
  <si>
    <t xml:space="preserve">968012752430</t>
  </si>
  <si>
    <t xml:space="preserve">0968012752430</t>
  </si>
  <si>
    <t xml:space="preserve">BB-MKT-00158</t>
  </si>
  <si>
    <t xml:space="preserve">MI-1768-SL</t>
  </si>
  <si>
    <t xml:space="preserve">643553239733</t>
  </si>
  <si>
    <t xml:space="preserve">0643553239733</t>
  </si>
  <si>
    <t xml:space="preserve">Microsoft Surface Pro 9 12.9" 64GB Tablet</t>
  </si>
  <si>
    <t xml:space="preserve">BB-MKT-00471</t>
  </si>
  <si>
    <t xml:space="preserve">AP-3738-SL</t>
  </si>
  <si>
    <t xml:space="preserve">206363530982</t>
  </si>
  <si>
    <t xml:space="preserve">0206363530982</t>
  </si>
  <si>
    <t xml:space="preserve">BB-MKT-00880</t>
  </si>
  <si>
    <t xml:space="preserve">SA-7571-BL</t>
  </si>
  <si>
    <t xml:space="preserve">275513380246</t>
  </si>
  <si>
    <t xml:space="preserve">0275513380246</t>
  </si>
  <si>
    <t xml:space="preserve">BB-MKT-00634</t>
  </si>
  <si>
    <t xml:space="preserve">AR-6278-BK</t>
  </si>
  <si>
    <t xml:space="preserve">100807174408</t>
  </si>
  <si>
    <t xml:space="preserve">0100807174408</t>
  </si>
  <si>
    <t xml:space="preserve">BB-MKT-00275</t>
  </si>
  <si>
    <t xml:space="preserve">TC-8414-BK</t>
  </si>
  <si>
    <t xml:space="preserve">502254470187</t>
  </si>
  <si>
    <t xml:space="preserve">0502254470187</t>
  </si>
  <si>
    <t xml:space="preserve">TCL 75" 1080p Full HD Smart TV Bravia XR</t>
  </si>
  <si>
    <t xml:space="preserve">BB-MKT-00609</t>
  </si>
  <si>
    <t xml:space="preserve">AP-1076-BK</t>
  </si>
  <si>
    <t xml:space="preserve">757355118095</t>
  </si>
  <si>
    <t xml:space="preserve">0757355118095</t>
  </si>
  <si>
    <t xml:space="preserve">Storage_GB: 64 | Screen_Size: 12.4" | Cellular: No | RAM_GB: 12</t>
  </si>
  <si>
    <t xml:space="preserve">BB-MKT-00156</t>
  </si>
  <si>
    <t xml:space="preserve">AM-8314-BK</t>
  </si>
  <si>
    <t xml:space="preserve">136910709084</t>
  </si>
  <si>
    <t xml:space="preserve">0387324413480</t>
  </si>
  <si>
    <t xml:space="preserve">Amazon iPad Pro 12.9 10.1" 128GB Tablet</t>
  </si>
  <si>
    <t xml:space="preserve">Storage_GB: 128 | Screen_Size: 10.1" | Cellular: Yes | RAM_GB: 4</t>
  </si>
  <si>
    <t xml:space="preserve">BB-MKT-00175</t>
  </si>
  <si>
    <t xml:space="preserve">DE-6315-BL</t>
  </si>
  <si>
    <t xml:space="preserve">961562037738</t>
  </si>
  <si>
    <t xml:space="preserve">0961562037738</t>
  </si>
  <si>
    <t xml:space="preserve">Dell XPS 15 13.3" Laptop - 32GB RAM 1024GB SSD</t>
  </si>
  <si>
    <t xml:space="preserve">RAM_GB: 32 | Storage_GB: 1024 | Screen_Size: 13.3" | Processor: Apple M2</t>
  </si>
  <si>
    <t xml:space="preserve">BB-MKT-00470</t>
  </si>
  <si>
    <t xml:space="preserve">AM-3675-BK</t>
  </si>
  <si>
    <t xml:space="preserve">491423980803</t>
  </si>
  <si>
    <t xml:space="preserve">0491423980803</t>
  </si>
  <si>
    <t xml:space="preserve">BB-MKT-00414</t>
  </si>
  <si>
    <t xml:space="preserve">AM-1121-BL</t>
  </si>
  <si>
    <t xml:space="preserve">564654434392</t>
  </si>
  <si>
    <t xml:space="preserve">0564654434392</t>
  </si>
  <si>
    <t xml:space="preserve">Amazon Tab P12 Pro 12.4" 512GB Tablet</t>
  </si>
  <si>
    <t xml:space="preserve">Storage_GB: 512 | Screen_Size: 12.4" | Cellular: No | RAM_GB: 6</t>
  </si>
  <si>
    <t xml:space="preserve">BB-MKT-00333</t>
  </si>
  <si>
    <t xml:space="preserve">AP-7243-SL</t>
  </si>
  <si>
    <t xml:space="preserve">189720288214</t>
  </si>
  <si>
    <t xml:space="preserve">0189720288214</t>
  </si>
  <si>
    <t xml:space="preserve">Apple AirPods Max In-ear Both Headphones</t>
  </si>
  <si>
    <t xml:space="preserve">BB-MKT-00924</t>
  </si>
  <si>
    <t xml:space="preserve">AC-7879-BK</t>
  </si>
  <si>
    <t xml:space="preserve">199740735655</t>
  </si>
  <si>
    <t xml:space="preserve">0199740735655</t>
  </si>
  <si>
    <t xml:space="preserve">Acer VivoBook 16 13.3" Laptop - 16GB RAM 256GB SSD</t>
  </si>
  <si>
    <t xml:space="preserve">Experience premium performance with the Acer VivoBook 16. Designed for professionals and students alike.</t>
  </si>
  <si>
    <t xml:space="preserve">https://images.bestbuy.com/marketplace/acer-vivobook-16-main.jpg</t>
  </si>
  <si>
    <t xml:space="preserve">RAM_GB: 16 | Storage_GB: 256 | Screen_Size: 13.3" | Processor: Intel i5</t>
  </si>
  <si>
    <t xml:space="preserve">BB-MKT-00144</t>
  </si>
  <si>
    <t xml:space="preserve">AP-1611-WH</t>
  </si>
  <si>
    <t xml:space="preserve">685112930413</t>
  </si>
  <si>
    <t xml:space="preserve">0685112930413</t>
  </si>
  <si>
    <t xml:space="preserve">2024-07-19</t>
  </si>
  <si>
    <t xml:space="preserve">BB-MKT-00586</t>
  </si>
  <si>
    <t xml:space="preserve">SO-2941-WH</t>
  </si>
  <si>
    <t xml:space="preserve">171772950004</t>
  </si>
  <si>
    <t xml:space="preserve">0171772950004</t>
  </si>
  <si>
    <t xml:space="preserve">2024-10-07</t>
  </si>
  <si>
    <t xml:space="preserve">BB-MKT-00623</t>
  </si>
  <si>
    <t xml:space="preserve">LE-4182-BL</t>
  </si>
  <si>
    <t xml:space="preserve">278522929538</t>
  </si>
  <si>
    <t xml:space="preserve">0157826493810</t>
  </si>
  <si>
    <t xml:space="preserve">2024-12-26</t>
  </si>
  <si>
    <t xml:space="preserve">BB-MKT-00578</t>
  </si>
  <si>
    <t xml:space="preserve">RI-2106-WH</t>
  </si>
  <si>
    <t xml:space="preserve">752887808032</t>
  </si>
  <si>
    <t xml:space="preserve">0752887808032</t>
  </si>
  <si>
    <t xml:space="preserve">Ring Cam OG Smart Home Device</t>
  </si>
  <si>
    <t xml:space="preserve">Transform your home with the Ring Cam OG. Easy setup and seamless smart home integration.</t>
  </si>
  <si>
    <t xml:space="preserve">https://images.bestbuy.com/marketplace/ring-cam-og-main.jpg</t>
  </si>
  <si>
    <t xml:space="preserve">BB-MKT-00021</t>
  </si>
  <si>
    <t xml:space="preserve">WY-6718-BK</t>
  </si>
  <si>
    <t xml:space="preserve">242872947887</t>
  </si>
  <si>
    <t xml:space="preserve">0242872947887</t>
  </si>
  <si>
    <t xml:space="preserve">2025-02-10</t>
  </si>
  <si>
    <t xml:space="preserve">BB-MKT-00524</t>
  </si>
  <si>
    <t xml:space="preserve">TC-2297-BL</t>
  </si>
  <si>
    <t xml:space="preserve">578752355883</t>
  </si>
  <si>
    <t xml:space="preserve">0916502186470</t>
  </si>
  <si>
    <t xml:space="preserve">TCL 85" 1080p Full HD Smart TV U8K - EXTREMELY DETAILED SPEC DESCRIPTION THAT GOES WAY BEYOND THE ALLOWED CHARACTER LIMIT FOR BEST BUY MARKETPLACE LISTINGS</t>
  </si>
  <si>
    <t xml:space="preserve">BB-MKT-00855</t>
  </si>
  <si>
    <t xml:space="preserve">NE-5729-WH</t>
  </si>
  <si>
    <t xml:space="preserve">991832813429</t>
  </si>
  <si>
    <t xml:space="preserve">0923498571838</t>
  </si>
  <si>
    <t xml:space="preserve">BB-MKT-00535</t>
  </si>
  <si>
    <t xml:space="preserve">JA-4394-SL</t>
  </si>
  <si>
    <t xml:space="preserve">279720893379</t>
  </si>
  <si>
    <t xml:space="preserve">0279720893379</t>
  </si>
  <si>
    <t xml:space="preserve">Jabra Evolve2 85 On-ear Wired Headphones</t>
  </si>
  <si>
    <t xml:space="preserve">BB-MKT-00559</t>
  </si>
  <si>
    <t xml:space="preserve">DE-2468-WH</t>
  </si>
  <si>
    <t xml:space="preserve">942911188322</t>
  </si>
  <si>
    <t xml:space="preserve">0942911188322</t>
  </si>
  <si>
    <t xml:space="preserve">Dell XPS 15 14" Laptop - 16GB RAM 512GB SSD</t>
  </si>
  <si>
    <t xml:space="preserve">RAM_GB: 16 | Storage_GB: 512 | Screen_Size: 14" | Processor: Intel i7</t>
  </si>
  <si>
    <t xml:space="preserve">BB-MKT-00824</t>
  </si>
  <si>
    <t xml:space="preserve">LE-6401-WH</t>
  </si>
  <si>
    <t xml:space="preserve">772649018684</t>
  </si>
  <si>
    <t xml:space="preserve">0772649018684</t>
  </si>
  <si>
    <t xml:space="preserve">Lenovo Galaxy Tab S9 12.9" 128GB Tablet</t>
  </si>
  <si>
    <t xml:space="preserve">BB-MKT-00361</t>
  </si>
  <si>
    <t xml:space="preserve">AP-5921-BK</t>
  </si>
  <si>
    <t xml:space="preserve">753244614485</t>
  </si>
  <si>
    <t xml:space="preserve">0753244614485</t>
  </si>
  <si>
    <t xml:space="preserve">Apple IdeaPad 5 16" Laptop - 64GB RAM 256GB SSD</t>
  </si>
  <si>
    <t xml:space="preserve">Experience premium performance with the Apple IdeaPad 5. Designed for professionals and students alike.</t>
  </si>
  <si>
    <t xml:space="preserve">https://images.bestbuy.com/marketplace/apple-ideapad-5-main.jpg</t>
  </si>
  <si>
    <t xml:space="preserve">RAM_GB: 64 | Storage_GB: 256 | Screen_Size: 16" | Processor: Apple M2</t>
  </si>
  <si>
    <t xml:space="preserve">2024-07-29</t>
  </si>
  <si>
    <t xml:space="preserve">BB-MKT-00525</t>
  </si>
  <si>
    <t xml:space="preserve">NE-9366-BL</t>
  </si>
  <si>
    <t xml:space="preserve">218169215563</t>
  </si>
  <si>
    <t xml:space="preserve">0218169215563</t>
  </si>
  <si>
    <t xml:space="preserve">Nest Video Doorbell Pro 2 Smart Home Device</t>
  </si>
  <si>
    <t xml:space="preserve">Transform your home with the Nest Video Doorbell Pro 2. Easy setup and seamless smart home integration.</t>
  </si>
  <si>
    <t xml:space="preserve">https://images.bestbuy.com/marketplace/nest-video-doorbell-pro-2-main.jpg</t>
  </si>
  <si>
    <t xml:space="preserve">Connectivity: Wi-Fi | Voice_Assistant: Alexa | Power: Battery</t>
  </si>
  <si>
    <t xml:space="preserve">BB-MKT-00923</t>
  </si>
  <si>
    <t xml:space="preserve">SA-1423-SL</t>
  </si>
  <si>
    <t xml:space="preserve">131443767973</t>
  </si>
  <si>
    <t xml:space="preserve">0131443767973</t>
  </si>
  <si>
    <t xml:space="preserve">Samsung Surface Pro 9 11" 512GB Tablet</t>
  </si>
  <si>
    <t xml:space="preserve">BB-MKT-00034</t>
  </si>
  <si>
    <t xml:space="preserve">AM-1090-BK</t>
  </si>
  <si>
    <t xml:space="preserve">817893352516</t>
  </si>
  <si>
    <t xml:space="preserve">0817893352516</t>
  </si>
  <si>
    <t xml:space="preserve">Amazon Galaxy Tab S9 12.4" 512GB Tablet</t>
  </si>
  <si>
    <t xml:space="preserve">BB-MKT-00732</t>
  </si>
  <si>
    <t xml:space="preserve">HP-9953-BK</t>
  </si>
  <si>
    <t xml:space="preserve">759767127670</t>
  </si>
  <si>
    <t xml:space="preserve">0759767127670</t>
  </si>
  <si>
    <t xml:space="preserve">HP MacBook Air 15.6" Laptop - 8GB RAM 256GB SSD</t>
  </si>
  <si>
    <t xml:space="preserve">RAM_GB: 8 | Storage_GB: 256 | Screen_Size: 15.6" | Processor: AMD Ryzen 5</t>
  </si>
  <si>
    <t xml:space="preserve">BB-MKT-00016</t>
  </si>
  <si>
    <t xml:space="preserve">SO-9856-BK</t>
  </si>
  <si>
    <t xml:space="preserve">151960122341</t>
  </si>
  <si>
    <t xml:space="preserve">0151960122341</t>
  </si>
  <si>
    <t xml:space="preserve">Sony 50" 4K UHD Smart TV 5-Series 4K</t>
  </si>
  <si>
    <t xml:space="preserve">Screen_Size: 50" | Resolution: 4K UHD | Smart_TV: No | HDR: HDR10+</t>
  </si>
  <si>
    <t xml:space="preserve">BB-MKT-00570</t>
  </si>
  <si>
    <t xml:space="preserve">VI-3875-BK</t>
  </si>
  <si>
    <t xml:space="preserve">312823296844</t>
  </si>
  <si>
    <t xml:space="preserve">0143433687831</t>
  </si>
  <si>
    <t xml:space="preserve">Vizio 43" 8K Smart TV 5-Series 4K</t>
  </si>
  <si>
    <t xml:space="preserve">BB-MKT-00679</t>
  </si>
  <si>
    <t xml:space="preserve">AM-1996-WH</t>
  </si>
  <si>
    <t xml:space="preserve">148488704857</t>
  </si>
  <si>
    <t xml:space="preserve">0148488704857</t>
  </si>
  <si>
    <t xml:space="preserve">Amazon Fire HD 10 10.1" 64GB Tablet</t>
  </si>
  <si>
    <t xml:space="preserve">Storage_GB: 64 | Screen_Size: 10.1" | Cellular: No | RAM_GB: 6</t>
  </si>
  <si>
    <t xml:space="preserve">BB-MKT-00396</t>
  </si>
  <si>
    <t xml:space="preserve">JA-7088-BL</t>
  </si>
  <si>
    <t xml:space="preserve">361464933400</t>
  </si>
  <si>
    <t xml:space="preserve">0361464933400</t>
  </si>
  <si>
    <t xml:space="preserve">Jabra WH-1000XM5 On-ear Wired Headphones</t>
  </si>
  <si>
    <t xml:space="preserve">BB-MKT-00255</t>
  </si>
  <si>
    <t xml:space="preserve">SO-2463-WH</t>
  </si>
  <si>
    <t xml:space="preserve">818701068874</t>
  </si>
  <si>
    <t xml:space="preserve">0818701068874</t>
  </si>
  <si>
    <t xml:space="preserve">Sony Tour One Over-ear Both Headphones</t>
  </si>
  <si>
    <t xml:space="preserve">Type: Over-ear | Connectivity: Both | ANC: No | Battery_Hours: 40</t>
  </si>
  <si>
    <t xml:space="preserve">BB-MKT-00861</t>
  </si>
  <si>
    <t xml:space="preserve">LG-2477-WH</t>
  </si>
  <si>
    <t xml:space="preserve">577614631113</t>
  </si>
  <si>
    <t xml:space="preserve">0577614631113</t>
  </si>
  <si>
    <t xml:space="preserve">LG 55" 8K Smart TV OLED C3</t>
  </si>
  <si>
    <t xml:space="preserve">Immerse yourself in stunning visuals with the LG OLED C3. Features cutting-edge display technology.</t>
  </si>
  <si>
    <t xml:space="preserve">https://images.bestbuy.com/marketplace/lg-oled-c3-main.jpg</t>
  </si>
  <si>
    <t xml:space="preserve">BB-MKT-00267</t>
  </si>
  <si>
    <t xml:space="preserve">JA-3862-BK</t>
  </si>
  <si>
    <t xml:space="preserve">207589275203</t>
  </si>
  <si>
    <t xml:space="preserve">0207589275203</t>
  </si>
  <si>
    <t xml:space="preserve">Jabra QuietComfort 45 On-ear Wired Headphones</t>
  </si>
  <si>
    <t xml:space="preserve">BB-MKT-00307</t>
  </si>
  <si>
    <t xml:space="preserve">LG-6410-BK</t>
  </si>
  <si>
    <t xml:space="preserve">556255863329</t>
  </si>
  <si>
    <t xml:space="preserve">0556255863329</t>
  </si>
  <si>
    <t xml:space="preserve">LG 55" 1080p Full HD Smart TV OLED C3</t>
  </si>
  <si>
    <t xml:space="preserve">Screen_Size: 55" | Resolution: 1080p Full HD | Smart_TV: Yes | HDR: HDR10+</t>
  </si>
  <si>
    <t xml:space="preserve">2025-04-29</t>
  </si>
  <si>
    <t xml:space="preserve">BB-MKT-00687</t>
  </si>
  <si>
    <t xml:space="preserve">LE-2369-SL</t>
  </si>
  <si>
    <t xml:space="preserve">947175182116</t>
  </si>
  <si>
    <t xml:space="preserve">0947175182116</t>
  </si>
  <si>
    <t xml:space="preserve">Lenovo iPad Pro 12.9 8" 64GB Tablet</t>
  </si>
  <si>
    <t xml:space="preserve">Storage_GB: 64 | Screen_Size: 8" | Cellular: Yes | RAM_GB: 6</t>
  </si>
  <si>
    <t xml:space="preserve">BB-MKT-00162</t>
  </si>
  <si>
    <t xml:space="preserve">VI-4350-BL</t>
  </si>
  <si>
    <t xml:space="preserve">875689998101</t>
  </si>
  <si>
    <t xml:space="preserve">0875689998101</t>
  </si>
  <si>
    <t xml:space="preserve">Vizio 85" 8K Smart TV QLED 4K</t>
  </si>
  <si>
    <t xml:space="preserve">Screen_Size: 85" | Resolution: 8K | Smart_TV: Yes | HDR: HDR10+</t>
  </si>
  <si>
    <t xml:space="preserve">2024-11-22</t>
  </si>
  <si>
    <t xml:space="preserve">BB-MKT-00528</t>
  </si>
  <si>
    <t xml:space="preserve">AM-8817-BL</t>
  </si>
  <si>
    <t xml:space="preserve">817997136149</t>
  </si>
  <si>
    <t xml:space="preserve">0817997136149</t>
  </si>
  <si>
    <t xml:space="preserve">Amazon iPad Pro 12.9 12.4" 64GB Tablet</t>
  </si>
  <si>
    <t xml:space="preserve">BB-MKT-00548</t>
  </si>
  <si>
    <t xml:space="preserve">AP-5057-BK</t>
  </si>
  <si>
    <t xml:space="preserve">909685802897</t>
  </si>
  <si>
    <t xml:space="preserve">0909685802897</t>
  </si>
  <si>
    <t xml:space="preserve">Type: In-ear | Connectivity: Both | ANC: Yes | Battery_Hours: 36</t>
  </si>
  <si>
    <t xml:space="preserve">2025-01-01</t>
  </si>
  <si>
    <t xml:space="preserve">BB-MKT-00541</t>
  </si>
  <si>
    <t xml:space="preserve">LE-9677-BL</t>
  </si>
  <si>
    <t xml:space="preserve">927868717083</t>
  </si>
  <si>
    <t xml:space="preserve">0927868717083</t>
  </si>
  <si>
    <t xml:space="preserve">Lenovo IdeaPad 5 14" Laptop - 64GB RAM 512GB SSD</t>
  </si>
  <si>
    <t xml:space="preserve">RAM_GB: 64 | Storage_GB: 512 | Screen_Size: 14" | Processor: Intel i7</t>
  </si>
  <si>
    <t xml:space="preserve">2025-01-28</t>
  </si>
  <si>
    <t xml:space="preserve">BB-MKT-00657</t>
  </si>
  <si>
    <t xml:space="preserve">LG-3023-WH</t>
  </si>
  <si>
    <t xml:space="preserve">959444442469</t>
  </si>
  <si>
    <t xml:space="preserve">0959444442469</t>
  </si>
  <si>
    <t xml:space="preserve">BB-MKT-00461</t>
  </si>
  <si>
    <t xml:space="preserve">AP-3409-BL</t>
  </si>
  <si>
    <t xml:space="preserve">421675773769</t>
  </si>
  <si>
    <t xml:space="preserve">0421675773769</t>
  </si>
  <si>
    <t xml:space="preserve">Apple Aspire 5 15.6" Laptop - 32GB RAM 1024GB SSD</t>
  </si>
  <si>
    <t xml:space="preserve">RAM_GB: 32 | Storage_GB: 1024 | Screen_Size: 15.6" | Processor: AMD Ryzen 7</t>
  </si>
  <si>
    <t xml:space="preserve">BB-MKT-00568</t>
  </si>
  <si>
    <t xml:space="preserve">AM-4161-BL</t>
  </si>
  <si>
    <t xml:space="preserve">505714175125</t>
  </si>
  <si>
    <t xml:space="preserve">0505714175125</t>
  </si>
  <si>
    <t xml:space="preserve">Amazon Surface Pro 9 10.1" 512GB Tablet</t>
  </si>
  <si>
    <t xml:space="preserve">Storage_GB: 512 | Screen_Size: 10.1" | Cellular: Yes | RAM_GB: 4</t>
  </si>
  <si>
    <t xml:space="preserve">BB-MKT-00583</t>
  </si>
  <si>
    <t xml:space="preserve">AM-4018-BK</t>
  </si>
  <si>
    <t xml:space="preserve">538968491232</t>
  </si>
  <si>
    <t xml:space="preserve">0538968491232</t>
  </si>
  <si>
    <t xml:space="preserve">Amazon Galaxy Tab S9 12.4" 128GB Tablet</t>
  </si>
  <si>
    <t xml:space="preserve">BB-MKT-00198</t>
  </si>
  <si>
    <t xml:space="preserve">BE-6631-BK</t>
  </si>
  <si>
    <t xml:space="preserve">636237071797</t>
  </si>
  <si>
    <t xml:space="preserve">0636237071797</t>
  </si>
  <si>
    <t xml:space="preserve">Beats AirPods Max On-ear Both Headphones</t>
  </si>
  <si>
    <t xml:space="preserve">BB-MKT-00672</t>
  </si>
  <si>
    <t xml:space="preserve">SA-3436-WH</t>
  </si>
  <si>
    <t xml:space="preserve">794028903007</t>
  </si>
  <si>
    <t xml:space="preserve">0794028903007</t>
  </si>
  <si>
    <t xml:space="preserve">Samsung Tab P12 Pro 12.9" 64GB Tablet</t>
  </si>
  <si>
    <t xml:space="preserve">Storage_GB: 64 | Screen_Size: 12.9" | Cellular: Yes | RAM_GB: 6</t>
  </si>
  <si>
    <t xml:space="preserve">BB-MKT-00793</t>
  </si>
  <si>
    <t xml:space="preserve">VI-5554-BL</t>
  </si>
  <si>
    <t xml:space="preserve">396497725120</t>
  </si>
  <si>
    <t xml:space="preserve">0396497725120</t>
  </si>
  <si>
    <t xml:space="preserve">Vizio 85" 8K Smart TV 5-Series 4K</t>
  </si>
  <si>
    <t xml:space="preserve">BB-MKT-00872</t>
  </si>
  <si>
    <t xml:space="preserve">DE-2656-BL</t>
  </si>
  <si>
    <t xml:space="preserve">898764459927</t>
  </si>
  <si>
    <t xml:space="preserve">0898764459927</t>
  </si>
  <si>
    <t xml:space="preserve">Dell IdeaPad 5 14" Laptop - 32GB RAM 256GB SSD</t>
  </si>
  <si>
    <t xml:space="preserve">Experience premium performance with the Dell IdeaPad 5. Designed for professionals and students alike.</t>
  </si>
  <si>
    <t xml:space="preserve">https://images.bestbuy.com/marketplace/dell-ideapad-5-main.jpg</t>
  </si>
  <si>
    <t xml:space="preserve">BB-MKT-00836</t>
  </si>
  <si>
    <t xml:space="preserve">SO-7088-WH</t>
  </si>
  <si>
    <t xml:space="preserve">775694503412</t>
  </si>
  <si>
    <t xml:space="preserve">0775694503412</t>
  </si>
  <si>
    <t xml:space="preserve">Sony Tour One On-ear Both Headphones</t>
  </si>
  <si>
    <t xml:space="preserve">BB-MKT-00850</t>
  </si>
  <si>
    <t xml:space="preserve">GO-5514-WH</t>
  </si>
  <si>
    <t xml:space="preserve">149149023919</t>
  </si>
  <si>
    <t xml:space="preserve">0149149023919</t>
  </si>
  <si>
    <t xml:space="preserve"> - EXTREMELY DETAILED SPEC DESCRIPTION THAT GOES WAY BEYOND THE ALLOWED CHARACTER LIMIT FOR BEST BUY MARKETPLACE LISTINGS</t>
  </si>
  <si>
    <t xml:space="preserve">Connectivity: Z-Wave | Voice_Assistant: Alexa | Power: Battery</t>
  </si>
  <si>
    <t xml:space="preserve">BB-MKT-00875</t>
  </si>
  <si>
    <t xml:space="preserve">SA-6212-BK</t>
  </si>
  <si>
    <t xml:space="preserve">759116166222</t>
  </si>
  <si>
    <t xml:space="preserve">0759116166222</t>
  </si>
  <si>
    <t xml:space="preserve">Samsung 85" 4K UHD Smart TV 5-Series 4K</t>
  </si>
  <si>
    <t xml:space="preserve">Screen_Size: 85" | Resolution: 4K UHD | Smart_TV: No | HDR: Dolby Vision</t>
  </si>
  <si>
    <t xml:space="preserve">BB-MKT-00868</t>
  </si>
  <si>
    <t xml:space="preserve">MS-6523-SL</t>
  </si>
  <si>
    <t xml:space="preserve">104940875500</t>
  </si>
  <si>
    <t xml:space="preserve">0104940875500</t>
  </si>
  <si>
    <t xml:space="preserve">MSI Pavilion 15 16" Laptop - 64GB RAM 1024GB SSD</t>
  </si>
  <si>
    <t xml:space="preserve">RAM_GB: 64 | Storage_GB: 1024 | Screen_Size: 16" | Processor: Intel i5</t>
  </si>
  <si>
    <t xml:space="preserve">BB-MKT-00269</t>
  </si>
  <si>
    <t xml:space="preserve">AS-3732-BK</t>
  </si>
  <si>
    <t xml:space="preserve">562997041133</t>
  </si>
  <si>
    <t xml:space="preserve">0562997041133</t>
  </si>
  <si>
    <t xml:space="preserve">ASUS VivoBook 16 16" Laptop - 64GB RAM 512GB SSD</t>
  </si>
  <si>
    <t xml:space="preserve">BB-MKT-00231</t>
  </si>
  <si>
    <t xml:space="preserve">BO-6213-WH</t>
  </si>
  <si>
    <t xml:space="preserve">297707578443</t>
  </si>
  <si>
    <t xml:space="preserve">0297707578443</t>
  </si>
  <si>
    <t xml:space="preserve">Bose QuietComfort 45 In-ear Wireless Headphones</t>
  </si>
  <si>
    <t xml:space="preserve">2023-12-19</t>
  </si>
  <si>
    <t xml:space="preserve">Sennheiser AirPods Max In-ear Wireless Headphones</t>
  </si>
  <si>
    <t xml:space="preserve">BB-MKT-00621</t>
  </si>
  <si>
    <t xml:space="preserve">MS-3878-SL</t>
  </si>
  <si>
    <t xml:space="preserve">269810971021</t>
  </si>
  <si>
    <t xml:space="preserve">0269810971021</t>
  </si>
  <si>
    <t xml:space="preserve">MSI VivoBook 16 15.6" Laptop - 64GB RAM 256GB SSD</t>
  </si>
  <si>
    <t xml:space="preserve">Experience premium performance with the MSI VivoBook 16. Designed for professionals and students alike.</t>
  </si>
  <si>
    <t xml:space="preserve">https://images.bestbuy.com/marketplace/msi-vivobook-16-main.jpg</t>
  </si>
  <si>
    <t xml:space="preserve">RAM_GB: 64 | Storage_GB: 256 | Screen_Size: 15.6" | Processor: Apple M2</t>
  </si>
  <si>
    <t xml:space="preserve">2025-01-09</t>
  </si>
  <si>
    <t xml:space="preserve">BB-MKT-00253</t>
  </si>
  <si>
    <t xml:space="preserve">HI-3292-BK</t>
  </si>
  <si>
    <t xml:space="preserve">848696919795</t>
  </si>
  <si>
    <t xml:space="preserve">0848696919795</t>
  </si>
  <si>
    <t xml:space="preserve">Screen_Size: 43" | Resolution: 1080p Full HD | Smart_TV: No | HDR: HDR10+</t>
  </si>
  <si>
    <t xml:space="preserve">BB-MKT-00624</t>
  </si>
  <si>
    <t xml:space="preserve">JA-1565-SL</t>
  </si>
  <si>
    <t xml:space="preserve">625026907757</t>
  </si>
  <si>
    <t xml:space="preserve">0625026907757</t>
  </si>
  <si>
    <t xml:space="preserve">BB-MKT-00075</t>
  </si>
  <si>
    <t xml:space="preserve">SO-4696-BL</t>
  </si>
  <si>
    <t xml:space="preserve">254942230953</t>
  </si>
  <si>
    <t xml:space="preserve">0254942230953</t>
  </si>
  <si>
    <t xml:space="preserve">Sony 55" 1080p Full HD Smart TV 5-Series 4K</t>
  </si>
  <si>
    <t xml:space="preserve">2024-08-16</t>
  </si>
  <si>
    <t xml:space="preserve">BB-MKT-00526</t>
  </si>
  <si>
    <t xml:space="preserve">AP-8583-WH</t>
  </si>
  <si>
    <t xml:space="preserve">829029965732</t>
  </si>
  <si>
    <t xml:space="preserve">0829029965732</t>
  </si>
  <si>
    <t xml:space="preserve">Apple Momentum 4 Over-ear Both Headphones</t>
  </si>
  <si>
    <t xml:space="preserve">BB-MKT-00556</t>
  </si>
  <si>
    <t xml:space="preserve">VI-2395-WH</t>
  </si>
  <si>
    <t xml:space="preserve">235914925910</t>
  </si>
  <si>
    <t xml:space="preserve">0235914925910</t>
  </si>
  <si>
    <t xml:space="preserve">Vizio 75" 1080p Full HD Smart TV QLED 4K</t>
  </si>
  <si>
    <t xml:space="preserve">BB-MKT-00070</t>
  </si>
  <si>
    <t xml:space="preserve">PH-8555-SL</t>
  </si>
  <si>
    <t xml:space="preserve">354017756402</t>
  </si>
  <si>
    <t xml:space="preserve">0354017756402</t>
  </si>
  <si>
    <t xml:space="preserve">BB-MKT-00832</t>
  </si>
  <si>
    <t xml:space="preserve">HP-5129-BL</t>
  </si>
  <si>
    <t xml:space="preserve">644461873600</t>
  </si>
  <si>
    <t xml:space="preserve">0644461873600</t>
  </si>
  <si>
    <t xml:space="preserve">HP VivoBook 16 14" Laptop - 64GB RAM 1024GB SSD</t>
  </si>
  <si>
    <t xml:space="preserve">BB-MKT-00807</t>
  </si>
  <si>
    <t xml:space="preserve">GO-9808-WH</t>
  </si>
  <si>
    <t xml:space="preserve">241676990874</t>
  </si>
  <si>
    <t xml:space="preserve">0241676990874</t>
  </si>
  <si>
    <t xml:space="preserve">BB-MKT-00131</t>
  </si>
  <si>
    <t xml:space="preserve">LG-9163-BL</t>
  </si>
  <si>
    <t xml:space="preserve">275076273196</t>
  </si>
  <si>
    <t xml:space="preserve">0275076273196</t>
  </si>
  <si>
    <t xml:space="preserve">LG 75" 1080p Full HD Smart TV Bravia XR</t>
  </si>
  <si>
    <t xml:space="preserve">BB-MKT-00873</t>
  </si>
  <si>
    <t xml:space="preserve">AP-5275-SL</t>
  </si>
  <si>
    <t xml:space="preserve">313862075937</t>
  </si>
  <si>
    <t xml:space="preserve">0313862075937</t>
  </si>
  <si>
    <t xml:space="preserve">Apple Galaxy Tab S9 8" 256GB Tablet</t>
  </si>
  <si>
    <t xml:space="preserve">BB-MKT-00073</t>
  </si>
  <si>
    <t xml:space="preserve">BE-5106-WH</t>
  </si>
  <si>
    <t xml:space="preserve">308892683171</t>
  </si>
  <si>
    <t xml:space="preserve">0308892683171</t>
  </si>
  <si>
    <t xml:space="preserve">Beats Studio Pro Over-ear Both Headphones</t>
  </si>
  <si>
    <t xml:space="preserve">Enjoy crystal-clear audio with the Beats Studio Pro. Perfect for music lovers and remote workers.</t>
  </si>
  <si>
    <t xml:space="preserve">https://images.bestbuy.com/marketplace/beats-studio-pro-main.jpg</t>
  </si>
  <si>
    <t xml:space="preserve">BB-MKT-00663</t>
  </si>
  <si>
    <t xml:space="preserve">AR-9577-WH</t>
  </si>
  <si>
    <t xml:space="preserve">941306485636</t>
  </si>
  <si>
    <t xml:space="preserve">0941306485636</t>
  </si>
  <si>
    <t xml:space="preserve">2025-03-21</t>
  </si>
  <si>
    <t xml:space="preserve">BB-MKT-00177</t>
  </si>
  <si>
    <t xml:space="preserve">AP-8501-BK</t>
  </si>
  <si>
    <t xml:space="preserve">317396937096</t>
  </si>
  <si>
    <t xml:space="preserve">0317396937096</t>
  </si>
  <si>
    <t xml:space="preserve">Apple Surface Pro 9 10.1" 256GB Tablet</t>
  </si>
  <si>
    <t xml:space="preserve">Storage_GB: 256 | Screen_Size: 10.1" | Cellular: No | RAM_GB: 16</t>
  </si>
  <si>
    <t xml:space="preserve">2024-12-18</t>
  </si>
  <si>
    <t xml:space="preserve">BB-MKT-00102</t>
  </si>
  <si>
    <t xml:space="preserve">SO-3463-SL</t>
  </si>
  <si>
    <t xml:space="preserve">765317675836</t>
  </si>
  <si>
    <t xml:space="preserve">0765317675836</t>
  </si>
  <si>
    <t xml:space="preserve">BB-MKT-00423</t>
  </si>
  <si>
    <t xml:space="preserve">AM-7408-BL</t>
  </si>
  <si>
    <t xml:space="preserve">818356232197</t>
  </si>
  <si>
    <t xml:space="preserve">0818356232197</t>
  </si>
  <si>
    <t xml:space="preserve">BB-MKT-00929</t>
  </si>
  <si>
    <t xml:space="preserve">MI-8407-WH</t>
  </si>
  <si>
    <t xml:space="preserve">544860692989</t>
  </si>
  <si>
    <t xml:space="preserve">0544860692989</t>
  </si>
  <si>
    <t xml:space="preserve">Microsoft iPad Pro 12.9 12.4" 512GB Tablet</t>
  </si>
  <si>
    <t xml:space="preserve">Stay productive and entertained with the Microsoft iPad Pro 12.9. Powerful performance in a sleek design.</t>
  </si>
  <si>
    <t xml:space="preserve">https://images.bestbuy.com/marketplace/microsoft-ipad-pro-12.9-main.jpg</t>
  </si>
  <si>
    <t xml:space="preserve">BB-MKT-00580</t>
  </si>
  <si>
    <t xml:space="preserve">WY-6618-SL</t>
  </si>
  <si>
    <t xml:space="preserve">762750710110</t>
  </si>
  <si>
    <t xml:space="preserve">0762750710110</t>
  </si>
  <si>
    <t xml:space="preserve">2024-09-13</t>
  </si>
  <si>
    <t xml:space="preserve">BB-MKT-00597</t>
  </si>
  <si>
    <t xml:space="preserve">TC-1527-WH</t>
  </si>
  <si>
    <t xml:space="preserve">123995789394</t>
  </si>
  <si>
    <t xml:space="preserve">0123995789394</t>
  </si>
  <si>
    <t xml:space="preserve">Screen_Size: 85" | Resolution: 8K | Smart_TV: No | HDR: Dolby Vision</t>
  </si>
  <si>
    <t xml:space="preserve">2025-04-17</t>
  </si>
  <si>
    <t xml:space="preserve">BB-MKT-00194</t>
  </si>
  <si>
    <t xml:space="preserve">GO-9720-SL</t>
  </si>
  <si>
    <t xml:space="preserve">484700540029</t>
  </si>
  <si>
    <t xml:space="preserve">0484700540029</t>
  </si>
  <si>
    <t xml:space="preserve">Google Hue Starter Kit Smart Home Device</t>
  </si>
  <si>
    <t xml:space="preserve">Transform your home with the Google Hue Starter Kit. Easy setup and seamless smart home integration.</t>
  </si>
  <si>
    <t xml:space="preserve">https://images.bestbuy.com/marketplace/google-hue-starter-kit-main.jpg</t>
  </si>
  <si>
    <t xml:space="preserve">BB-MKT-00219</t>
  </si>
  <si>
    <t xml:space="preserve">VI-2494-WH</t>
  </si>
  <si>
    <t xml:space="preserve">260321653017</t>
  </si>
  <si>
    <t xml:space="preserve">0260321653017</t>
  </si>
  <si>
    <t xml:space="preserve">Vizio 85" 1080p Full HD Smart TV Bravia XR</t>
  </si>
  <si>
    <t xml:space="preserve">Screen_Size: 85" | Resolution: 1080p Full HD | Smart_TV: Yes | HDR: HDR10</t>
  </si>
  <si>
    <t xml:space="preserve">BB-MKT-00949</t>
  </si>
  <si>
    <t xml:space="preserve">MS-8250-BK</t>
  </si>
  <si>
    <t xml:space="preserve">349105693240</t>
  </si>
  <si>
    <t xml:space="preserve">0349105693240</t>
  </si>
  <si>
    <t xml:space="preserve">MSI MacBook Air 13.3" Laptop - 32GB RAM 1024GB SSD</t>
  </si>
  <si>
    <t xml:space="preserve">RAM_GB: 32 | Storage_GB: 1024 | Screen_Size: 13.3" | Processor: AMD Ryzen 5</t>
  </si>
  <si>
    <t xml:space="preserve">2024-07-14</t>
  </si>
  <si>
    <t xml:space="preserve">BB-MKT-00957</t>
  </si>
  <si>
    <t xml:space="preserve">VI-9109-BK</t>
  </si>
  <si>
    <t xml:space="preserve">813091219229</t>
  </si>
  <si>
    <t xml:space="preserve">0813091219229</t>
  </si>
  <si>
    <t xml:space="preserve">Vizio 50" 1080p Full HD Smart TV OLED C3</t>
  </si>
  <si>
    <t xml:space="preserve">Screen_Size: 50" | Resolution: 1080p Full HD | Smart_TV: Yes | HDR: HDR10</t>
  </si>
  <si>
    <t xml:space="preserve">BB-MKT-00718</t>
  </si>
  <si>
    <t xml:space="preserve">TC-9531-BK</t>
  </si>
  <si>
    <t xml:space="preserve">389508226161</t>
  </si>
  <si>
    <t xml:space="preserve">0389508226161</t>
  </si>
  <si>
    <t xml:space="preserve">TCL 65" 8K Smart TV OLED C3</t>
  </si>
  <si>
    <t xml:space="preserve">2024-09-03</t>
  </si>
  <si>
    <t xml:space="preserve">BB-MKT-00593</t>
  </si>
  <si>
    <t xml:space="preserve">SA-4221-SL</t>
  </si>
  <si>
    <t xml:space="preserve">465932530459</t>
  </si>
  <si>
    <t xml:space="preserve">0465932530459</t>
  </si>
  <si>
    <t xml:space="preserve">Samsung 43" 8K Smart TV QLED 4K</t>
  </si>
  <si>
    <t xml:space="preserve">Immerse yourself in stunning visuals with the Samsung QLED 4K. Features cutting-edge display technology.</t>
  </si>
  <si>
    <t xml:space="preserve">https://images.bestbuy.com/marketplace/samsung-qled-4k-main.jpg</t>
  </si>
  <si>
    <t xml:space="preserve">BB-MKT-00762</t>
  </si>
  <si>
    <t xml:space="preserve">AS-3256-SL</t>
  </si>
  <si>
    <t xml:space="preserve">375092234595</t>
  </si>
  <si>
    <t xml:space="preserve">0375092234595</t>
  </si>
  <si>
    <t xml:space="preserve">ASUS IdeaPad 5 15.6" Laptop - 8GB RAM 512GB SSD</t>
  </si>
  <si>
    <t xml:space="preserve">RAM_GB: 8 | Storage_GB: 512 | Screen_Size: 15.6" | Processor: Intel i5</t>
  </si>
  <si>
    <t xml:space="preserve">BB-MKT-00010</t>
  </si>
  <si>
    <t xml:space="preserve">AM-3646-BK</t>
  </si>
  <si>
    <t xml:space="preserve">939124570476</t>
  </si>
  <si>
    <t xml:space="preserve">0939124570476</t>
  </si>
  <si>
    <t xml:space="preserve">Connectivity: Z-Wave | Voice_Assistant: Google Assistant | Power: Battery</t>
  </si>
  <si>
    <t xml:space="preserve">BB-MKT-00273</t>
  </si>
  <si>
    <t xml:space="preserve">AC-8341-BK</t>
  </si>
  <si>
    <t xml:space="preserve">587303100704</t>
  </si>
  <si>
    <t xml:space="preserve">0302742170531</t>
  </si>
  <si>
    <t xml:space="preserve">Acer Pavilion 15 14" Laptop - 64GB RAM 512GB SSD</t>
  </si>
  <si>
    <t xml:space="preserve">RAM_GB: 64 | Storage_GB: 512 | Screen_Size: 14" | Processor: Intel i5</t>
  </si>
  <si>
    <t xml:space="preserve">BB-MKT-00886</t>
  </si>
  <si>
    <t xml:space="preserve">LG-7657-BL</t>
  </si>
  <si>
    <t xml:space="preserve">847463133860</t>
  </si>
  <si>
    <t xml:space="preserve">0847463133860</t>
  </si>
  <si>
    <t xml:space="preserve">LG 85" 4K UHD Smart TV 5-Series 4K</t>
  </si>
  <si>
    <t xml:space="preserve">Screen_Size: 85" | Resolution: 4K UHD | Smart_TV: Yes | HDR: HDR10+</t>
  </si>
  <si>
    <t xml:space="preserve">BB-MKT-00964</t>
  </si>
  <si>
    <t xml:space="preserve">TC-2618-BK</t>
  </si>
  <si>
    <t xml:space="preserve">627942210356</t>
  </si>
  <si>
    <t xml:space="preserve">0627942210356</t>
  </si>
  <si>
    <t xml:space="preserve">TCL 65" 4K UHD Smart TV OLED C3</t>
  </si>
  <si>
    <t xml:space="preserve">Screen_Size: 65" | Resolution: 4K UHD | Smart_TV: No | HDR: HDR10</t>
  </si>
  <si>
    <t xml:space="preserve">BB-MKT-00013</t>
  </si>
  <si>
    <t xml:space="preserve">HP-4608-BK</t>
  </si>
  <si>
    <t xml:space="preserve">351487177987</t>
  </si>
  <si>
    <t xml:space="preserve">0351487177987</t>
  </si>
  <si>
    <t xml:space="preserve">HP Pavilion 15 13.3" Laptop - 8GB RAM 512GB SSD - EXTREMELY DETAILED SPEC DESCRIPTION THAT GOES WAY BEYOND THE ALLOWED CHARACTER LIMIT FOR BEST BUY MARKETPLACE LISTINGS</t>
  </si>
  <si>
    <t xml:space="preserve">BB-MKT-00523</t>
  </si>
  <si>
    <t xml:space="preserve">MI-8112-BL</t>
  </si>
  <si>
    <t xml:space="preserve">304500004982</t>
  </si>
  <si>
    <t xml:space="preserve">0304500004982</t>
  </si>
  <si>
    <t xml:space="preserve">Storage_GB: 512 | Screen_Size: 8" | Cellular: No | RAM_GB: 8</t>
  </si>
  <si>
    <t xml:space="preserve">BB-MKT-00062</t>
  </si>
  <si>
    <t xml:space="preserve">AS-7807-BL</t>
  </si>
  <si>
    <t xml:space="preserve">399382463310</t>
  </si>
  <si>
    <t xml:space="preserve">0399382463310</t>
  </si>
  <si>
    <t xml:space="preserve">ASUS XPS 15 15.6" Laptop - 16GB RAM 512GB SSD</t>
  </si>
  <si>
    <t xml:space="preserve">RAM_GB: 16 | Storage_GB: 512 | Screen_Size: 15.6" | Processor: Apple M2</t>
  </si>
  <si>
    <t xml:space="preserve">BB-MKT-00877</t>
  </si>
  <si>
    <t xml:space="preserve">BE-3785-BL</t>
  </si>
  <si>
    <t xml:space="preserve">866790133642</t>
  </si>
  <si>
    <t xml:space="preserve">0866790133642</t>
  </si>
  <si>
    <t xml:space="preserve">Beats Tour One Over-ear Wired Headphones</t>
  </si>
  <si>
    <t xml:space="preserve">BB-MKT-00405</t>
  </si>
  <si>
    <t xml:space="preserve">SA-2849-SL</t>
  </si>
  <si>
    <t xml:space="preserve">619971784205</t>
  </si>
  <si>
    <t xml:space="preserve">0619971784205</t>
  </si>
  <si>
    <t xml:space="preserve">Samsung Surface Pro 9 12.4" 256GB Tablet</t>
  </si>
  <si>
    <t xml:space="preserve">Storage_GB: 256 | Screen_Size: 12.4" | Cellular: No | RAM_GB: 4</t>
  </si>
  <si>
    <t xml:space="preserve">BB-MKT-00401</t>
  </si>
  <si>
    <t xml:space="preserve">HI-5641-WH</t>
  </si>
  <si>
    <t xml:space="preserve">877145460649</t>
  </si>
  <si>
    <t xml:space="preserve">0877145460649</t>
  </si>
  <si>
    <t xml:space="preserve">Hisense 75" 8K Smart TV Bravia XR</t>
  </si>
  <si>
    <t xml:space="preserve">Screen_Size: 75" | Resolution: 8K | Smart_TV: No | HDR: HDR10</t>
  </si>
  <si>
    <t xml:space="preserve">BB-MKT-00137</t>
  </si>
  <si>
    <t xml:space="preserve">NE-9589-BL</t>
  </si>
  <si>
    <t xml:space="preserve">286747105556</t>
  </si>
  <si>
    <t xml:space="preserve">0286747105556</t>
  </si>
  <si>
    <t xml:space="preserve">BB-MKT-00736</t>
  </si>
  <si>
    <t xml:space="preserve">AM-4272-SL</t>
  </si>
  <si>
    <t xml:space="preserve">569796604660</t>
  </si>
  <si>
    <t xml:space="preserve">0569796604660</t>
  </si>
  <si>
    <t xml:space="preserve">Amazon Surface Pro 9 12.9" 256GB Tablet</t>
  </si>
  <si>
    <t xml:space="preserve">BB-MKT-00151</t>
  </si>
  <si>
    <t xml:space="preserve">WY-4365-BL</t>
  </si>
  <si>
    <t xml:space="preserve">226451742323</t>
  </si>
  <si>
    <t xml:space="preserve">0226451742323</t>
  </si>
  <si>
    <t xml:space="preserve">Connectivity: Zigbee | Voice_Assistant: Apple HomeKit | Power: USB-C</t>
  </si>
  <si>
    <t xml:space="preserve">BB-MKT-00918</t>
  </si>
  <si>
    <t xml:space="preserve">PH-9462-BK</t>
  </si>
  <si>
    <t xml:space="preserve">739577681323</t>
  </si>
  <si>
    <t xml:space="preserve">0739577681323</t>
  </si>
  <si>
    <t xml:space="preserve">BB-MKT-00894</t>
  </si>
  <si>
    <t xml:space="preserve">SO-2959-WH</t>
  </si>
  <si>
    <t xml:space="preserve">902205463272</t>
  </si>
  <si>
    <t xml:space="preserve">0902205463272</t>
  </si>
  <si>
    <t xml:space="preserve">Sony 50" 4K UHD Smart TV OLED C3</t>
  </si>
  <si>
    <t xml:space="preserve">BB-MKT-00726</t>
  </si>
  <si>
    <t xml:space="preserve">HI-7396-WH</t>
  </si>
  <si>
    <t xml:space="preserve">799819358651</t>
  </si>
  <si>
    <t xml:space="preserve">0799819358651</t>
  </si>
  <si>
    <t xml:space="preserve">Hisense 65" 4K UHD Smart TV V-Series</t>
  </si>
  <si>
    <t xml:space="preserve">BB-MKT-00574</t>
  </si>
  <si>
    <t xml:space="preserve">SO-1393-SL</t>
  </si>
  <si>
    <t xml:space="preserve">986618469547</t>
  </si>
  <si>
    <t xml:space="preserve">0986618469547</t>
  </si>
  <si>
    <t xml:space="preserve">BB-MKT-00626</t>
  </si>
  <si>
    <t xml:space="preserve">AM-5143-SL</t>
  </si>
  <si>
    <t xml:space="preserve">571715182511</t>
  </si>
  <si>
    <t xml:space="preserve">0571715182511</t>
  </si>
  <si>
    <t xml:space="preserve">Amazon Cam OG Smart Home Device</t>
  </si>
  <si>
    <t xml:space="preserve">Transform your home with the Amazon Cam OG. Easy setup and seamless smart home integration.</t>
  </si>
  <si>
    <t xml:space="preserve">https://images.bestbuy.com/marketplace/amazon-cam-og-main.jpg</t>
  </si>
  <si>
    <t xml:space="preserve">Connectivity: Zigbee | Voice_Assistant: None | Power: Battery</t>
  </si>
  <si>
    <t xml:space="preserve">BB-MKT-00424</t>
  </si>
  <si>
    <t xml:space="preserve">RI-1138-BK</t>
  </si>
  <si>
    <t xml:space="preserve">838779807037</t>
  </si>
  <si>
    <t xml:space="preserve">0838779807037</t>
  </si>
  <si>
    <t xml:space="preserve">BB-MKT-00190</t>
  </si>
  <si>
    <t xml:space="preserve">AM-7290-BL</t>
  </si>
  <si>
    <t xml:space="preserve">994191268032</t>
  </si>
  <si>
    <t xml:space="preserve">0994191268032</t>
  </si>
  <si>
    <t xml:space="preserve">Amazon iPad Pro 12.9 8" 256GB Tablet</t>
  </si>
  <si>
    <t xml:space="preserve">Storage_GB: 256 | Screen_Size: 8" | Cellular: No | RAM_GB: 6</t>
  </si>
  <si>
    <t xml:space="preserve">BB-MKT-00708</t>
  </si>
  <si>
    <t xml:space="preserve">MS-6139-WH</t>
  </si>
  <si>
    <t xml:space="preserve">598620422853</t>
  </si>
  <si>
    <t xml:space="preserve">0598620422853</t>
  </si>
  <si>
    <t xml:space="preserve">MSI XPS 15 13.3" Laptop - 16GB RAM 512GB SSD</t>
  </si>
  <si>
    <t xml:space="preserve">Experience premium performance with the MSI XPS 15. Designed for professionals and students alike.</t>
  </si>
  <si>
    <t xml:space="preserve">https://images.bestbuy.com/marketplace/msi-xps-15-main.jpg</t>
  </si>
  <si>
    <t xml:space="preserve">BB-MKT-00599</t>
  </si>
  <si>
    <t xml:space="preserve">MS-5650-WH</t>
  </si>
  <si>
    <t xml:space="preserve">525042825127</t>
  </si>
  <si>
    <t xml:space="preserve">0525042825127</t>
  </si>
  <si>
    <t xml:space="preserve">MSI MacBook Air 14" Laptop - 64GB RAM 256GB SSD</t>
  </si>
  <si>
    <t xml:space="preserve">BB-MKT-00728</t>
  </si>
  <si>
    <t xml:space="preserve">AP-3138-BL</t>
  </si>
  <si>
    <t xml:space="preserve">127412220106</t>
  </si>
  <si>
    <t xml:space="preserve">0127412220106</t>
  </si>
  <si>
    <t xml:space="preserve">Apple Katana 15 13.3" Laptop - 16GB RAM 256GB SSD</t>
  </si>
  <si>
    <t xml:space="preserve">RAM_GB: 16 | Storage_GB: 256 | Screen_Size: 13.3" | Processor: Apple M2</t>
  </si>
  <si>
    <t xml:space="preserve">BB-MKT-00795</t>
  </si>
  <si>
    <t xml:space="preserve">AC-8111-BL</t>
  </si>
  <si>
    <t xml:space="preserve">896033294730</t>
  </si>
  <si>
    <t xml:space="preserve">0896033294730</t>
  </si>
  <si>
    <t xml:space="preserve">Acer Katana 15 14" Laptop - 32GB RAM 512GB SSD</t>
  </si>
  <si>
    <t xml:space="preserve">RAM_GB: 32 | Storage_GB: 512 | Screen_Size: 14" | Processor: Intel i5</t>
  </si>
  <si>
    <t xml:space="preserve">BB-MKT-00560</t>
  </si>
  <si>
    <t xml:space="preserve">SA-7763-SL</t>
  </si>
  <si>
    <t xml:space="preserve">255993390280</t>
  </si>
  <si>
    <t xml:space="preserve">0255993390280</t>
  </si>
  <si>
    <t xml:space="preserve">Samsung 43" 8K Smart TV V-Series</t>
  </si>
  <si>
    <t xml:space="preserve">BB-MKT-00457</t>
  </si>
  <si>
    <t xml:space="preserve">JB-3161-SL</t>
  </si>
  <si>
    <t xml:space="preserve">724076281621</t>
  </si>
  <si>
    <t xml:space="preserve">0724076281621</t>
  </si>
  <si>
    <t xml:space="preserve">JBL Momentum 4 In-ear Both Headphones</t>
  </si>
  <si>
    <t xml:space="preserve">BB-MKT-00202</t>
  </si>
  <si>
    <t xml:space="preserve">BO-1138-WH</t>
  </si>
  <si>
    <t xml:space="preserve">720753806333</t>
  </si>
  <si>
    <t xml:space="preserve">0720753806333</t>
  </si>
  <si>
    <t xml:space="preserve">Bose Tour One Over-ear Both Headphones</t>
  </si>
  <si>
    <t xml:space="preserve">2024-09-16</t>
  </si>
  <si>
    <t xml:space="preserve">BB-MKT-00192</t>
  </si>
  <si>
    <t xml:space="preserve">AM-4580-BL</t>
  </si>
  <si>
    <t xml:space="preserve">698896109170</t>
  </si>
  <si>
    <t xml:space="preserve">0698896109170</t>
  </si>
  <si>
    <t xml:space="preserve">2024-11-04</t>
  </si>
  <si>
    <t xml:space="preserve">BB-MKT-00973</t>
  </si>
  <si>
    <t xml:space="preserve">SE-7470-WH</t>
  </si>
  <si>
    <t xml:space="preserve">232117442989</t>
  </si>
  <si>
    <t xml:space="preserve">0232117442989</t>
  </si>
  <si>
    <t xml:space="preserve">Sennheiser AirPods Max On-ear Both Headphones</t>
  </si>
  <si>
    <t xml:space="preserve">2023-11-18</t>
  </si>
  <si>
    <t xml:space="preserve">BB-MKT-00166</t>
  </si>
  <si>
    <t xml:space="preserve">AM-4791-BK</t>
  </si>
  <si>
    <t xml:space="preserve">252095066478</t>
  </si>
  <si>
    <t xml:space="preserve">0252095066478</t>
  </si>
  <si>
    <t xml:space="preserve">2025-02-19</t>
  </si>
  <si>
    <t xml:space="preserve">BB-MKT-00686</t>
  </si>
  <si>
    <t xml:space="preserve">GO-7594-BK</t>
  </si>
  <si>
    <t xml:space="preserve">599269563534</t>
  </si>
  <si>
    <t xml:space="preserve">0599269563534</t>
  </si>
  <si>
    <t xml:space="preserve">Connectivity: Zigbee | Voice_Assistant: Alexa | Power: Wired</t>
  </si>
  <si>
    <t xml:space="preserve">BB-MKT-00752</t>
  </si>
  <si>
    <t xml:space="preserve">DE-4710-BL</t>
  </si>
  <si>
    <t xml:space="preserve">401081639824</t>
  </si>
  <si>
    <t xml:space="preserve">0401081639824</t>
  </si>
  <si>
    <t xml:space="preserve">Dell XPS 15 13.3" Laptop - 32GB RAM 256GB SSD</t>
  </si>
  <si>
    <t xml:space="preserve">RAM_GB: 32 | Storage_GB: 256 | Screen_Size: 13.3" | Processor: Apple M2</t>
  </si>
  <si>
    <t xml:space="preserve">BB-MKT-00846</t>
  </si>
  <si>
    <t xml:space="preserve">RI-5145-SL</t>
  </si>
  <si>
    <t xml:space="preserve">876081259071</t>
  </si>
  <si>
    <t xml:space="preserve">0876081259071</t>
  </si>
  <si>
    <t xml:space="preserve">BB-MKT-00250</t>
  </si>
  <si>
    <t xml:space="preserve">AM-1138-WH</t>
  </si>
  <si>
    <t xml:space="preserve">983050180684</t>
  </si>
  <si>
    <t xml:space="preserve">0983050180684</t>
  </si>
  <si>
    <t xml:space="preserve">BB-MKT-00520</t>
  </si>
  <si>
    <t xml:space="preserve">AR-3118-WH</t>
  </si>
  <si>
    <t xml:space="preserve">458428343837</t>
  </si>
  <si>
    <t xml:space="preserve">0458428343837</t>
  </si>
  <si>
    <t xml:space="preserve">BB-MKT-00411</t>
  </si>
  <si>
    <t xml:space="preserve">AP-7459-SL</t>
  </si>
  <si>
    <t xml:space="preserve">573456755696</t>
  </si>
  <si>
    <t xml:space="preserve">0573456755696</t>
  </si>
  <si>
    <t xml:space="preserve">Apple Aspire 5 15.6" Laptop - 32GB RAM 256GB SSD</t>
  </si>
  <si>
    <t xml:space="preserve">RAM_GB: 32 | Storage_GB: 256 | Screen_Size: 15.6" | Processor: Intel i5</t>
  </si>
  <si>
    <t xml:space="preserve">2025-04-06</t>
  </si>
  <si>
    <t xml:space="preserve">BB-MKT-00698</t>
  </si>
  <si>
    <t xml:space="preserve">AM-2262-BK</t>
  </si>
  <si>
    <t xml:space="preserve">366627245977</t>
  </si>
  <si>
    <t xml:space="preserve">0366627245977</t>
  </si>
  <si>
    <t xml:space="preserve">Amazon Galaxy Tab S9 10.1" 64GB Tablet</t>
  </si>
  <si>
    <t xml:space="preserve">BB-MKT-00742</t>
  </si>
  <si>
    <t xml:space="preserve">AP-9090-BK</t>
  </si>
  <si>
    <t xml:space="preserve">446924323043</t>
  </si>
  <si>
    <t xml:space="preserve">0446924323043</t>
  </si>
  <si>
    <t xml:space="preserve">BB-MKT-00720</t>
  </si>
  <si>
    <t xml:space="preserve">BE-9177-BL</t>
  </si>
  <si>
    <t xml:space="preserve">869334923184</t>
  </si>
  <si>
    <t xml:space="preserve">0869334923184</t>
  </si>
  <si>
    <t xml:space="preserve">Beats AirPods Max Over-ear Wired Headphones</t>
  </si>
  <si>
    <t xml:space="preserve">BB-MKT-00090</t>
  </si>
  <si>
    <t xml:space="preserve">HP-6585-WH</t>
  </si>
  <si>
    <t xml:space="preserve">600019373152</t>
  </si>
  <si>
    <t xml:space="preserve">0600019373152</t>
  </si>
  <si>
    <t xml:space="preserve">HP MacBook Air 14" Laptop - 8GB RAM 256GB SSD</t>
  </si>
  <si>
    <t xml:space="preserve">RAM_GB: 8 | Storage_GB: 256 | Screen_Size: 14" | Processor: AMD Ryzen 7</t>
  </si>
  <si>
    <t xml:space="preserve">BB-MKT-00943</t>
  </si>
  <si>
    <t xml:space="preserve">AP-8074-BK</t>
  </si>
  <si>
    <t xml:space="preserve">988255761466</t>
  </si>
  <si>
    <t xml:space="preserve">0988255761466</t>
  </si>
  <si>
    <t xml:space="preserve">Apple Surface Pro 9 12.4" 512GB Tablet</t>
  </si>
  <si>
    <t xml:space="preserve">Storage_GB: 512 | Screen_Size: 12.4" | Cellular: Yes | RAM_GB: 12</t>
  </si>
  <si>
    <t xml:space="preserve">2024-12-16</t>
  </si>
  <si>
    <t xml:space="preserve">BB-MKT-00078</t>
  </si>
  <si>
    <t xml:space="preserve">HP-9850-BL</t>
  </si>
  <si>
    <t xml:space="preserve">867695941207</t>
  </si>
  <si>
    <t xml:space="preserve">0867695941207</t>
  </si>
  <si>
    <t xml:space="preserve">HP Aspire 5 16" Laptop - 16GB RAM 512GB SSD</t>
  </si>
  <si>
    <t xml:space="preserve">2025-01-29</t>
  </si>
  <si>
    <t xml:space="preserve">BB-MKT-00980</t>
  </si>
  <si>
    <t xml:space="preserve">JA-6654-BL</t>
  </si>
  <si>
    <t xml:space="preserve">0377509040433</t>
  </si>
  <si>
    <t xml:space="preserve">Jabra Momentum 4 On-ear Wired Headphones</t>
  </si>
  <si>
    <t xml:space="preserve">BB-MKT-00968</t>
  </si>
  <si>
    <t xml:space="preserve">WY-4514-BK</t>
  </si>
  <si>
    <t xml:space="preserve">150247608888</t>
  </si>
  <si>
    <t xml:space="preserve">0150247608888</t>
  </si>
  <si>
    <t xml:space="preserve">BB-MKT-00447</t>
  </si>
  <si>
    <t xml:space="preserve">MI-4643-WH</t>
  </si>
  <si>
    <t xml:space="preserve">737520243850</t>
  </si>
  <si>
    <t xml:space="preserve">0737520243850</t>
  </si>
  <si>
    <t xml:space="preserve">Microsoft iPad Pro 12.9 10.1" 512GB Tablet</t>
  </si>
  <si>
    <t xml:space="preserve">Storage_GB: 512 | Screen_Size: 10.1" | Cellular: Yes | RAM_GB: 8</t>
  </si>
  <si>
    <t xml:space="preserve">BB-MKT-00286</t>
  </si>
  <si>
    <t xml:space="preserve">AS-1092-SL</t>
  </si>
  <si>
    <t xml:space="preserve">382806477544</t>
  </si>
  <si>
    <t xml:space="preserve">0382806477544</t>
  </si>
  <si>
    <t xml:space="preserve">ASUS IdeaPad 5 14" Laptop - 32GB RAM 256GB SSD</t>
  </si>
  <si>
    <t xml:space="preserve">BB-MKT-00035</t>
  </si>
  <si>
    <t xml:space="preserve">AC-6198-BL</t>
  </si>
  <si>
    <t xml:space="preserve">682687809473</t>
  </si>
  <si>
    <t xml:space="preserve">0682687809473</t>
  </si>
  <si>
    <t xml:space="preserve">Acer Pavilion 15 14" Laptop - 8GB RAM 512GB SSD</t>
  </si>
  <si>
    <t xml:space="preserve">RAM_GB: 8 | Storage_GB: 512 | Screen_Size: 14" | Processor: AMD Ryzen 7</t>
  </si>
  <si>
    <t xml:space="preserve">2025-02-04</t>
  </si>
  <si>
    <t xml:space="preserve">BB-MKT-00486</t>
  </si>
  <si>
    <t xml:space="preserve">JA-9856-BK</t>
  </si>
  <si>
    <t xml:space="preserve">990534048227</t>
  </si>
  <si>
    <t xml:space="preserve">0990534048227</t>
  </si>
  <si>
    <t xml:space="preserve">Jabra Tour One On-ear Both Headphones</t>
  </si>
  <si>
    <t xml:space="preserve">BB-MKT-00429</t>
  </si>
  <si>
    <t xml:space="preserve">DE-1014-BK</t>
  </si>
  <si>
    <t xml:space="preserve">817898862664</t>
  </si>
  <si>
    <t xml:space="preserve">0817898862664</t>
  </si>
  <si>
    <t xml:space="preserve">Dell XPS 15 13.3" Laptop - 32GB RAM 512GB SSD</t>
  </si>
  <si>
    <t xml:space="preserve">RAM_GB: 32 | Storage_GB: 512 | Screen_Size: 13.3" | Processor: AMD Ryzen 7</t>
  </si>
  <si>
    <t xml:space="preserve">BB-MKT-00782</t>
  </si>
  <si>
    <t xml:space="preserve">SE-2161-BK</t>
  </si>
  <si>
    <t xml:space="preserve">515003236622</t>
  </si>
  <si>
    <t xml:space="preserve">0515003236622</t>
  </si>
  <si>
    <t xml:space="preserve">Sennheiser Momentum 4 Over-ear Wireless Headphones</t>
  </si>
  <si>
    <t xml:space="preserve">BB-MKT-00722</t>
  </si>
  <si>
    <t xml:space="preserve">PH-7738-BK</t>
  </si>
  <si>
    <t xml:space="preserve">119969985565</t>
  </si>
  <si>
    <t xml:space="preserve">0119969985565</t>
  </si>
  <si>
    <t xml:space="preserve">BB-MKT-00378</t>
  </si>
  <si>
    <t xml:space="preserve">LE-1245-SL</t>
  </si>
  <si>
    <t xml:space="preserve">546815023668</t>
  </si>
  <si>
    <t xml:space="preserve">0546815023668</t>
  </si>
  <si>
    <t xml:space="preserve">Lenovo Tab P12 Pro 10.1" 128GB Tablet</t>
  </si>
  <si>
    <t xml:space="preserve">BB-MKT-00538</t>
  </si>
  <si>
    <t xml:space="preserve">RI-2817-BK</t>
  </si>
  <si>
    <t xml:space="preserve">605942796182</t>
  </si>
  <si>
    <t xml:space="preserve">0605942796182</t>
  </si>
  <si>
    <t xml:space="preserve">Ring Nest Hub Max Smart Home Device</t>
  </si>
  <si>
    <t xml:space="preserve">Transform your home with the Ring Nest Hub Max. Easy setup and seamless smart home integration.</t>
  </si>
  <si>
    <t xml:space="preserve">https://images.bestbuy.com/marketplace/ring-nest-hub-max-main.jpg</t>
  </si>
  <si>
    <t xml:space="preserve">Connectivity: Wi-Fi | Voice_Assistant: Alexa | Power: Wired</t>
  </si>
  <si>
    <t xml:space="preserve">2024-08-22</t>
  </si>
  <si>
    <t xml:space="preserve">BB-MKT-00022</t>
  </si>
  <si>
    <t xml:space="preserve">PH-5333-BK</t>
  </si>
  <si>
    <t xml:space="preserve">249800414661</t>
  </si>
  <si>
    <t xml:space="preserve">0249800414661</t>
  </si>
  <si>
    <t xml:space="preserve">BB-MKT-00441</t>
  </si>
  <si>
    <t xml:space="preserve">SA-3888-WH</t>
  </si>
  <si>
    <t xml:space="preserve">647498434216</t>
  </si>
  <si>
    <t xml:space="preserve">0647498434216</t>
  </si>
  <si>
    <t xml:space="preserve">Samsung Surface Pro 9 10.1" 64GB Tablet</t>
  </si>
  <si>
    <t xml:space="preserve">Storage_GB: 64 | Screen_Size: 10.1" | Cellular: Yes | RAM_GB: 6</t>
  </si>
  <si>
    <t xml:space="preserve">BB-MKT-00376</t>
  </si>
  <si>
    <t xml:space="preserve">LE-4026-BK</t>
  </si>
  <si>
    <t xml:space="preserve">242192500589</t>
  </si>
  <si>
    <t xml:space="preserve">0242192500589</t>
  </si>
  <si>
    <t xml:space="preserve">Lenovo Surface Pro 9 11" 512GB Tablet</t>
  </si>
  <si>
    <t xml:space="preserve">Storage_GB: 512 | Screen_Size: 11" | Cellular: Yes | RAM_GB: 6</t>
  </si>
  <si>
    <t xml:space="preserve">BB-MKT-00656</t>
  </si>
  <si>
    <t xml:space="preserve">AC-9984-BL</t>
  </si>
  <si>
    <t xml:space="preserve">852091680802</t>
  </si>
  <si>
    <t xml:space="preserve">0852091680802</t>
  </si>
  <si>
    <t xml:space="preserve">Acer Pavilion 15 13.3" Laptop - 8GB RAM 512GB SSD</t>
  </si>
  <si>
    <t xml:space="preserve">BB-MKT-00449</t>
  </si>
  <si>
    <t xml:space="preserve">LG-5994-WH</t>
  </si>
  <si>
    <t xml:space="preserve">836500059690</t>
  </si>
  <si>
    <t xml:space="preserve">0836500059690</t>
  </si>
  <si>
    <t xml:space="preserve">LG 55" 4K UHD Smart TV Bravia XR</t>
  </si>
  <si>
    <t xml:space="preserve">BB-MKT-00756</t>
  </si>
  <si>
    <t xml:space="preserve">WY-6499-BL</t>
  </si>
  <si>
    <t xml:space="preserve">981776552471</t>
  </si>
  <si>
    <t xml:space="preserve">0981776552471</t>
  </si>
  <si>
    <t xml:space="preserve">BB-MKT-00167</t>
  </si>
  <si>
    <t xml:space="preserve">AC-7739-BK</t>
  </si>
  <si>
    <t xml:space="preserve">684143952105</t>
  </si>
  <si>
    <t xml:space="preserve">0684143952105</t>
  </si>
  <si>
    <t xml:space="preserve">Acer MacBook Air 16" Laptop - 64GB RAM 1024GB SSD</t>
  </si>
  <si>
    <t xml:space="preserve">2024-11-24</t>
  </si>
  <si>
    <t xml:space="preserve">BB-MKT-00620</t>
  </si>
  <si>
    <t xml:space="preserve">SO-8231-BL</t>
  </si>
  <si>
    <t xml:space="preserve">616116625176</t>
  </si>
  <si>
    <t xml:space="preserve">0616116625176</t>
  </si>
  <si>
    <t xml:space="preserve">Sony 43" 8K Smart TV 5-Series 4K</t>
  </si>
  <si>
    <t xml:space="preserve">2024-09-18</t>
  </si>
  <si>
    <t xml:space="preserve">BB-MKT-00136</t>
  </si>
  <si>
    <t xml:space="preserve">PH-7035-SL</t>
  </si>
  <si>
    <t xml:space="preserve">120683483751</t>
  </si>
  <si>
    <t xml:space="preserve">0120683483751</t>
  </si>
  <si>
    <t xml:space="preserve">BB-MKT-00823</t>
  </si>
  <si>
    <t xml:space="preserve">JA-1895-SL</t>
  </si>
  <si>
    <t xml:space="preserve">0385180156992</t>
  </si>
  <si>
    <t xml:space="preserve">2024-07-24</t>
  </si>
  <si>
    <t xml:space="preserve">BB-MKT-00805</t>
  </si>
  <si>
    <t xml:space="preserve">AR-8225-SL</t>
  </si>
  <si>
    <t xml:space="preserve">673483137664</t>
  </si>
  <si>
    <t xml:space="preserve">0673483137664</t>
  </si>
  <si>
    <t xml:space="preserve">BB-MKT-00104</t>
  </si>
  <si>
    <t xml:space="preserve">BO-3538-BK</t>
  </si>
  <si>
    <t xml:space="preserve">254618722248</t>
  </si>
  <si>
    <t xml:space="preserve">0254618722248</t>
  </si>
  <si>
    <t xml:space="preserve">Bose QuietComfort 45 On-ear Wired Headphones</t>
  </si>
  <si>
    <t xml:space="preserve">BB-MKT-00119</t>
  </si>
  <si>
    <t xml:space="preserve">MI-8179-BK</t>
  </si>
  <si>
    <t xml:space="preserve">961905828711</t>
  </si>
  <si>
    <t xml:space="preserve">0961905828711</t>
  </si>
  <si>
    <t xml:space="preserve">Storage_GB: 128 | Screen_Size: 8" | Cellular: Yes | RAM_GB: 16</t>
  </si>
  <si>
    <t xml:space="preserve">2025-01-04</t>
  </si>
  <si>
    <t xml:space="preserve">2023-12-31</t>
  </si>
  <si>
    <t xml:space="preserve">BB-MKT-00994</t>
  </si>
  <si>
    <t xml:space="preserve">JB-6454-BK</t>
  </si>
  <si>
    <t xml:space="preserve">188731492552</t>
  </si>
  <si>
    <t xml:space="preserve">0188731492552</t>
  </si>
  <si>
    <t xml:space="preserve">JBL Tour One On-ear Wireless Headphones</t>
  </si>
  <si>
    <t xml:space="preserve">Type: On-ear | Connectivity: Wireless | ANC: No | Battery_Hours: 36</t>
  </si>
  <si>
    <t xml:space="preserve">2024-07-06</t>
  </si>
  <si>
    <t xml:space="preserve">BB-MKT-00235</t>
  </si>
  <si>
    <t xml:space="preserve">SE-3703-BL</t>
  </si>
  <si>
    <t xml:space="preserve">821307297093</t>
  </si>
  <si>
    <t xml:space="preserve">0821307297093</t>
  </si>
  <si>
    <t xml:space="preserve">BB-MKT-00506</t>
  </si>
  <si>
    <t xml:space="preserve">SA-2815-WH</t>
  </si>
  <si>
    <t xml:space="preserve">192667395542</t>
  </si>
  <si>
    <t xml:space="preserve">0192667395542</t>
  </si>
  <si>
    <t xml:space="preserve">Samsung 50" 1080p Full HD Smart TV 5-Series 4K</t>
  </si>
  <si>
    <t xml:space="preserve">Screen_Size: 50" | Resolution: 1080p Full HD | Smart_TV: No | HDR: Dolby Vision</t>
  </si>
  <si>
    <t xml:space="preserve">BB-MKT-00598</t>
  </si>
  <si>
    <t xml:space="preserve">SA-6387-BL</t>
  </si>
  <si>
    <t xml:space="preserve">218003271511</t>
  </si>
  <si>
    <t xml:space="preserve">0218003271511</t>
  </si>
  <si>
    <t xml:space="preserve">BB-MKT-00349</t>
  </si>
  <si>
    <t xml:space="preserve">TC-1349-BL</t>
  </si>
  <si>
    <t xml:space="preserve">313602419558</t>
  </si>
  <si>
    <t xml:space="preserve">0313602419558</t>
  </si>
  <si>
    <t xml:space="preserve">TCL 55" 1080p Full HD Smart TV OLED C3</t>
  </si>
  <si>
    <t xml:space="preserve">BB-MKT-00229</t>
  </si>
  <si>
    <t xml:space="preserve">SO-6978-BK</t>
  </si>
  <si>
    <t xml:space="preserve">679161225398</t>
  </si>
  <si>
    <t xml:space="preserve">0679161225398</t>
  </si>
  <si>
    <t xml:space="preserve">Screen_Size: 43" | Resolution: 4K UHD | Smart_TV: Yes | HDR: HDR10</t>
  </si>
  <si>
    <t xml:space="preserve">BB-MKT-00188</t>
  </si>
  <si>
    <t xml:space="preserve">BE-3194-SL</t>
  </si>
  <si>
    <t xml:space="preserve">192729067059</t>
  </si>
  <si>
    <t xml:space="preserve">0192729067059</t>
  </si>
  <si>
    <t xml:space="preserve">Beats Tour One In-ear Wireless Headphones</t>
  </si>
  <si>
    <t xml:space="preserve">BB-MKT-00987</t>
  </si>
  <si>
    <t xml:space="preserve">SE-2404-BK</t>
  </si>
  <si>
    <t xml:space="preserve">172099453919</t>
  </si>
  <si>
    <t xml:space="preserve">0172099453919</t>
  </si>
  <si>
    <t xml:space="preserve">Sennheiser Studio Pro In-ear Both Headphones</t>
  </si>
  <si>
    <t xml:space="preserve">BB-MKT-00045</t>
  </si>
  <si>
    <t xml:space="preserve">AS-9548-SL</t>
  </si>
  <si>
    <t xml:space="preserve">903915386825</t>
  </si>
  <si>
    <t xml:space="preserve">0903915386825</t>
  </si>
  <si>
    <t xml:space="preserve">ASUS IdeaPad 5 14" Laptop - 64GB RAM 1024GB SSD</t>
  </si>
  <si>
    <t xml:space="preserve">BB-MKT-00386</t>
  </si>
  <si>
    <t xml:space="preserve">PH-8794-BL</t>
  </si>
  <si>
    <t xml:space="preserve">824083650158</t>
  </si>
  <si>
    <t xml:space="preserve">0824083650158</t>
  </si>
  <si>
    <t xml:space="preserve">BB-MKT-00181</t>
  </si>
  <si>
    <t xml:space="preserve">WY-2392-BK</t>
  </si>
  <si>
    <t xml:space="preserve">691899308484</t>
  </si>
  <si>
    <t xml:space="preserve">0691899308484</t>
  </si>
  <si>
    <t xml:space="preserve">BB-MKT-00397</t>
  </si>
  <si>
    <t xml:space="preserve">LE-8907-WH</t>
  </si>
  <si>
    <t xml:space="preserve">127943034440</t>
  </si>
  <si>
    <t xml:space="preserve">0127943034440</t>
  </si>
  <si>
    <t xml:space="preserve">Lenovo Katana 15 13.3" Laptop - 8GB RAM 256GB SSD</t>
  </si>
  <si>
    <t xml:space="preserve">RAM_GB: 8 | Storage_GB: 256 | Screen_Size: 13.3" | Processor: AMD Ryzen 7</t>
  </si>
  <si>
    <t xml:space="preserve">2023-12-22</t>
  </si>
  <si>
    <t xml:space="preserve">BB-MKT-00006</t>
  </si>
  <si>
    <t xml:space="preserve">LE-6168-BL</t>
  </si>
  <si>
    <t xml:space="preserve">137889353643</t>
  </si>
  <si>
    <t xml:space="preserve">0137889353643</t>
  </si>
  <si>
    <t xml:space="preserve">Lenovo Surface Pro 9 11" 128GB Tablet</t>
  </si>
  <si>
    <t xml:space="preserve">Storage_GB: 128 | Screen_Size: 11" | Cellular: Yes | RAM_GB: 6</t>
  </si>
  <si>
    <t xml:space="preserve">BB-MKT-00256</t>
  </si>
  <si>
    <t xml:space="preserve">AP-2166-BL</t>
  </si>
  <si>
    <t xml:space="preserve">742674840367</t>
  </si>
  <si>
    <t xml:space="preserve">0742674840367</t>
  </si>
  <si>
    <t xml:space="preserve">Apple Momentum 4 On-ear Wired Headphones</t>
  </si>
  <si>
    <t xml:space="preserve">BB-MKT-00498</t>
  </si>
  <si>
    <t xml:space="preserve">NE-1477-SL</t>
  </si>
  <si>
    <t xml:space="preserve">247200177026</t>
  </si>
  <si>
    <t xml:space="preserve">0247200177026</t>
  </si>
  <si>
    <t xml:space="preserve">BB-MKT-00494</t>
  </si>
  <si>
    <t xml:space="preserve">SA-6133-WH</t>
  </si>
  <si>
    <t xml:space="preserve">695555011663</t>
  </si>
  <si>
    <t xml:space="preserve">0695555011663</t>
  </si>
  <si>
    <t xml:space="preserve">Samsung Surface Pro 9 11" 64GB Tablet</t>
  </si>
  <si>
    <t xml:space="preserve">Storage_GB: 64 | Screen_Size: 11" | Cellular: No | RAM_GB: 12</t>
  </si>
  <si>
    <t xml:space="preserve">BB-MKT-00204</t>
  </si>
  <si>
    <t xml:space="preserve">JA-9482-WH</t>
  </si>
  <si>
    <t xml:space="preserve">324633873429</t>
  </si>
  <si>
    <t xml:space="preserve">0324633873429</t>
  </si>
  <si>
    <t xml:space="preserve">Jabra WH-1000XM5 Over-ear Both Headphones</t>
  </si>
  <si>
    <t xml:space="preserve">BB-MKT-00079</t>
  </si>
  <si>
    <t xml:space="preserve">AM-4868-SL</t>
  </si>
  <si>
    <t xml:space="preserve">587235620303</t>
  </si>
  <si>
    <t xml:space="preserve">0587235620303</t>
  </si>
  <si>
    <t xml:space="preserve">BB-MKT-00159</t>
  </si>
  <si>
    <t xml:space="preserve">LE-4692-SL</t>
  </si>
  <si>
    <t xml:space="preserve">364026752906</t>
  </si>
  <si>
    <t xml:space="preserve">0364026752906</t>
  </si>
  <si>
    <t xml:space="preserve">Lenovo Galaxy Tab S9 12.4" 256GB Tablet</t>
  </si>
  <si>
    <t xml:space="preserve">Storage_GB: 256 | Screen_Size: 12.4" | Cellular: Yes | RAM_GB: 16</t>
  </si>
  <si>
    <t xml:space="preserve">BB-MKT-00113</t>
  </si>
  <si>
    <t xml:space="preserve">AC-7116-SL</t>
  </si>
  <si>
    <t xml:space="preserve">527931947563</t>
  </si>
  <si>
    <t xml:space="preserve">0527931947563</t>
  </si>
  <si>
    <t xml:space="preserve">Acer Aspire 5 16" Laptop - 8GB RAM 512GB SSD</t>
  </si>
  <si>
    <t xml:space="preserve">RAM_GB: 8 | Storage_GB: 512 | Screen_Size: 16" | Processor: Intel i5</t>
  </si>
  <si>
    <t xml:space="preserve">BB-MKT-00340</t>
  </si>
  <si>
    <t xml:space="preserve">SO-4089-BL</t>
  </si>
  <si>
    <t xml:space="preserve">510376446583</t>
  </si>
  <si>
    <t xml:space="preserve">0510376446583</t>
  </si>
  <si>
    <t xml:space="preserve">Sony Studio Pro On-ear Wired Headphones</t>
  </si>
  <si>
    <t xml:space="preserve">BB-MKT-00616</t>
  </si>
  <si>
    <t xml:space="preserve">SA-6202-BK</t>
  </si>
  <si>
    <t xml:space="preserve">405519350443</t>
  </si>
  <si>
    <t xml:space="preserve">0405519350443</t>
  </si>
  <si>
    <t xml:space="preserve">Samsung iPad Pro 12.9 12.9" 128GB Tablet</t>
  </si>
  <si>
    <t xml:space="preserve">Storage_GB: 128 | Screen_Size: 12.9" | Cellular: No | RAM_GB: 8</t>
  </si>
  <si>
    <t xml:space="preserve">BB-MKT-00298</t>
  </si>
  <si>
    <t xml:space="preserve">HP-4842-BK</t>
  </si>
  <si>
    <t xml:space="preserve">820142730930</t>
  </si>
  <si>
    <t xml:space="preserve">0820142730930</t>
  </si>
  <si>
    <t xml:space="preserve">HP MacBook Air 15.6" Laptop - 64GB RAM 512GB SSD</t>
  </si>
  <si>
    <t xml:space="preserve">BB-MKT-00041</t>
  </si>
  <si>
    <t xml:space="preserve">MI-1853-SL</t>
  </si>
  <si>
    <t xml:space="preserve">695922521544</t>
  </si>
  <si>
    <t xml:space="preserve">0695922521544</t>
  </si>
  <si>
    <t xml:space="preserve">Microsoft Tab P12 Pro 8" 256GB Tablet</t>
  </si>
  <si>
    <t xml:space="preserve">BB-MKT-00301</t>
  </si>
  <si>
    <t xml:space="preserve">HI-1511-BL</t>
  </si>
  <si>
    <t xml:space="preserve">793668048921</t>
  </si>
  <si>
    <t xml:space="preserve">0793668048921</t>
  </si>
  <si>
    <t xml:space="preserve">Hisense 55" 1080p Full HD Smart TV OLED C3</t>
  </si>
  <si>
    <t xml:space="preserve">2025-04-09</t>
  </si>
  <si>
    <t xml:space="preserve">BB-MKT-00680</t>
  </si>
  <si>
    <t xml:space="preserve">TC-4390-WH</t>
  </si>
  <si>
    <t xml:space="preserve">398960726526</t>
  </si>
  <si>
    <t xml:space="preserve">0398960726526</t>
  </si>
  <si>
    <t xml:space="preserve">TCL 65" 1080p Full HD Smart TV U8K</t>
  </si>
  <si>
    <t xml:space="preserve">Screen_Size: 65" | Resolution: 1080p Full HD | Smart_TV: No | HDR: Dolby Vision</t>
  </si>
  <si>
    <t xml:space="preserve">BB-MKT-00867</t>
  </si>
  <si>
    <t xml:space="preserve">AP-2899-BL</t>
  </si>
  <si>
    <t xml:space="preserve">385293121891</t>
  </si>
  <si>
    <t xml:space="preserve">0385293121891</t>
  </si>
  <si>
    <t xml:space="preserve">Storage_GB: 512 | Screen_Size: 12.4" | Cellular: Yes | RAM_GB: 8</t>
  </si>
  <si>
    <t xml:space="preserve">2024-12-19</t>
  </si>
  <si>
    <t xml:space="preserve">BB-MKT-00704</t>
  </si>
  <si>
    <t xml:space="preserve">AC-2527-SL</t>
  </si>
  <si>
    <t xml:space="preserve">443803752159</t>
  </si>
  <si>
    <t xml:space="preserve">0443803752159</t>
  </si>
  <si>
    <t xml:space="preserve">Acer Aspire 5 16" Laptop - 8GB RAM 1024GB SSD</t>
  </si>
  <si>
    <t xml:space="preserve">RAM_GB: 8 | Storage_GB: 1024 | Screen_Size: 16" | Processor: Intel i5</t>
  </si>
  <si>
    <t xml:space="preserve">BB-MKT-00530</t>
  </si>
  <si>
    <t xml:space="preserve">TC-9824-WH</t>
  </si>
  <si>
    <t xml:space="preserve">790811515121</t>
  </si>
  <si>
    <t xml:space="preserve">0790811515121</t>
  </si>
  <si>
    <t xml:space="preserve">TCL 50" 1080p Full HD Smart TV V-Series</t>
  </si>
  <si>
    <t xml:space="preserve">Screen_Size: 50" | Resolution: 1080p Full HD | Smart_TV: Yes | HDR: Dolby Vision</t>
  </si>
  <si>
    <t xml:space="preserve">BB-MKT-00121</t>
  </si>
  <si>
    <t xml:space="preserve">DE-5264-BL</t>
  </si>
  <si>
    <t xml:space="preserve">388268588472</t>
  </si>
  <si>
    <t xml:space="preserve">0388268588472</t>
  </si>
  <si>
    <t xml:space="preserve">RAM_GB: 16 | Storage_GB: 512 | Screen_Size: 16" | Processor: Apple M2</t>
  </si>
  <si>
    <t xml:space="preserve">BB-MKT-00600</t>
  </si>
  <si>
    <t xml:space="preserve">SE-9789-BL</t>
  </si>
  <si>
    <t xml:space="preserve">242209562422</t>
  </si>
  <si>
    <t xml:space="preserve">0242209562422</t>
  </si>
  <si>
    <t xml:space="preserve">Sennheiser WH-1000XM5 Over-ear Wired Headphones</t>
  </si>
  <si>
    <t xml:space="preserve">BB-MKT-00746</t>
  </si>
  <si>
    <t xml:space="preserve">SA-4373-BK</t>
  </si>
  <si>
    <t xml:space="preserve">370036930485</t>
  </si>
  <si>
    <t xml:space="preserve">0370036930485</t>
  </si>
  <si>
    <t xml:space="preserve">Samsung iPad Pro 12.9 11" 256GB Tablet</t>
  </si>
  <si>
    <t xml:space="preserve">Storage_GB: 256 | Screen_Size: 11" | Cellular: Yes | RAM_GB: 8</t>
  </si>
  <si>
    <t xml:space="preserve">BB-MKT-00050</t>
  </si>
  <si>
    <t xml:space="preserve">PH-5530-SL</t>
  </si>
  <si>
    <t xml:space="preserve">631453260232</t>
  </si>
  <si>
    <t xml:space="preserve">0631453260232</t>
  </si>
  <si>
    <t xml:space="preserve">BB-MKT-00549</t>
  </si>
  <si>
    <t xml:space="preserve">HP-3130-BL</t>
  </si>
  <si>
    <t xml:space="preserve">564123587757</t>
  </si>
  <si>
    <t xml:space="preserve">0564123587757</t>
  </si>
  <si>
    <t xml:space="preserve">HP MacBook Air 13.3" Laptop - 64GB RAM 512GB SSD</t>
  </si>
  <si>
    <t xml:space="preserve">RAM_GB: 64 | Storage_GB: 512 | Screen_Size: 13.3" | Processor: Intel i5</t>
  </si>
  <si>
    <t xml:space="preserve">2025-03-27</t>
  </si>
  <si>
    <t xml:space="preserve">BB-MKT-00773</t>
  </si>
  <si>
    <t xml:space="preserve">JA-7960-WH</t>
  </si>
  <si>
    <t xml:space="preserve">995143754255</t>
  </si>
  <si>
    <t xml:space="preserve">0496439958070</t>
  </si>
  <si>
    <t xml:space="preserve">BB-MKT-00579</t>
  </si>
  <si>
    <t xml:space="preserve">LE-1991-WH</t>
  </si>
  <si>
    <t xml:space="preserve">150667839076</t>
  </si>
  <si>
    <t xml:space="preserve">0150667839076</t>
  </si>
  <si>
    <t xml:space="preserve">Lenovo Fire HD 10 10.1" 512GB Tablet</t>
  </si>
  <si>
    <t xml:space="preserve">Storage_GB: 512 | Screen_Size: 10.1" | Cellular: Yes | RAM_GB: 6</t>
  </si>
  <si>
    <t xml:space="preserve">BB-MKT-00282</t>
  </si>
  <si>
    <t xml:space="preserve">AP-1927-WH</t>
  </si>
  <si>
    <t xml:space="preserve">834667320053</t>
  </si>
  <si>
    <t xml:space="preserve">0834667320053</t>
  </si>
  <si>
    <t xml:space="preserve">Apple Fire HD 10 8" 64GB Tablet</t>
  </si>
  <si>
    <t xml:space="preserve">Storage_GB: 64 | Screen_Size: 8" | Cellular: No | RAM_GB: 6</t>
  </si>
  <si>
    <t xml:space="preserve">BB-MKT-00475</t>
  </si>
  <si>
    <t xml:space="preserve">LG-8934-BL</t>
  </si>
  <si>
    <t xml:space="preserve">950484297513</t>
  </si>
  <si>
    <t xml:space="preserve">0950484297513</t>
  </si>
  <si>
    <t xml:space="preserve">LG 43" 8K Smart TV OLED C3</t>
  </si>
  <si>
    <t xml:space="preserve">2025-03-20</t>
  </si>
  <si>
    <t xml:space="preserve">BB-MKT-00186</t>
  </si>
  <si>
    <t xml:space="preserve">VI-8037-BL</t>
  </si>
  <si>
    <t xml:space="preserve">594768741028</t>
  </si>
  <si>
    <t xml:space="preserve">0594768741028</t>
  </si>
  <si>
    <t xml:space="preserve">Vizio 65" 8K Smart TV V-Series</t>
  </si>
  <si>
    <t xml:space="preserve">BB-MKT-00515</t>
  </si>
  <si>
    <t xml:space="preserve">MI-6169-BL</t>
  </si>
  <si>
    <t xml:space="preserve">284222622685</t>
  </si>
  <si>
    <t xml:space="preserve">0284222622685</t>
  </si>
  <si>
    <t xml:space="preserve">Microsoft Surface Pro 9 12.9" 256GB Tablet</t>
  </si>
  <si>
    <t xml:space="preserve">Storage_GB: 256 | Screen_Size: 12.9" | Cellular: No | RAM_GB: 12</t>
  </si>
  <si>
    <t xml:space="preserve">BB-MKT-00071</t>
  </si>
  <si>
    <t xml:space="preserve">GO-7951-SL</t>
  </si>
  <si>
    <t xml:space="preserve">801364526954</t>
  </si>
  <si>
    <t xml:space="preserve">0801364526954</t>
  </si>
  <si>
    <t xml:space="preserve">BB-MKT-00858</t>
  </si>
  <si>
    <t xml:space="preserve">TC-8126-BL</t>
  </si>
  <si>
    <t xml:space="preserve">750500480945</t>
  </si>
  <si>
    <t xml:space="preserve">0750500480945</t>
  </si>
  <si>
    <t xml:space="preserve">TCL 50" 4K UHD Smart TV U8K</t>
  </si>
  <si>
    <t xml:space="preserve">BB-MKT-00029</t>
  </si>
  <si>
    <t xml:space="preserve">DE-8119-SL</t>
  </si>
  <si>
    <t xml:space="preserve">753300614396</t>
  </si>
  <si>
    <t xml:space="preserve">0753300614396</t>
  </si>
  <si>
    <t xml:space="preserve">Dell IdeaPad 5 15.6" Laptop - 16GB RAM 1024GB SSD</t>
  </si>
  <si>
    <t xml:space="preserve">BB-MKT-00724</t>
  </si>
  <si>
    <t xml:space="preserve">LE-5333-SL</t>
  </si>
  <si>
    <t xml:space="preserve">393275847844</t>
  </si>
  <si>
    <t xml:space="preserve">0393275847844</t>
  </si>
  <si>
    <t xml:space="preserve">Lenovo Tab P12 Pro 11" 64GB Tablet</t>
  </si>
  <si>
    <t xml:space="preserve">Storage_GB: 64 | Screen_Size: 11" | Cellular: Yes | RAM_GB: 16</t>
  </si>
  <si>
    <t xml:space="preserve">BB-MKT-00132</t>
  </si>
  <si>
    <t xml:space="preserve">NE-9108-BL</t>
  </si>
  <si>
    <t xml:space="preserve">409454714700</t>
  </si>
  <si>
    <t xml:space="preserve">0409454714700</t>
  </si>
  <si>
    <t xml:space="preserve">2025-02-06</t>
  </si>
  <si>
    <t xml:space="preserve">BB-MKT-00739</t>
  </si>
  <si>
    <t xml:space="preserve">MI-2225-BL</t>
  </si>
  <si>
    <t xml:space="preserve">407351977297</t>
  </si>
  <si>
    <t xml:space="preserve">0407351977297</t>
  </si>
  <si>
    <t xml:space="preserve">Microsoft Fire HD 10 12.9" 128GB Tablet</t>
  </si>
  <si>
    <t xml:space="preserve">BB-MKT-00098</t>
  </si>
  <si>
    <t xml:space="preserve">BO-1920-SL</t>
  </si>
  <si>
    <t xml:space="preserve">404067920664</t>
  </si>
  <si>
    <t xml:space="preserve">0404067920664</t>
  </si>
  <si>
    <t xml:space="preserve">2024-07-20</t>
  </si>
  <si>
    <t xml:space="preserve">BB-MKT-00421</t>
  </si>
  <si>
    <t xml:space="preserve">AR-2900-BK</t>
  </si>
  <si>
    <t xml:space="preserve">930064258118</t>
  </si>
  <si>
    <t xml:space="preserve">0930064258118</t>
  </si>
  <si>
    <t xml:space="preserve">BB-MKT-00629</t>
  </si>
  <si>
    <t xml:space="preserve">AM-3993-WH</t>
  </si>
  <si>
    <t xml:space="preserve">920592079579</t>
  </si>
  <si>
    <t xml:space="preserve">0920592079579</t>
  </si>
  <si>
    <t xml:space="preserve">Amazon Learning Thermostat Smart Home Device</t>
  </si>
  <si>
    <t xml:space="preserve">Transform your home with the Amazon Learning Thermostat. Easy setup and seamless smart home integration.</t>
  </si>
  <si>
    <t xml:space="preserve">https://images.bestbuy.com/marketplace/amazon-learning-thermostat-main.jpg</t>
  </si>
  <si>
    <t xml:space="preserve">BB-MKT-00222</t>
  </si>
  <si>
    <t xml:space="preserve">AP-7990-WH</t>
  </si>
  <si>
    <t xml:space="preserve">848968119930</t>
  </si>
  <si>
    <t xml:space="preserve">0848968119930</t>
  </si>
  <si>
    <t xml:space="preserve">Apple Galaxy Tab S9 12.4" 512GB Tablet - EXTREMELY DETAILED SPEC DESCRIPTION THAT GOES WAY BEYOND THE ALLOWED CHARACTER LIMIT FOR BEST BUY MARKETPLACE LISTINGS</t>
  </si>
  <si>
    <t xml:space="preserve">Storage_GB: 512 | Screen_Size: 12.4" | Cellular: No | RAM_GB: 4</t>
  </si>
  <si>
    <t xml:space="preserve">BB-MKT-00463</t>
  </si>
  <si>
    <t xml:space="preserve">BO-7462-WH</t>
  </si>
  <si>
    <t xml:space="preserve">666831914534</t>
  </si>
  <si>
    <t xml:space="preserve">0666831914534</t>
  </si>
  <si>
    <t xml:space="preserve">BB-MKT-00566</t>
  </si>
  <si>
    <t xml:space="preserve">BE-8533-SL</t>
  </si>
  <si>
    <t xml:space="preserve">329100555535</t>
  </si>
  <si>
    <t xml:space="preserve">0329100555535</t>
  </si>
  <si>
    <t xml:space="preserve">Beats Evolve2 85 On-ear Wired Headphones</t>
  </si>
  <si>
    <t xml:space="preserve">Enjoy crystal-clear audio with the Beats Evolve2 85. Perfect for music lovers and remote workers.</t>
  </si>
  <si>
    <t xml:space="preserve">https://images.bestbuy.com/marketplace/beats-evolve2-85-main.jpg</t>
  </si>
  <si>
    <t xml:space="preserve">BB-MKT-00318</t>
  </si>
  <si>
    <t xml:space="preserve">SO-9536-SL</t>
  </si>
  <si>
    <t xml:space="preserve">819896500548</t>
  </si>
  <si>
    <t xml:space="preserve">0819896500548</t>
  </si>
  <si>
    <t xml:space="preserve">Sony 75" 4K UHD Smart TV QLED 4K - EXTREMELY DETAILED SPEC DESCRIPTION THAT GOES WAY BEYOND THE ALLOWED CHARACTER LIMIT FOR BEST BUY MARKETPLACE LISTINGS</t>
  </si>
  <si>
    <t xml:space="preserve">Screen_Size: 75" | Resolution: 4K UHD | Smart_TV: No | HDR: Dolby Vision</t>
  </si>
  <si>
    <t xml:space="preserve">BB-MKT-00331</t>
  </si>
  <si>
    <t xml:space="preserve">HP-1781-BL</t>
  </si>
  <si>
    <t xml:space="preserve">376166543947</t>
  </si>
  <si>
    <t xml:space="preserve">0376166543947</t>
  </si>
  <si>
    <t xml:space="preserve">HP VivoBook 16 15.6" Laptop - 64GB RAM 256GB SSD</t>
  </si>
  <si>
    <t xml:space="preserve">RAM_GB: 64 | Storage_GB: 256 | Screen_Size: 15.6" | Processor: AMD Ryzen 7</t>
  </si>
  <si>
    <t xml:space="preserve">2024-11-08</t>
  </si>
  <si>
    <t xml:space="preserve">2023-11-09</t>
  </si>
  <si>
    <t xml:space="preserve">BB-MKT-00990</t>
  </si>
  <si>
    <t xml:space="preserve">AP-8746-BL</t>
  </si>
  <si>
    <t xml:space="preserve">520392394519</t>
  </si>
  <si>
    <t xml:space="preserve">0520392394519</t>
  </si>
  <si>
    <t xml:space="preserve">Apple Pavilion 15 13.3" Laptop - 64GB RAM 256GB SSD</t>
  </si>
  <si>
    <t xml:space="preserve">RAM_GB: 64 | Storage_GB: 256 | Screen_Size: 13.3" | Processor: Intel i7</t>
  </si>
  <si>
    <t xml:space="preserve">BB-MKT-00481</t>
  </si>
  <si>
    <t xml:space="preserve">NE-7020-WH</t>
  </si>
  <si>
    <t xml:space="preserve">623137480925</t>
  </si>
  <si>
    <t xml:space="preserve">0623137480925</t>
  </si>
  <si>
    <t xml:space="preserve">BB-MKT-00619</t>
  </si>
  <si>
    <t xml:space="preserve">AM-5012-BL</t>
  </si>
  <si>
    <t xml:space="preserve">317847930030</t>
  </si>
  <si>
    <t xml:space="preserve">0317847930030</t>
  </si>
  <si>
    <t xml:space="preserve">Connectivity: Bluetooth | Voice_Assistant: Apple HomeKit | Power: Battery</t>
  </si>
  <si>
    <t xml:space="preserve">BB-MKT-00764</t>
  </si>
  <si>
    <t xml:space="preserve">AP-6283-WH</t>
  </si>
  <si>
    <t xml:space="preserve">579163334617</t>
  </si>
  <si>
    <t xml:space="preserve">0579163334617</t>
  </si>
  <si>
    <t xml:space="preserve">Apple Surface Pro 9 12.9" 256GB Tablet</t>
  </si>
  <si>
    <t xml:space="preserve">Storage_GB: 256 | Screen_Size: 12.9" | Cellular: No | RAM_GB: 6</t>
  </si>
  <si>
    <t xml:space="preserve">BB-MKT-00346</t>
  </si>
  <si>
    <t xml:space="preserve">BO-5895-WH</t>
  </si>
  <si>
    <t xml:space="preserve">802146534620</t>
  </si>
  <si>
    <t xml:space="preserve">0802146534620</t>
  </si>
  <si>
    <t xml:space="preserve">Bose Evolve2 85 In-ear Wireless Headphones</t>
  </si>
  <si>
    <t xml:space="preserve">BB-MKT-00389</t>
  </si>
  <si>
    <t xml:space="preserve">AP-2999-SL</t>
  </si>
  <si>
    <t xml:space="preserve">248051031021</t>
  </si>
  <si>
    <t xml:space="preserve">0248051031021</t>
  </si>
  <si>
    <t xml:space="preserve">BB-MKT-00466</t>
  </si>
  <si>
    <t xml:space="preserve">AC-3865-BL</t>
  </si>
  <si>
    <t xml:space="preserve">556440471885</t>
  </si>
  <si>
    <t xml:space="preserve">0556440471885</t>
  </si>
  <si>
    <t xml:space="preserve">Acer Katana 15 13.3" Laptop - 64GB RAM 256GB SSD</t>
  </si>
  <si>
    <t xml:space="preserve">RAM_GB: 64 | Storage_GB: 256 | Screen_Size: 13.3" | Processor: AMD Ryzen 7</t>
  </si>
  <si>
    <t xml:space="preserve">BB-MKT-00097</t>
  </si>
  <si>
    <t xml:space="preserve">HP-9095-BL</t>
  </si>
  <si>
    <t xml:space="preserve">790514124625</t>
  </si>
  <si>
    <t xml:space="preserve">0790514124625</t>
  </si>
  <si>
    <t xml:space="preserve">HP IdeaPad 5 14" Laptop - 16GB RAM 256GB SSD</t>
  </si>
  <si>
    <t xml:space="preserve">RAM_GB: 16 | Storage_GB: 256 | Screen_Size: 14" | Processor: Intel i5</t>
  </si>
  <si>
    <t xml:space="preserve">BB-MKT-00647</t>
  </si>
  <si>
    <t xml:space="preserve">VI-9005-SL</t>
  </si>
  <si>
    <t xml:space="preserve">534826163066</t>
  </si>
  <si>
    <t xml:space="preserve">0534826163066</t>
  </si>
  <si>
    <t xml:space="preserve">Vizio 65" 4K UHD Smart TV V-Series</t>
  </si>
  <si>
    <t xml:space="preserve">BB-MKT-00252</t>
  </si>
  <si>
    <t xml:space="preserve">JA-5536-SL</t>
  </si>
  <si>
    <t xml:space="preserve">459233619065</t>
  </si>
  <si>
    <t xml:space="preserve">0459233619065</t>
  </si>
  <si>
    <t xml:space="preserve">Jabra WH-1000XM5 On-ear Wireless Headphones</t>
  </si>
  <si>
    <t xml:space="preserve">BB-MKT-00085</t>
  </si>
  <si>
    <t xml:space="preserve">WY-2874-WH</t>
  </si>
  <si>
    <t xml:space="preserve">872205467773</t>
  </si>
  <si>
    <t xml:space="preserve">0872205467773</t>
  </si>
  <si>
    <t xml:space="preserve">Connectivity: Bluetooth | Voice_Assistant: None | Power: Battery</t>
  </si>
  <si>
    <t xml:space="preserve">BB-MKT-00095</t>
  </si>
  <si>
    <t xml:space="preserve">AP-2734-WH</t>
  </si>
  <si>
    <t xml:space="preserve">577119884818</t>
  </si>
  <si>
    <t xml:space="preserve">0577119884818</t>
  </si>
  <si>
    <t xml:space="preserve">Apple Surface Pro 9 12.9" 128GB Tablet</t>
  </si>
  <si>
    <t xml:space="preserve">BB-MKT-00557</t>
  </si>
  <si>
    <t xml:space="preserve">AM-4371-WH</t>
  </si>
  <si>
    <t xml:space="preserve">964469381537</t>
  </si>
  <si>
    <t xml:space="preserve">0964469381537</t>
  </si>
  <si>
    <t xml:space="preserve">Amazon iPad Pro 12.9 12.9" 64GB Tablet</t>
  </si>
  <si>
    <t xml:space="preserve">Storage_GB: 64 | Screen_Size: 12.9" | Cellular: Yes | RAM_GB: 4</t>
  </si>
  <si>
    <t xml:space="preserve">BB-MKT-00259</t>
  </si>
  <si>
    <t xml:space="preserve">NE-7280-BK</t>
  </si>
  <si>
    <t xml:space="preserve">628132061606</t>
  </si>
  <si>
    <t xml:space="preserve">0628132061606</t>
  </si>
  <si>
    <t xml:space="preserve">Nest Ultra 2 Smart Home Device - EXTREMELY DETAILED SPEC DESCRIPTION THAT GOES WAY BEYOND THE ALLOWED CHARACTER LIMIT FOR BEST BUY MARKETPLACE LISTINGS</t>
  </si>
  <si>
    <t xml:space="preserve">BB-MKT-00487</t>
  </si>
  <si>
    <t xml:space="preserve">MI-5965-WH</t>
  </si>
  <si>
    <t xml:space="preserve">710645003343</t>
  </si>
  <si>
    <t xml:space="preserve">0710645003343</t>
  </si>
  <si>
    <t xml:space="preserve">Storage_GB: 512 | Screen_Size: 12.4" | Cellular: Yes | RAM_GB: 4</t>
  </si>
  <si>
    <t xml:space="preserve">BB-MKT-00849</t>
  </si>
  <si>
    <t xml:space="preserve">BE-1232-BL</t>
  </si>
  <si>
    <t xml:space="preserve">668508743067</t>
  </si>
  <si>
    <t xml:space="preserve">0668508743067</t>
  </si>
  <si>
    <t xml:space="preserve">Beats Evolve2 85 On-ear Both Headphones</t>
  </si>
  <si>
    <t xml:space="preserve">BB-MKT-00500</t>
  </si>
  <si>
    <t xml:space="preserve">AR-4900-BK</t>
  </si>
  <si>
    <t xml:space="preserve">202583424970</t>
  </si>
  <si>
    <t xml:space="preserve">0202583424970</t>
  </si>
  <si>
    <t xml:space="preserve">BB-MKT-00040</t>
  </si>
  <si>
    <t xml:space="preserve">AM-3977-BK</t>
  </si>
  <si>
    <t xml:space="preserve">610529239139</t>
  </si>
  <si>
    <t xml:space="preserve">0610529239139</t>
  </si>
  <si>
    <t xml:space="preserve">Amazon Fire HD 10 8" 64GB Tablet</t>
  </si>
  <si>
    <t xml:space="preserve">BB-MKT-00390</t>
  </si>
  <si>
    <t xml:space="preserve">AC-9608-SL</t>
  </si>
  <si>
    <t xml:space="preserve">384827149561</t>
  </si>
  <si>
    <t xml:space="preserve">0384827149561</t>
  </si>
  <si>
    <t xml:space="preserve">Acer MacBook Air 15.6" Laptop - 8GB RAM 512GB SSD</t>
  </si>
  <si>
    <t xml:space="preserve">RAM_GB: 8 | Storage_GB: 512 | Screen_Size: 15.6" | Processor: AMD Ryzen 7</t>
  </si>
  <si>
    <t xml:space="preserve">2025-03-24</t>
  </si>
  <si>
    <t xml:space="preserve">BB-MKT-00028</t>
  </si>
  <si>
    <t xml:space="preserve">AP-5573-SL</t>
  </si>
  <si>
    <t xml:space="preserve">950261314384</t>
  </si>
  <si>
    <t xml:space="preserve">0950261314384</t>
  </si>
  <si>
    <t xml:space="preserve">Apple Pavilion 15 15.6" Laptop - 64GB RAM 512GB SSD</t>
  </si>
  <si>
    <t xml:space="preserve">RAM_GB: 64 | Storage_GB: 512 | Screen_Size: 15.6" | Processor: Intel i5</t>
  </si>
  <si>
    <t xml:space="preserve">BB-MKT-00503</t>
  </si>
  <si>
    <t xml:space="preserve">AP-2999-WH</t>
  </si>
  <si>
    <t xml:space="preserve">498146117496</t>
  </si>
  <si>
    <t xml:space="preserve">0498146117496</t>
  </si>
  <si>
    <t xml:space="preserve">Apple Katana 15 16" Laptop - 16GB RAM 512GB SSD</t>
  </si>
  <si>
    <t xml:space="preserve">2025-01-18</t>
  </si>
  <si>
    <t xml:space="preserve">BB-MKT-00702</t>
  </si>
  <si>
    <t xml:space="preserve">MI-4190-SL</t>
  </si>
  <si>
    <t xml:space="preserve">566633796533</t>
  </si>
  <si>
    <t xml:space="preserve">0566633796533</t>
  </si>
  <si>
    <t xml:space="preserve">Microsoft Tab P12 Pro 10.1" 512GB Tablet</t>
  </si>
  <si>
    <t xml:space="preserve">BB-MKT-00636</t>
  </si>
  <si>
    <t xml:space="preserve">TC-2895-BL</t>
  </si>
  <si>
    <t xml:space="preserve">593476317261</t>
  </si>
  <si>
    <t xml:space="preserve">0593476317261</t>
  </si>
  <si>
    <t xml:space="preserve">TCL 55" 1080p Full HD Smart TV QLED 4K</t>
  </si>
  <si>
    <t xml:space="preserve">BB-MKT-00602</t>
  </si>
  <si>
    <t xml:space="preserve">TC-8580-BK</t>
  </si>
  <si>
    <t xml:space="preserve">604619824871</t>
  </si>
  <si>
    <t xml:space="preserve">0604619824871</t>
  </si>
  <si>
    <t xml:space="preserve">TCL 65" 1080p Full HD Smart TV QLED 4K</t>
  </si>
  <si>
    <t xml:space="preserve">Screen_Size: 65" | Resolution: 1080p Full HD | Smart_TV: Yes | HDR: HDR10+</t>
  </si>
  <si>
    <t xml:space="preserve">BB-MKT-00706</t>
  </si>
  <si>
    <t xml:space="preserve">AM-4794-WH</t>
  </si>
  <si>
    <t xml:space="preserve">201472694275</t>
  </si>
  <si>
    <t xml:space="preserve">0201472694275</t>
  </si>
  <si>
    <t xml:space="preserve">Amazon iPad Pro 12.9 10.1" 256GB Tablet</t>
  </si>
  <si>
    <t xml:space="preserve">Storage_GB: 256 | Screen_Size: 10.1" | Cellular: Yes | RAM_GB: 12</t>
  </si>
  <si>
    <t xml:space="preserve">2024-09-21</t>
  </si>
  <si>
    <t xml:space="preserve">BB-MKT-00962</t>
  </si>
  <si>
    <t xml:space="preserve">AP-2765-SL</t>
  </si>
  <si>
    <t xml:space="preserve">421843513958</t>
  </si>
  <si>
    <t xml:space="preserve">0421843513958</t>
  </si>
  <si>
    <t xml:space="preserve">Apple Fire HD 10 12.9" 64GB Tablet</t>
  </si>
  <si>
    <t xml:space="preserve">Storage_GB: 64 | Screen_Size: 12.9" | Cellular: Yes | RAM_GB: 8</t>
  </si>
  <si>
    <t xml:space="preserve">BB-MKT-00101</t>
  </si>
  <si>
    <t xml:space="preserve">VI-7697-SL</t>
  </si>
  <si>
    <t xml:space="preserve">526416780991</t>
  </si>
  <si>
    <t xml:space="preserve">0526416780991</t>
  </si>
  <si>
    <t xml:space="preserve">Screen_Size: 65" | Resolution: 1080p Full HD | Smart_TV: Yes | HDR: Dolby Vision</t>
  </si>
  <si>
    <t xml:space="preserve">BB-MKT-00552</t>
  </si>
  <si>
    <t xml:space="preserve">AC-1659-WH</t>
  </si>
  <si>
    <t xml:space="preserve">420283290822</t>
  </si>
  <si>
    <t xml:space="preserve">0420283290822</t>
  </si>
  <si>
    <t xml:space="preserve">RAM_GB: 64 | Storage_GB: 256 | Screen_Size: 13.3" | Processor: AMD Ryzen 5</t>
  </si>
  <si>
    <t xml:space="preserve">2024-12-03</t>
  </si>
  <si>
    <t xml:space="preserve">BB-MKT-00393</t>
  </si>
  <si>
    <t xml:space="preserve">AP-6536-BL</t>
  </si>
  <si>
    <t xml:space="preserve">461610543448</t>
  </si>
  <si>
    <t xml:space="preserve">0461610543448</t>
  </si>
  <si>
    <t xml:space="preserve">Apple Tour One In-ear Both Headphones</t>
  </si>
  <si>
    <t xml:space="preserve">BB-MKT-00485</t>
  </si>
  <si>
    <t xml:space="preserve">AP-2578-BK</t>
  </si>
  <si>
    <t xml:space="preserve">784200112629</t>
  </si>
  <si>
    <t xml:space="preserve">0784200112629</t>
  </si>
  <si>
    <t xml:space="preserve">Storage_GB: 512 | Screen_Size: 12.9" | Cellular: No | RAM_GB: 6</t>
  </si>
  <si>
    <t xml:space="preserve">BB-MKT-00262</t>
  </si>
  <si>
    <t xml:space="preserve">AP-3768-BK</t>
  </si>
  <si>
    <t xml:space="preserve">656583492617</t>
  </si>
  <si>
    <t xml:space="preserve">0656583492617</t>
  </si>
  <si>
    <t xml:space="preserve">BB-MKT-00787</t>
  </si>
  <si>
    <t xml:space="preserve">MI-7215-BK</t>
  </si>
  <si>
    <t xml:space="preserve">768014241670</t>
  </si>
  <si>
    <t xml:space="preserve">0768014241670</t>
  </si>
  <si>
    <t xml:space="preserve">Microsoft Galaxy Tab S9 8" 64GB Tablet</t>
  </si>
  <si>
    <t xml:space="preserve">BB-MKT-00328</t>
  </si>
  <si>
    <t xml:space="preserve">NE-2650-SL</t>
  </si>
  <si>
    <t xml:space="preserve">517517002314</t>
  </si>
  <si>
    <t xml:space="preserve">0517517002314</t>
  </si>
  <si>
    <t xml:space="preserve">2023-11-05</t>
  </si>
  <si>
    <t xml:space="preserve">BB-MKT-00512</t>
  </si>
  <si>
    <t xml:space="preserve">LE-6453-WH</t>
  </si>
  <si>
    <t xml:space="preserve">156086914128</t>
  </si>
  <si>
    <t xml:space="preserve">0156086914128</t>
  </si>
  <si>
    <t xml:space="preserve">Storage_GB: 256 | Screen_Size: 8" | Cellular: Yes | RAM_GB: 16</t>
  </si>
  <si>
    <t xml:space="preserve">BB-MKT-00033</t>
  </si>
  <si>
    <t xml:space="preserve">LE-4262-WH</t>
  </si>
  <si>
    <t xml:space="preserve">985728087295</t>
  </si>
  <si>
    <t xml:space="preserve">0985728087295</t>
  </si>
  <si>
    <t xml:space="preserve">Lenovo Aspire 5 14" Laptop - 32GB RAM 256GB SSD</t>
  </si>
  <si>
    <t xml:space="preserve">BB-MKT-00504</t>
  </si>
  <si>
    <t xml:space="preserve">SO-6196-BL</t>
  </si>
  <si>
    <t xml:space="preserve">584970058198</t>
  </si>
  <si>
    <t xml:space="preserve">0584970058198</t>
  </si>
  <si>
    <t xml:space="preserve">BB-MKT-00696</t>
  </si>
  <si>
    <t xml:space="preserve">SE-8543-WH</t>
  </si>
  <si>
    <t xml:space="preserve">422721047781</t>
  </si>
  <si>
    <t xml:space="preserve">0422721047781</t>
  </si>
  <si>
    <t xml:space="preserve">Sennheiser Tour One Over-ear Wireless Headphones</t>
  </si>
  <si>
    <t xml:space="preserve">Type: Over-ear | Connectivity: Wireless | ANC: Yes | Battery_Hours: 30</t>
  </si>
  <si>
    <t xml:space="preserve">BB-MKT-00813</t>
  </si>
  <si>
    <t xml:space="preserve">AP-4451-BL</t>
  </si>
  <si>
    <t xml:space="preserve">907407489066</t>
  </si>
  <si>
    <t xml:space="preserve">0907407489066</t>
  </si>
  <si>
    <t xml:space="preserve">Apple Tour One On-ear Wireless Headphones</t>
  </si>
  <si>
    <t xml:space="preserve">Type: On-ear | Connectivity: Wireless | ANC: Yes | Battery_Hours: 20</t>
  </si>
  <si>
    <t xml:space="preserve">BB-MKT-00608</t>
  </si>
  <si>
    <t xml:space="preserve">AR-5476-WH</t>
  </si>
  <si>
    <t xml:space="preserve">111869524603</t>
  </si>
  <si>
    <t xml:space="preserve">0111869524603</t>
  </si>
  <si>
    <t xml:space="preserve">2024-07-18</t>
  </si>
  <si>
    <t xml:space="preserve">BB-MKT-00630</t>
  </si>
  <si>
    <t xml:space="preserve">SA-1486-WH</t>
  </si>
  <si>
    <t xml:space="preserve">473938159819</t>
  </si>
  <si>
    <t xml:space="preserve">0473938159819</t>
  </si>
  <si>
    <t xml:space="preserve">Samsung 43" 8K Smart TV Bravia XR</t>
  </si>
  <si>
    <t xml:space="preserve">BB-MKT-00651</t>
  </si>
  <si>
    <t xml:space="preserve">SO-5206-BK</t>
  </si>
  <si>
    <t xml:space="preserve">714557511328</t>
  </si>
  <si>
    <t xml:space="preserve">0714557511328</t>
  </si>
  <si>
    <t xml:space="preserve">Sony WH-1000XM5 Over-ear Both Headphones</t>
  </si>
  <si>
    <t xml:space="preserve">BB-MKT-00490</t>
  </si>
  <si>
    <t xml:space="preserve">AP-5995-BK</t>
  </si>
  <si>
    <t xml:space="preserve">171674376731</t>
  </si>
  <si>
    <t xml:space="preserve">0171674376731</t>
  </si>
  <si>
    <t xml:space="preserve">Apple Pavilion 15 15.6" Laptop - 16GB RAM 256GB SSD</t>
  </si>
  <si>
    <t xml:space="preserve">RAM_GB: 16 | Storage_GB: 256 | Screen_Size: 15.6" | Processor: Apple M2</t>
  </si>
  <si>
    <t xml:space="preserve">BB-MKT-00604</t>
  </si>
  <si>
    <t xml:space="preserve">AP-4559-BL</t>
  </si>
  <si>
    <t xml:space="preserve">897567025875</t>
  </si>
  <si>
    <t xml:space="preserve">0897567025875</t>
  </si>
  <si>
    <t xml:space="preserve">Apple Galaxy Tab S9 11" 128GB Tablet</t>
  </si>
  <si>
    <t xml:space="preserve">Storage_GB: 128 | Screen_Size: 11" | Cellular: No | RAM_GB: 4</t>
  </si>
  <si>
    <t xml:space="preserve">BB-MKT-00439</t>
  </si>
  <si>
    <t xml:space="preserve">AP-5439-BL</t>
  </si>
  <si>
    <t xml:space="preserve">255504274075</t>
  </si>
  <si>
    <t xml:space="preserve">0255504274075</t>
  </si>
  <si>
    <t xml:space="preserve">Apple MacBook Air 16" Laptop - 32GB RAM 512GB SSD</t>
  </si>
  <si>
    <t xml:space="preserve">BB-MKT-00312</t>
  </si>
  <si>
    <t xml:space="preserve">SA-9680-BL</t>
  </si>
  <si>
    <t xml:space="preserve">151001982033</t>
  </si>
  <si>
    <t xml:space="preserve">0151001982033</t>
  </si>
  <si>
    <t xml:space="preserve">Samsung Fire HD 10 12.4" 64GB Tablet</t>
  </si>
  <si>
    <t xml:space="preserve">Storage_GB: 64 | Screen_Size: 12.4" | Cellular: No | RAM_GB: 8</t>
  </si>
  <si>
    <t xml:space="preserve">BB-MKT-00214</t>
  </si>
  <si>
    <t xml:space="preserve">PH-4201-WH</t>
  </si>
  <si>
    <t xml:space="preserve">953721873297</t>
  </si>
  <si>
    <t xml:space="preserve">0953721873297</t>
  </si>
  <si>
    <t xml:space="preserve">BB-MKT-00384</t>
  </si>
  <si>
    <t xml:space="preserve">AM-3459-WH</t>
  </si>
  <si>
    <t xml:space="preserve">825296733937</t>
  </si>
  <si>
    <t xml:space="preserve">0982132389601</t>
  </si>
  <si>
    <t xml:space="preserve">Amazon Tab P12 Pro 10.1" 64GB Tablet</t>
  </si>
  <si>
    <t xml:space="preserve">BB-MKT-00398</t>
  </si>
  <si>
    <t xml:space="preserve">BO-8526-BL</t>
  </si>
  <si>
    <t xml:space="preserve">141766712855</t>
  </si>
  <si>
    <t xml:space="preserve">0319926305177</t>
  </si>
  <si>
    <t xml:space="preserve">Bose Studio Pro Over-ear Both Headphones</t>
  </si>
  <si>
    <t xml:space="preserve">2024-12-07</t>
  </si>
  <si>
    <t xml:space="preserve">BB-MKT-00835</t>
  </si>
  <si>
    <t xml:space="preserve">TC-9594-BL</t>
  </si>
  <si>
    <t xml:space="preserve">983157653494</t>
  </si>
  <si>
    <t xml:space="preserve">0983157653494</t>
  </si>
  <si>
    <t xml:space="preserve">BB-MKT-00308</t>
  </si>
  <si>
    <t xml:space="preserve">AP-1642-WH</t>
  </si>
  <si>
    <t xml:space="preserve">665344571298</t>
  </si>
  <si>
    <t xml:space="preserve">0665344571298</t>
  </si>
  <si>
    <t xml:space="preserve">Apple Galaxy Tab S9 10.1" 64GB Tablet</t>
  </si>
  <si>
    <t xml:space="preserve">BB-MKT-00612</t>
  </si>
  <si>
    <t xml:space="preserve">BO-8516-WH</t>
  </si>
  <si>
    <t xml:space="preserve">333599777962</t>
  </si>
  <si>
    <t xml:space="preserve">0333599777962</t>
  </si>
  <si>
    <t xml:space="preserve">Bose WH-1000XM5 On-ear Both Headphones</t>
  </si>
  <si>
    <t xml:space="preserve">BB-MKT-00715</t>
  </si>
  <si>
    <t xml:space="preserve">SA-3885-BK</t>
  </si>
  <si>
    <t xml:space="preserve">796867339882</t>
  </si>
  <si>
    <t xml:space="preserve">0796867339882</t>
  </si>
  <si>
    <t xml:space="preserve">Samsung iPad Pro 12.9 8" 128GB Tablet</t>
  </si>
  <si>
    <t xml:space="preserve">Storage_GB: 128 | Screen_Size: 8" | Cellular: No | RAM_GB: 8</t>
  </si>
  <si>
    <t xml:space="preserve">BB-MKT-00011</t>
  </si>
  <si>
    <t xml:space="preserve">SA-2133-WH</t>
  </si>
  <si>
    <t xml:space="preserve">995440510689</t>
  </si>
  <si>
    <t xml:space="preserve">0995440510689</t>
  </si>
  <si>
    <t xml:space="preserve">Samsung 75" 4K UHD Smart TV OLED C3</t>
  </si>
  <si>
    <t xml:space="preserve">Screen_Size: 75" | Resolution: 4K UHD | Smart_TV: Yes | HDR: HDR10+</t>
  </si>
  <si>
    <t xml:space="preserve">BB-MKT-00413</t>
  </si>
  <si>
    <t xml:space="preserve">HP-7813-BL</t>
  </si>
  <si>
    <t xml:space="preserve">250687482084</t>
  </si>
  <si>
    <t xml:space="preserve">0250687482084</t>
  </si>
  <si>
    <t xml:space="preserve">HP MacBook Air 16" Laptop - 64GB RAM 1024GB SSD</t>
  </si>
  <si>
    <t xml:space="preserve">2025-02-03</t>
  </si>
  <si>
    <t xml:space="preserve">BB-MKT-00678</t>
  </si>
  <si>
    <t xml:space="preserve">HP-6996-BL</t>
  </si>
  <si>
    <t xml:space="preserve">482145257023</t>
  </si>
  <si>
    <t xml:space="preserve">0482145257023</t>
  </si>
  <si>
    <t xml:space="preserve">HP Pavilion 15 15.6" Laptop - 64GB RAM 1024GB SSD</t>
  </si>
  <si>
    <t xml:space="preserve">BB-MKT-00367</t>
  </si>
  <si>
    <t xml:space="preserve">AP-1893-WH</t>
  </si>
  <si>
    <t xml:space="preserve">912231451885</t>
  </si>
  <si>
    <t xml:space="preserve">0912231451885</t>
  </si>
  <si>
    <t xml:space="preserve">BB-MKT-00433</t>
  </si>
  <si>
    <t xml:space="preserve">HP-6041-BL</t>
  </si>
  <si>
    <t xml:space="preserve">696110275650</t>
  </si>
  <si>
    <t xml:space="preserve">0696110275650</t>
  </si>
  <si>
    <t xml:space="preserve">HP XPS 15 16" Laptop - 16GB RAM 512GB SSD</t>
  </si>
  <si>
    <t xml:space="preserve">RAM_GB: 16 | Storage_GB: 512 | Screen_Size: 16" | Processor: Intel i5</t>
  </si>
  <si>
    <t xml:space="preserve">BB-MKT-00122</t>
  </si>
  <si>
    <t xml:space="preserve">HP-6236-SL</t>
  </si>
  <si>
    <t xml:space="preserve">198772489942</t>
  </si>
  <si>
    <t xml:space="preserve">0198772489942</t>
  </si>
  <si>
    <t xml:space="preserve">HP Katana 15 14" Laptop - 8GB RAM 512GB SSD</t>
  </si>
  <si>
    <t xml:space="preserve">BB-MKT-00464</t>
  </si>
  <si>
    <t xml:space="preserve">SA-6756-SL</t>
  </si>
  <si>
    <t xml:space="preserve">479179686078</t>
  </si>
  <si>
    <t xml:space="preserve">0479179686078</t>
  </si>
  <si>
    <t xml:space="preserve">Samsung Tab P12 Pro 12.4" 256GB Tablet</t>
  </si>
  <si>
    <t xml:space="preserve">2024-10-19</t>
  </si>
  <si>
    <t xml:space="preserve">BB-MKT-00847</t>
  </si>
  <si>
    <t xml:space="preserve">AR-9938-BK</t>
  </si>
  <si>
    <t xml:space="preserve">927414920416</t>
  </si>
  <si>
    <t xml:space="preserve">0927414920416</t>
  </si>
  <si>
    <t xml:space="preserve">BB-MKT-00069</t>
  </si>
  <si>
    <t xml:space="preserve">BE-9702-BL</t>
  </si>
  <si>
    <t xml:space="preserve">366913189856</t>
  </si>
  <si>
    <t xml:space="preserve">0366913189856</t>
  </si>
  <si>
    <t xml:space="preserve">Beats WH-1000XM5 On-ear Wired Headphones</t>
  </si>
  <si>
    <t xml:space="preserve">BB-MKT-00767</t>
  </si>
  <si>
    <t xml:space="preserve">HI-1097-BL</t>
  </si>
  <si>
    <t xml:space="preserve">542922521801</t>
  </si>
  <si>
    <t xml:space="preserve">0542922521801</t>
  </si>
  <si>
    <t xml:space="preserve">Hisense 75" 8K Smart TV U8K</t>
  </si>
  <si>
    <t xml:space="preserve">BB-MKT-00838</t>
  </si>
  <si>
    <t xml:space="preserve">LG-8679-WH</t>
  </si>
  <si>
    <t xml:space="preserve">164831305435</t>
  </si>
  <si>
    <t xml:space="preserve">0164831305435</t>
  </si>
  <si>
    <t xml:space="preserve">LG 43" 1080p Full HD Smart TV V-Series</t>
  </si>
  <si>
    <t xml:space="preserve">BB-MKT-00191</t>
  </si>
  <si>
    <t xml:space="preserve">SA-9808-SL</t>
  </si>
  <si>
    <t xml:space="preserve">345993620171</t>
  </si>
  <si>
    <t xml:space="preserve">0345993620171</t>
  </si>
  <si>
    <t xml:space="preserve">BB-MKT-00213</t>
  </si>
  <si>
    <t xml:space="preserve">LG-6090-SL</t>
  </si>
  <si>
    <t xml:space="preserve">412957225436</t>
  </si>
  <si>
    <t xml:space="preserve">0412957225436</t>
  </si>
  <si>
    <t xml:space="preserve">2023-11-22</t>
  </si>
  <si>
    <t xml:space="preserve">BB-MKT-00977</t>
  </si>
  <si>
    <t xml:space="preserve">VI-2136-WH</t>
  </si>
  <si>
    <t xml:space="preserve">584778702407</t>
  </si>
  <si>
    <t xml:space="preserve">0584778702407</t>
  </si>
  <si>
    <t xml:space="preserve">BB-MKT-00303</t>
  </si>
  <si>
    <t xml:space="preserve">HI-3395-BL</t>
  </si>
  <si>
    <t xml:space="preserve">293957383401</t>
  </si>
  <si>
    <t xml:space="preserve">0293957383401</t>
  </si>
  <si>
    <t xml:space="preserve">Hisense 50" 1080p Full HD Smart TV V-Series</t>
  </si>
  <si>
    <t xml:space="preserve">BB-MKT-00971</t>
  </si>
  <si>
    <t xml:space="preserve">JB-8998-SL</t>
  </si>
  <si>
    <t xml:space="preserve">310028521336</t>
  </si>
  <si>
    <t xml:space="preserve">0310028521336</t>
  </si>
  <si>
    <t xml:space="preserve">BB-MKT-00017</t>
  </si>
  <si>
    <t xml:space="preserve">LE-7396-SL</t>
  </si>
  <si>
    <t xml:space="preserve">101627677155</t>
  </si>
  <si>
    <t xml:space="preserve">0101627677155</t>
  </si>
  <si>
    <t xml:space="preserve">Lenovo Tab P12 Pro 12.4" 128GB Tablet</t>
  </si>
  <si>
    <t xml:space="preserve">BB-MKT-00915</t>
  </si>
  <si>
    <t xml:space="preserve">HI-4377-SL</t>
  </si>
  <si>
    <t xml:space="preserve">262233765324</t>
  </si>
  <si>
    <t xml:space="preserve">0262233765324</t>
  </si>
  <si>
    <t xml:space="preserve">Hisense 85" 1080p Full HD Smart TV Bravia XR</t>
  </si>
  <si>
    <t xml:space="preserve">BB-MKT-00099</t>
  </si>
  <si>
    <t xml:space="preserve">BE-7299-BL</t>
  </si>
  <si>
    <t xml:space="preserve">656602334572</t>
  </si>
  <si>
    <t xml:space="preserve">0656602334572</t>
  </si>
  <si>
    <t xml:space="preserve">BB-MKT-00654</t>
  </si>
  <si>
    <t xml:space="preserve">NE-8472-BK</t>
  </si>
  <si>
    <t xml:space="preserve">538788115568</t>
  </si>
  <si>
    <t xml:space="preserve">0538788115568</t>
  </si>
  <si>
    <t xml:space="preserve">Nest Echo Show 10 Smart Home Device</t>
  </si>
  <si>
    <t xml:space="preserve">Transform your home with the Nest Echo Show 10. Easy setup and seamless smart home integration.</t>
  </si>
  <si>
    <t xml:space="preserve">https://images.bestbuy.com/marketplace/nest-echo-show-10-main.jpg</t>
  </si>
  <si>
    <t xml:space="preserve">BB-MKT-00555</t>
  </si>
  <si>
    <t xml:space="preserve">SO-9863-BK</t>
  </si>
  <si>
    <t xml:space="preserve">471065405201</t>
  </si>
  <si>
    <t xml:space="preserve">0471065405201</t>
  </si>
  <si>
    <t xml:space="preserve">Sony Studio Pro In-ear Both Headphones</t>
  </si>
  <si>
    <t xml:space="preserve">BB-MKT-00215</t>
  </si>
  <si>
    <t xml:space="preserve">LE-4902-BL</t>
  </si>
  <si>
    <t xml:space="preserve">680701888065</t>
  </si>
  <si>
    <t xml:space="preserve">0680701888065</t>
  </si>
  <si>
    <t xml:space="preserve">Lenovo XPS 15 15.6" Laptop - 64GB RAM 1024GB SSD</t>
  </si>
  <si>
    <t xml:space="preserve">RAM_GB: 64 | Storage_GB: 1024 | Screen_Size: 15.6" | Processor: Intel i5</t>
  </si>
  <si>
    <t xml:space="preserve">BB-MKT-00869</t>
  </si>
  <si>
    <t xml:space="preserve">AS-7050-SL</t>
  </si>
  <si>
    <t xml:space="preserve">153116307763</t>
  </si>
  <si>
    <t xml:space="preserve">0153116307763</t>
  </si>
  <si>
    <t xml:space="preserve">ASUS IdeaPad 5 16" Laptop - 8GB RAM 256GB SSD</t>
  </si>
  <si>
    <t xml:space="preserve">RAM_GB: 8 | Storage_GB: 256 | Screen_Size: 16" | Processor: AMD Ryzen 7</t>
  </si>
  <si>
    <t xml:space="preserve">2024-07-13</t>
  </si>
  <si>
    <t xml:space="preserve">BB-MKT-00416</t>
  </si>
  <si>
    <t xml:space="preserve">AM-9834-SL</t>
  </si>
  <si>
    <t xml:space="preserve">798722777484</t>
  </si>
  <si>
    <t xml:space="preserve">0798722777484</t>
  </si>
  <si>
    <t xml:space="preserve">BB-MKT-00248</t>
  </si>
  <si>
    <t xml:space="preserve">AM-8308-WH</t>
  </si>
  <si>
    <t xml:space="preserve">754934352045</t>
  </si>
  <si>
    <t xml:space="preserve">0754934352045</t>
  </si>
  <si>
    <t xml:space="preserve">Amazon Tab P12 Pro 8" 64GB Tablet</t>
  </si>
  <si>
    <t xml:space="preserve">BB-MKT-00314</t>
  </si>
  <si>
    <t xml:space="preserve">AP-4365-SL</t>
  </si>
  <si>
    <t xml:space="preserve">512347758641</t>
  </si>
  <si>
    <t xml:space="preserve">0512347758641</t>
  </si>
  <si>
    <t xml:space="preserve">Apple MacBook Air 13.3" Laptop - 8GB RAM 1024GB SSD</t>
  </si>
  <si>
    <t xml:space="preserve">RAM_GB: 8 | Storage_GB: 1024 | Screen_Size: 13.3" | Processor: Apple M2</t>
  </si>
  <si>
    <t xml:space="preserve">BB-MKT-00956</t>
  </si>
  <si>
    <t xml:space="preserve">HI-1867-SL</t>
  </si>
  <si>
    <t xml:space="preserve">774184832612</t>
  </si>
  <si>
    <t xml:space="preserve">0774184832612</t>
  </si>
  <si>
    <t xml:space="preserve">Hisense 65" 4K UHD Smart TV U8K</t>
  </si>
  <si>
    <t xml:space="preserve">BB-MKT-00074</t>
  </si>
  <si>
    <t xml:space="preserve">AP-7807-WH</t>
  </si>
  <si>
    <t xml:space="preserve">921742001498</t>
  </si>
  <si>
    <t xml:space="preserve">0921742001498</t>
  </si>
  <si>
    <t xml:space="preserve">Apple Fire HD 10 10.1" 256GB Tablet</t>
  </si>
  <si>
    <t xml:space="preserve">Storage_GB: 256 | Screen_Size: 10.1" | Cellular: Yes | RAM_GB: 8</t>
  </si>
  <si>
    <t xml:space="preserve">BB-MKT-00508</t>
  </si>
  <si>
    <t xml:space="preserve">GO-4248-SL</t>
  </si>
  <si>
    <t xml:space="preserve">610989986979</t>
  </si>
  <si>
    <t xml:space="preserve">0610989986979</t>
  </si>
  <si>
    <t xml:space="preserve">BB-MKT-00111</t>
  </si>
  <si>
    <t xml:space="preserve">MS-8489-BK</t>
  </si>
  <si>
    <t xml:space="preserve">560585590540</t>
  </si>
  <si>
    <t xml:space="preserve">0560585590540</t>
  </si>
  <si>
    <t xml:space="preserve">MSI IdeaPad 5 13.3" Laptop - 16GB RAM 512GB SSD</t>
  </si>
  <si>
    <t xml:space="preserve">RAM_GB: 16 | Storage_GB: 512 | Screen_Size: 13.3" | Processor: Intel i5</t>
  </si>
  <si>
    <t xml:space="preserve">BB-MKT-00517</t>
  </si>
  <si>
    <t xml:space="preserve">JA-3425-BK</t>
  </si>
  <si>
    <t xml:space="preserve">893906830518</t>
  </si>
  <si>
    <t xml:space="preserve">0893906830518</t>
  </si>
  <si>
    <t xml:space="preserve">Type: On-ear | Connectivity: Wired | ANC: No | Battery_Hours: 20</t>
  </si>
  <si>
    <t xml:space="preserve">BB-MKT-00734</t>
  </si>
  <si>
    <t xml:space="preserve">JB-9123-BL</t>
  </si>
  <si>
    <t xml:space="preserve">992258816064</t>
  </si>
  <si>
    <t xml:space="preserve">0992258816064</t>
  </si>
  <si>
    <t xml:space="preserve">JBL QuietComfort 45 Over-ear Wired Headphones</t>
  </si>
  <si>
    <t xml:space="preserve">BB-MKT-00911</t>
  </si>
  <si>
    <t xml:space="preserve">LE-8163-BK</t>
  </si>
  <si>
    <t xml:space="preserve">118783929373</t>
  </si>
  <si>
    <t xml:space="preserve">0118783929373</t>
  </si>
  <si>
    <t xml:space="preserve">Lenovo Tab P12 Pro 12.9" 64GB Tablet</t>
  </si>
  <si>
    <t xml:space="preserve">Storage_GB: 64 | Screen_Size: 12.9" | Cellular: Yes | RAM_GB: 16</t>
  </si>
  <si>
    <t xml:space="preserve">BB-MKT-00840</t>
  </si>
  <si>
    <t xml:space="preserve">AP-9557-BL</t>
  </si>
  <si>
    <t xml:space="preserve">237878423678</t>
  </si>
  <si>
    <t xml:space="preserve">0237878423678</t>
  </si>
  <si>
    <t xml:space="preserve">Apple Pavilion 15 15.6" Laptop - 32GB RAM 256GB SSD</t>
  </si>
  <si>
    <t xml:space="preserve">RAM_GB: 32 | Storage_GB: 256 | Screen_Size: 15.6" | Processor: Apple M2</t>
  </si>
  <si>
    <t xml:space="preserve">BB-MKT-00711</t>
  </si>
  <si>
    <t xml:space="preserve">AP-1934-WH</t>
  </si>
  <si>
    <t xml:space="preserve">808572673440</t>
  </si>
  <si>
    <t xml:space="preserve">0808572673440</t>
  </si>
  <si>
    <t xml:space="preserve">Apple VivoBook 16 13.3" Laptop - 64GB RAM 512GB SSD</t>
  </si>
  <si>
    <t xml:space="preserve">BB-MKT-00519</t>
  </si>
  <si>
    <t xml:space="preserve">LE-1473-BK</t>
  </si>
  <si>
    <t xml:space="preserve">268893311127</t>
  </si>
  <si>
    <t xml:space="preserve">0268893311127</t>
  </si>
  <si>
    <t xml:space="preserve">Lenovo MacBook Air 15.6" Laptop - 8GB RAM 512GB SSD</t>
  </si>
  <si>
    <t xml:space="preserve">BB-MKT-00465</t>
  </si>
  <si>
    <t xml:space="preserve">LE-2410-WH</t>
  </si>
  <si>
    <t xml:space="preserve">747833589117</t>
  </si>
  <si>
    <t xml:space="preserve">0747833589117</t>
  </si>
  <si>
    <t xml:space="preserve">Lenovo Surface Pro 9 12.4" 128GB Tablet</t>
  </si>
  <si>
    <t xml:space="preserve">Storage_GB: 128 | Screen_Size: 12.4" | Cellular: No | RAM_GB: 6</t>
  </si>
  <si>
    <t xml:space="preserve">BB-MKT-00660</t>
  </si>
  <si>
    <t xml:space="preserve">SA-9529-WH</t>
  </si>
  <si>
    <t xml:space="preserve">572242891228</t>
  </si>
  <si>
    <t xml:space="preserve">0572242891228</t>
  </si>
  <si>
    <t xml:space="preserve">2024-12-04</t>
  </si>
  <si>
    <t xml:space="preserve">BB-MKT-00232</t>
  </si>
  <si>
    <t xml:space="preserve">HP-5345-WH</t>
  </si>
  <si>
    <t xml:space="preserve">110508195555</t>
  </si>
  <si>
    <t xml:space="preserve">0110508195555</t>
  </si>
  <si>
    <t xml:space="preserve">HP IdeaPad 5 13.3" Laptop - 32GB RAM 256GB SSD</t>
  </si>
  <si>
    <t xml:space="preserve">BB-MKT-00109</t>
  </si>
  <si>
    <t xml:space="preserve">RI-6221-BK</t>
  </si>
  <si>
    <t xml:space="preserve">131029157713</t>
  </si>
  <si>
    <t xml:space="preserve">0131029157713</t>
  </si>
  <si>
    <t xml:space="preserve">BB-MKT-00901</t>
  </si>
  <si>
    <t xml:space="preserve">LE-8078-SL</t>
  </si>
  <si>
    <t xml:space="preserve">933505231225</t>
  </si>
  <si>
    <t xml:space="preserve">0933505231225</t>
  </si>
  <si>
    <t xml:space="preserve">BB-MKT-00705</t>
  </si>
  <si>
    <t xml:space="preserve">BE-9250-BK</t>
  </si>
  <si>
    <t xml:space="preserve">548099599573</t>
  </si>
  <si>
    <t xml:space="preserve">0548099599573</t>
  </si>
  <si>
    <t xml:space="preserve">Beats Tour One In-ear Wired Headphones</t>
  </si>
  <si>
    <t xml:space="preserve">BB-MKT-00852</t>
  </si>
  <si>
    <t xml:space="preserve">SE-8542-BK</t>
  </si>
  <si>
    <t xml:space="preserve">510761848676</t>
  </si>
  <si>
    <t xml:space="preserve">0510761848676</t>
  </si>
  <si>
    <t xml:space="preserve">Type: Over-ear | Connectivity: Wireless | ANC: Yes | Battery_Hours: 24</t>
  </si>
  <si>
    <t xml:space="preserve">BB-MKT-00768</t>
  </si>
  <si>
    <t xml:space="preserve">LE-6428-BK</t>
  </si>
  <si>
    <t xml:space="preserve">630709538311</t>
  </si>
  <si>
    <t xml:space="preserve">0630709538311</t>
  </si>
  <si>
    <t xml:space="preserve">Lenovo Katana 15 13.3" Laptop - 8GB RAM 512GB SSD</t>
  </si>
  <si>
    <t xml:space="preserve">RAM_GB: 8 | Storage_GB: 512 | Screen_Size: 13.3" | Processor: AMD Ryzen 5</t>
  </si>
  <si>
    <t xml:space="preserve">BB-MKT-00360</t>
  </si>
  <si>
    <t xml:space="preserve">DE-4817-SL</t>
  </si>
  <si>
    <t xml:space="preserve">373083279361</t>
  </si>
  <si>
    <t xml:space="preserve">0373083279361</t>
  </si>
  <si>
    <t xml:space="preserve">Dell VivoBook 16 14" Laptop - 32GB RAM 256GB SSD</t>
  </si>
  <si>
    <t xml:space="preserve">BB-MKT-00930</t>
  </si>
  <si>
    <t xml:space="preserve">RI-9993-BL</t>
  </si>
  <si>
    <t xml:space="preserve">948201731736</t>
  </si>
  <si>
    <t xml:space="preserve">0948201731736</t>
  </si>
  <si>
    <t xml:space="preserve">BB-MKT-00225</t>
  </si>
  <si>
    <t xml:space="preserve">SA-8728-SL</t>
  </si>
  <si>
    <t xml:space="preserve">989309877693</t>
  </si>
  <si>
    <t xml:space="preserve">0989309877693</t>
  </si>
  <si>
    <t xml:space="preserve">Samsung 75" 4K UHD Smart TV Bravia XR</t>
  </si>
  <si>
    <t xml:space="preserve">Screen_Size: 75" | Resolution: 4K UHD | Smart_TV: Yes | HDR: Dolby Vision</t>
  </si>
  <si>
    <t xml:space="preserve">BB-MKT-00403</t>
  </si>
  <si>
    <t xml:space="preserve">RI-9740-BK</t>
  </si>
  <si>
    <t xml:space="preserve">837696721747</t>
  </si>
  <si>
    <t xml:space="preserve">0837696721747</t>
  </si>
  <si>
    <t xml:space="preserve">BB-MKT-00927</t>
  </si>
  <si>
    <t xml:space="preserve">SO-9518-SL</t>
  </si>
  <si>
    <t xml:space="preserve">836424323138</t>
  </si>
  <si>
    <t xml:space="preserve">0836424323138</t>
  </si>
  <si>
    <t xml:space="preserve">Sony 85" 1080p Full HD Smart TV OLED C3</t>
  </si>
  <si>
    <t xml:space="preserve">Screen_Size: 85" | Resolution: 1080p Full HD | Smart_TV: No | HDR: Dolby Vision</t>
  </si>
  <si>
    <t xml:space="preserve">BB-MKT-00536</t>
  </si>
  <si>
    <t xml:space="preserve">LG-4431-BK</t>
  </si>
  <si>
    <t xml:space="preserve">359002212732</t>
  </si>
  <si>
    <t xml:space="preserve">0359002212732</t>
  </si>
  <si>
    <t xml:space="preserve">BB-MKT-00562</t>
  </si>
  <si>
    <t xml:space="preserve">AP-2663-WH</t>
  </si>
  <si>
    <t xml:space="preserve">748383186670</t>
  </si>
  <si>
    <t xml:space="preserve">0748383186670</t>
  </si>
  <si>
    <t xml:space="preserve">Apple Tab P12 Pro 8" 128GB Tablet</t>
  </si>
  <si>
    <t xml:space="preserve">Storage_GB: 128 | Screen_Size: 8" | Cellular: No | RAM_GB: 16</t>
  </si>
  <si>
    <t xml:space="preserve">BB-MKT-00879</t>
  </si>
  <si>
    <t xml:space="preserve">RI-9040-WH</t>
  </si>
  <si>
    <t xml:space="preserve">711104644344</t>
  </si>
  <si>
    <t xml:space="preserve">0711104644344</t>
  </si>
  <si>
    <t xml:space="preserve">BB-MKT-00750</t>
  </si>
  <si>
    <t xml:space="preserve">AC-8059-SL</t>
  </si>
  <si>
    <t xml:space="preserve">651460606683</t>
  </si>
  <si>
    <t xml:space="preserve">0651460606683</t>
  </si>
  <si>
    <t xml:space="preserve">Acer XPS 15 14" Laptop - 32GB RAM 512GB SSD</t>
  </si>
  <si>
    <t xml:space="preserve">RAM_GB: 32 | Storage_GB: 512 | Screen_Size: 14" | Processor: Intel i7</t>
  </si>
  <si>
    <t xml:space="preserve">BB-MKT-00334</t>
  </si>
  <si>
    <t xml:space="preserve">AM-6136-SL</t>
  </si>
  <si>
    <t xml:space="preserve">350583963423</t>
  </si>
  <si>
    <t xml:space="preserve">0350583963423</t>
  </si>
  <si>
    <t xml:space="preserve">Amazon Fire HD 10 8" 512GB Tablet</t>
  </si>
  <si>
    <t xml:space="preserve">BB-MKT-00120</t>
  </si>
  <si>
    <t xml:space="preserve">AM-2259-WH</t>
  </si>
  <si>
    <t xml:space="preserve">939425327436</t>
  </si>
  <si>
    <t xml:space="preserve">0939425327436</t>
  </si>
  <si>
    <t xml:space="preserve">BB-MKT-00896</t>
  </si>
  <si>
    <t xml:space="preserve">SO-8472-WH</t>
  </si>
  <si>
    <t xml:space="preserve">888940985469</t>
  </si>
  <si>
    <t xml:space="preserve">0888940985469</t>
  </si>
  <si>
    <t xml:space="preserve">Sony 50" 1080p Full HD Smart TV V-Series</t>
  </si>
  <si>
    <t xml:space="preserve">BB-MKT-00343</t>
  </si>
  <si>
    <t xml:space="preserve">SA-2477-WH</t>
  </si>
  <si>
    <t xml:space="preserve">353438306759</t>
  </si>
  <si>
    <t xml:space="preserve">0353438306759</t>
  </si>
  <si>
    <t xml:space="preserve">Samsung 55" 4K UHD Smart TV Bravia XR</t>
  </si>
  <si>
    <t xml:space="preserve">Screen_Size: 55" | Resolution: 4K UHD | Smart_TV: No | HDR: HDR10+</t>
  </si>
  <si>
    <t xml:space="preserve">BB-MKT-00922</t>
  </si>
  <si>
    <t xml:space="preserve">SE-3480-WH</t>
  </si>
  <si>
    <t xml:space="preserve">670957024827</t>
  </si>
  <si>
    <t xml:space="preserve">0670957024827</t>
  </si>
  <si>
    <t xml:space="preserve">Sennheiser Tour One Over-ear Wired Headphones</t>
  </si>
  <si>
    <t xml:space="preserve">BB-MKT-00701</t>
  </si>
  <si>
    <t xml:space="preserve">NE-7427-WH</t>
  </si>
  <si>
    <t xml:space="preserve">340758673107</t>
  </si>
  <si>
    <t xml:space="preserve">0340758673107</t>
  </si>
  <si>
    <t xml:space="preserve">BB-MKT-00233</t>
  </si>
  <si>
    <t xml:space="preserve">AS-6754-BL</t>
  </si>
  <si>
    <t xml:space="preserve">516104036557</t>
  </si>
  <si>
    <t xml:space="preserve">0516104036557</t>
  </si>
  <si>
    <t xml:space="preserve">ASUS VivoBook 16 16" Laptop - 64GB RAM 256GB SSD</t>
  </si>
  <si>
    <t xml:space="preserve">RAM_GB: 64 | Storage_GB: 256 | Screen_Size: 16" | Processor: AMD Ryzen 7</t>
  </si>
  <si>
    <t xml:space="preserve">BB-MKT-00758</t>
  </si>
  <si>
    <t xml:space="preserve">SA-8056-SL</t>
  </si>
  <si>
    <t xml:space="preserve">914229524202</t>
  </si>
  <si>
    <t xml:space="preserve">0914229524202</t>
  </si>
  <si>
    <t xml:space="preserve">Storage_GB: 256 | Screen_Size: 12.4" | Cellular: Yes | RAM_GB: 6</t>
  </si>
  <si>
    <t xml:space="preserve">BB-MKT-00837</t>
  </si>
  <si>
    <t xml:space="preserve">LE-6205-BL</t>
  </si>
  <si>
    <t xml:space="preserve">110625192566</t>
  </si>
  <si>
    <t xml:space="preserve">0110625192566</t>
  </si>
  <si>
    <t xml:space="preserve">Lenovo Galaxy Tab S9 10.1" 256GB Tablet</t>
  </si>
  <si>
    <t xml:space="preserve">2024-07-03</t>
  </si>
  <si>
    <t xml:space="preserve">BB-MKT-00681</t>
  </si>
  <si>
    <t xml:space="preserve">AR-5399-BK</t>
  </si>
  <si>
    <t xml:space="preserve">878661952904</t>
  </si>
  <si>
    <t xml:space="preserve">0878661952904</t>
  </si>
  <si>
    <t xml:space="preserve">BB-MKT-00564</t>
  </si>
  <si>
    <t xml:space="preserve">RI-5110-BL</t>
  </si>
  <si>
    <t xml:space="preserve">398423717653</t>
  </si>
  <si>
    <t xml:space="preserve">0398423717653</t>
  </si>
  <si>
    <t xml:space="preserve">BB-MKT-00261</t>
  </si>
  <si>
    <t xml:space="preserve">AP-3192-SL</t>
  </si>
  <si>
    <t xml:space="preserve">855433096260</t>
  </si>
  <si>
    <t xml:space="preserve">0855433096260</t>
  </si>
  <si>
    <t xml:space="preserve">BB-MKT-00005</t>
  </si>
  <si>
    <t xml:space="preserve">JB-5374-BK</t>
  </si>
  <si>
    <t xml:space="preserve">835339233454</t>
  </si>
  <si>
    <t xml:space="preserve">0835339233454</t>
  </si>
  <si>
    <t xml:space="preserve">JBL Evolve2 85 On-ear Wireless Headphones</t>
  </si>
  <si>
    <t xml:space="preserve">2024-11-03</t>
  </si>
  <si>
    <t xml:space="preserve">BB-MKT-00590</t>
  </si>
  <si>
    <t xml:space="preserve">LG-7178-WH</t>
  </si>
  <si>
    <t xml:space="preserve">565170723838</t>
  </si>
  <si>
    <t xml:space="preserve">0565170723838</t>
  </si>
  <si>
    <t xml:space="preserve">LG 65" 4K UHD Smart TV OLED C3</t>
  </si>
  <si>
    <t xml:space="preserve">BB-MKT-00107</t>
  </si>
  <si>
    <t xml:space="preserve">AM-8873-SL</t>
  </si>
  <si>
    <t xml:space="preserve">156908330480</t>
  </si>
  <si>
    <t xml:space="preserve">0156908330480</t>
  </si>
  <si>
    <t xml:space="preserve">Amazon Fire HD 10 10.1" 512GB Tablet</t>
  </si>
  <si>
    <t xml:space="preserve">Storage_GB: 512 | Screen_Size: 10.1" | Cellular: Yes | RAM_GB: 16</t>
  </si>
  <si>
    <t xml:space="preserve">BB-MKT-00533</t>
  </si>
  <si>
    <t xml:space="preserve">AC-7834-BL</t>
  </si>
  <si>
    <t xml:space="preserve">392330551950</t>
  </si>
  <si>
    <t xml:space="preserve">0392330551950</t>
  </si>
  <si>
    <t xml:space="preserve">Acer XPS 15 15.6" Laptop - 64GB RAM 1024GB SSD</t>
  </si>
  <si>
    <t xml:space="preserve">2024-12-25</t>
  </si>
  <si>
    <t xml:space="preserve">BB-MKT-00043</t>
  </si>
  <si>
    <t xml:space="preserve">SO-7498-WH</t>
  </si>
  <si>
    <t xml:space="preserve">516432181410</t>
  </si>
  <si>
    <t xml:space="preserve">0516432181410</t>
  </si>
  <si>
    <t xml:space="preserve">Sony 75" 4K UHD Smart TV QLED 4K</t>
  </si>
  <si>
    <t xml:space="preserve">BB-MKT-00881</t>
  </si>
  <si>
    <t xml:space="preserve">JA-7425-WH</t>
  </si>
  <si>
    <t xml:space="preserve">686416052898</t>
  </si>
  <si>
    <t xml:space="preserve">0686416052898</t>
  </si>
  <si>
    <t xml:space="preserve">Jabra WH-1000XM5 In-ear Both Headphones</t>
  </si>
  <si>
    <t xml:space="preserve">BB-MKT-00514</t>
  </si>
  <si>
    <t xml:space="preserve">SA-6132-BK</t>
  </si>
  <si>
    <t xml:space="preserve">225672486885</t>
  </si>
  <si>
    <t xml:space="preserve">0225672486885</t>
  </si>
  <si>
    <t xml:space="preserve">Samsung 85" 1080p Full HD Smart TV Bravia XR</t>
  </si>
  <si>
    <t xml:space="preserve">BB-MKT-00115</t>
  </si>
  <si>
    <t xml:space="preserve">AP-7524-BL</t>
  </si>
  <si>
    <t xml:space="preserve">663972481559</t>
  </si>
  <si>
    <t xml:space="preserve">0663972481559</t>
  </si>
  <si>
    <t xml:space="preserve">Apple Surface Pro 9 8" 128GB Tablet</t>
  </si>
  <si>
    <t xml:space="preserve">BB-MKT-00430</t>
  </si>
  <si>
    <t xml:space="preserve">AM-2148-WH</t>
  </si>
  <si>
    <t xml:space="preserve">957824229167</t>
  </si>
  <si>
    <t xml:space="preserve">0957824229167</t>
  </si>
  <si>
    <t xml:space="preserve">2025-03-04</t>
  </si>
  <si>
    <t xml:space="preserve">BB-MKT-00084</t>
  </si>
  <si>
    <t xml:space="preserve">AP-2076-WH</t>
  </si>
  <si>
    <t xml:space="preserve">261526407509</t>
  </si>
  <si>
    <t xml:space="preserve">0261526407509</t>
  </si>
  <si>
    <t xml:space="preserve">BB-MKT-00406</t>
  </si>
  <si>
    <t xml:space="preserve">AM-5949-BL</t>
  </si>
  <si>
    <t xml:space="preserve">180098783906</t>
  </si>
  <si>
    <t xml:space="preserve">0180098783906</t>
  </si>
  <si>
    <t xml:space="preserve">BB-MKT-00710</t>
  </si>
  <si>
    <t xml:space="preserve">LE-3113-BL</t>
  </si>
  <si>
    <t xml:space="preserve">851263396300</t>
  </si>
  <si>
    <t xml:space="preserve">0851263396300</t>
  </si>
  <si>
    <t xml:space="preserve">Lenovo Katana 15 16" Laptop - 32GB RAM 512GB SSD</t>
  </si>
  <si>
    <t xml:space="preserve">RAM_GB: 32 | Storage_GB: 512 | Screen_Size: 16" | Processor: Apple M2</t>
  </si>
  <si>
    <t xml:space="preserve">BB-MKT-00211</t>
  </si>
  <si>
    <t xml:space="preserve">BO-1042-BK</t>
  </si>
  <si>
    <t xml:space="preserve">661527374178</t>
  </si>
  <si>
    <t xml:space="preserve">0661527374178</t>
  </si>
  <si>
    <t xml:space="preserve">Bose AirPods Max Over-ear Both Headphones</t>
  </si>
  <si>
    <t xml:space="preserve">BB-MKT-00972</t>
  </si>
  <si>
    <t xml:space="preserve">VI-2089-WH</t>
  </si>
  <si>
    <t xml:space="preserve">640269047372</t>
  </si>
  <si>
    <t xml:space="preserve">0640269047372</t>
  </si>
  <si>
    <t xml:space="preserve">Vizio 50" 4K UHD Smart TV V-Series</t>
  </si>
  <si>
    <t xml:space="preserve">Screen_Size: 50" | Resolution: 4K UHD | Smart_TV: Yes | HDR: HDR10</t>
  </si>
  <si>
    <t xml:space="preserve">BB-MKT-00143</t>
  </si>
  <si>
    <t xml:space="preserve">AS-3587-BL</t>
  </si>
  <si>
    <t xml:space="preserve">705437997984</t>
  </si>
  <si>
    <t xml:space="preserve">0705437997984</t>
  </si>
  <si>
    <t xml:space="preserve">ASUS IdeaPad 5 14" Laptop - 64GB RAM 256GB SSD</t>
  </si>
  <si>
    <t xml:space="preserve">BB-MKT-00588</t>
  </si>
  <si>
    <t xml:space="preserve">WY-2062-WH</t>
  </si>
  <si>
    <t xml:space="preserve">829246780211</t>
  </si>
  <si>
    <t xml:space="preserve">0829246780211</t>
  </si>
  <si>
    <t xml:space="preserve">BB-MKT-00818</t>
  </si>
  <si>
    <t xml:space="preserve">AS-7163-WH</t>
  </si>
  <si>
    <t xml:space="preserve">251380046815</t>
  </si>
  <si>
    <t xml:space="preserve">0251380046815</t>
  </si>
  <si>
    <t xml:space="preserve">ASUS XPS 15 13.3" Laptop - 32GB RAM 256GB SSD</t>
  </si>
  <si>
    <t xml:space="preserve">RAM_GB: 32 | Storage_GB: 256 | Screen_Size: 13.3" | Processor: Intel i5</t>
  </si>
  <si>
    <t xml:space="preserve">BB-MKT-00974</t>
  </si>
  <si>
    <t xml:space="preserve">AM-7358-WH</t>
  </si>
  <si>
    <t xml:space="preserve">139636728813</t>
  </si>
  <si>
    <t xml:space="preserve">0139636728813</t>
  </si>
  <si>
    <t xml:space="preserve">BB-MKT-00648</t>
  </si>
  <si>
    <t xml:space="preserve">LE-2999-BL</t>
  </si>
  <si>
    <t xml:space="preserve">190695225109</t>
  </si>
  <si>
    <t xml:space="preserve">0190695225109</t>
  </si>
  <si>
    <t xml:space="preserve">Storage_GB: 512 | Screen_Size: 11" | Cellular: Yes | RAM_GB: 4</t>
  </si>
  <si>
    <t xml:space="preserve">2024-07-12</t>
  </si>
  <si>
    <t xml:space="preserve">BB-MKT-00874</t>
  </si>
  <si>
    <t xml:space="preserve">SE-1749-BL</t>
  </si>
  <si>
    <t xml:space="preserve">650944891967</t>
  </si>
  <si>
    <t xml:space="preserve">0650944891967</t>
  </si>
  <si>
    <t xml:space="preserve">BB-MKT-00350</t>
  </si>
  <si>
    <t xml:space="preserve">AM-8674-SL</t>
  </si>
  <si>
    <t xml:space="preserve">453680526693</t>
  </si>
  <si>
    <t xml:space="preserve">0453680526693</t>
  </si>
  <si>
    <t xml:space="preserve">BB-MKT-00614</t>
  </si>
  <si>
    <t xml:space="preserve">BO-8354-BL</t>
  </si>
  <si>
    <t xml:space="preserve">118619135140</t>
  </si>
  <si>
    <t xml:space="preserve">0118619135140</t>
  </si>
  <si>
    <t xml:space="preserve">Type: In-ear | Connectivity: Wired | ANC: No | Battery_Hours: 20</t>
  </si>
  <si>
    <t xml:space="preserve">BB-MKT-00149</t>
  </si>
  <si>
    <t xml:space="preserve">BO-7021-WH</t>
  </si>
  <si>
    <t xml:space="preserve">426162546437</t>
  </si>
  <si>
    <t xml:space="preserve">0426162546437</t>
  </si>
  <si>
    <t xml:space="preserve">Bose Tour One In-ear Both Headphones</t>
  </si>
  <si>
    <t xml:space="preserve">Type: In-ear | Connectivity: Both | ANC: No | Battery_Hours: 20</t>
  </si>
  <si>
    <t xml:space="preserve">BB-MKT-00641</t>
  </si>
  <si>
    <t xml:space="preserve">AC-9189-BL</t>
  </si>
  <si>
    <t xml:space="preserve">344113986747</t>
  </si>
  <si>
    <t xml:space="preserve">0344113986747</t>
  </si>
  <si>
    <t xml:space="preserve">Acer Katana 15 14" Laptop - 64GB RAM 512GB SSD</t>
  </si>
  <si>
    <t xml:space="preserve">BB-MKT-00352</t>
  </si>
  <si>
    <t xml:space="preserve">JA-9151-WH</t>
  </si>
  <si>
    <t xml:space="preserve">849575172030</t>
  </si>
  <si>
    <t xml:space="preserve">0849575172030</t>
  </si>
  <si>
    <t xml:space="preserve">Type: In-ear | Connectivity: Both | ANC: No | Battery_Hours: 24</t>
  </si>
  <si>
    <t xml:space="preserve">BB-MKT-00044</t>
  </si>
  <si>
    <t xml:space="preserve">BE-7071-BK</t>
  </si>
  <si>
    <t xml:space="preserve">570439558680</t>
  </si>
  <si>
    <t xml:space="preserve">0570439558680</t>
  </si>
  <si>
    <t xml:space="preserve">Beats Evolve2 85 In-ear Wireless Headphones</t>
  </si>
  <si>
    <t xml:space="preserve">BB-MKT-00169</t>
  </si>
  <si>
    <t xml:space="preserve">AP-2320-BK</t>
  </si>
  <si>
    <t xml:space="preserve">852907658069</t>
  </si>
  <si>
    <t xml:space="preserve">0852907658069</t>
  </si>
  <si>
    <t xml:space="preserve">BB-MKT-00697</t>
  </si>
  <si>
    <t xml:space="preserve">LG-7184-BK</t>
  </si>
  <si>
    <t xml:space="preserve">257642320123</t>
  </si>
  <si>
    <t xml:space="preserve">0257642320123</t>
  </si>
  <si>
    <t xml:space="preserve">LG 85" 4K UHD Smart TV QLED 4K</t>
  </si>
  <si>
    <t xml:space="preserve">BB-MKT-00553</t>
  </si>
  <si>
    <t xml:space="preserve">AP-3999-BL</t>
  </si>
  <si>
    <t xml:space="preserve">337440748502</t>
  </si>
  <si>
    <t xml:space="preserve">0337440748502</t>
  </si>
  <si>
    <t xml:space="preserve">Storage_GB: 128 | Screen_Size: 12.9" | Cellular: No | RAM_GB: 4</t>
  </si>
  <si>
    <t xml:space="preserve">BB-MKT-00772</t>
  </si>
  <si>
    <t xml:space="preserve">VI-9956-WH</t>
  </si>
  <si>
    <t xml:space="preserve">913945759134</t>
  </si>
  <si>
    <t xml:space="preserve">0913945759134</t>
  </si>
  <si>
    <t xml:space="preserve">Vizio 50" 4K UHD Smart TV QLED 4K</t>
  </si>
  <si>
    <t xml:space="preserve">BB-MKT-00462</t>
  </si>
  <si>
    <t xml:space="preserve">AM-8306-SL</t>
  </si>
  <si>
    <t xml:space="preserve">344129707432</t>
  </si>
  <si>
    <t xml:space="preserve">0344129707432</t>
  </si>
  <si>
    <t xml:space="preserve">BB-MKT-00478</t>
  </si>
  <si>
    <t xml:space="preserve">SO-8777-SL</t>
  </si>
  <si>
    <t xml:space="preserve">658004200547</t>
  </si>
  <si>
    <t xml:space="preserve">0658004200547</t>
  </si>
  <si>
    <t xml:space="preserve">BB-MKT-00661</t>
  </si>
  <si>
    <t xml:space="preserve">BE-3705-BK</t>
  </si>
  <si>
    <t xml:space="preserve">202842420455</t>
  </si>
  <si>
    <t xml:space="preserve">0202842420455</t>
  </si>
  <si>
    <t xml:space="preserve">Beats WH-1000XM5 In-ear Wireless Headphones</t>
  </si>
  <si>
    <t xml:space="preserve">BB-MKT-00368</t>
  </si>
  <si>
    <t xml:space="preserve">JA-4424-WH</t>
  </si>
  <si>
    <t xml:space="preserve">460874955269</t>
  </si>
  <si>
    <t xml:space="preserve">0460874955269</t>
  </si>
  <si>
    <t xml:space="preserve">Jabra Studio Pro Over-ear Wired Headphones</t>
  </si>
  <si>
    <t xml:space="preserve">BB-MKT-00341</t>
  </si>
  <si>
    <t xml:space="preserve">SA-5454-SL</t>
  </si>
  <si>
    <t xml:space="preserve">979456995343</t>
  </si>
  <si>
    <t xml:space="preserve">0979456995343</t>
  </si>
  <si>
    <t xml:space="preserve">Storage_GB: 64 | Screen_Size: 12.4" | Cellular: Yes | RAM_GB: 16</t>
  </si>
  <si>
    <t xml:space="preserve">BB-MKT-00141</t>
  </si>
  <si>
    <t xml:space="preserve">AC-5712-BK</t>
  </si>
  <si>
    <t xml:space="preserve">144197157631</t>
  </si>
  <si>
    <t xml:space="preserve">0144197157631</t>
  </si>
  <si>
    <t xml:space="preserve">Acer MacBook Air 15.6" Laptop - 64GB RAM 512GB SSD</t>
  </si>
  <si>
    <t xml:space="preserve">2023-12-09</t>
  </si>
  <si>
    <t xml:space="preserve">BB-MKT-00260</t>
  </si>
  <si>
    <t xml:space="preserve">GO-3112-BK</t>
  </si>
  <si>
    <t xml:space="preserve">440781387392</t>
  </si>
  <si>
    <t xml:space="preserve">0440781387392</t>
  </si>
  <si>
    <t xml:space="preserve">BB-MKT-00617</t>
  </si>
  <si>
    <t xml:space="preserve">VI-5068-WH</t>
  </si>
  <si>
    <t xml:space="preserve">834085838048</t>
  </si>
  <si>
    <t xml:space="preserve">0834085838048</t>
  </si>
  <si>
    <t xml:space="preserve">BB-MKT-00963</t>
  </si>
  <si>
    <t xml:space="preserve">HI-8338-BK</t>
  </si>
  <si>
    <t xml:space="preserve">960663539372</t>
  </si>
  <si>
    <t xml:space="preserve">0960663539372</t>
  </si>
  <si>
    <t xml:space="preserve">Hisense 75" 8K Smart TV OLED C3</t>
  </si>
  <si>
    <t xml:space="preserve">BB-MKT-00936</t>
  </si>
  <si>
    <t xml:space="preserve">SA-7865-BL</t>
  </si>
  <si>
    <t xml:space="preserve">275175879833</t>
  </si>
  <si>
    <t xml:space="preserve">0275175879833</t>
  </si>
  <si>
    <t xml:space="preserve">Samsung Galaxy Tab S9 10.1" 512GB Tablet</t>
  </si>
  <si>
    <t xml:space="preserve">Storage_GB: 512 | Screen_Size: 10.1" | Cellular: Yes | RAM_GB: 12</t>
  </si>
  <si>
    <t xml:space="preserve">2024-08-06</t>
  </si>
  <si>
    <t xml:space="preserve">BB-MKT-00369</t>
  </si>
  <si>
    <t xml:space="preserve">AR-9631-BK</t>
  </si>
  <si>
    <t xml:space="preserve">829740886410</t>
  </si>
  <si>
    <t xml:space="preserve">0829740886410</t>
  </si>
  <si>
    <t xml:space="preserve">BB-MKT-00418</t>
  </si>
  <si>
    <t xml:space="preserve">AM-3077-BK</t>
  </si>
  <si>
    <t xml:space="preserve">192276342383</t>
  </si>
  <si>
    <t xml:space="preserve">0192276342383</t>
  </si>
  <si>
    <t xml:space="preserve">https://images.bestbuy.com/marketplace/amazon-ultra-2-main.jpg</t>
  </si>
  <si>
    <t xml:space="preserve">BB-MKT-00692</t>
  </si>
  <si>
    <t xml:space="preserve">SO-2251-BK</t>
  </si>
  <si>
    <t xml:space="preserve">979228367301</t>
  </si>
  <si>
    <t xml:space="preserve">0979228367301</t>
  </si>
  <si>
    <t xml:space="preserve">Sony AirPods Max On-ear Both Headphones</t>
  </si>
  <si>
    <t xml:space="preserve">Enjoy crystal-clear audio with the Sony AirPods Max. Perfect for music lovers and remote workers.</t>
  </si>
  <si>
    <t xml:space="preserve">https://images.bestbuy.com/marketplace/sony-airpods-max-main.jpg</t>
  </si>
  <si>
    <t xml:space="preserve">Type: On-ear | Connectivity: Both | ANC: No | Battery_Hours: 30</t>
  </si>
  <si>
    <t xml:space="preserve">BB-MKT-00507</t>
  </si>
  <si>
    <t xml:space="preserve">JB-6367-SL</t>
  </si>
  <si>
    <t xml:space="preserve">751492709435</t>
  </si>
  <si>
    <t xml:space="preserve">0751492709435</t>
  </si>
  <si>
    <t xml:space="preserve">JBL Tour One In-ear Wireless Headphones</t>
  </si>
  <si>
    <t xml:space="preserve">BB-MKT-00770</t>
  </si>
  <si>
    <t xml:space="preserve">AR-2983-BK</t>
  </si>
  <si>
    <t xml:space="preserve">762082188418</t>
  </si>
  <si>
    <t xml:space="preserve">0762082188418</t>
  </si>
  <si>
    <t xml:space="preserve">BB-MKT-00689</t>
  </si>
  <si>
    <t xml:space="preserve">AM-9381-BL</t>
  </si>
  <si>
    <t xml:space="preserve">212943631814</t>
  </si>
  <si>
    <t xml:space="preserve">0212943631814</t>
  </si>
  <si>
    <t xml:space="preserve">BB-MKT-00834</t>
  </si>
  <si>
    <t xml:space="preserve">WY-7155-WH</t>
  </si>
  <si>
    <t xml:space="preserve">184607658410</t>
  </si>
  <si>
    <t xml:space="preserve">0184607658410</t>
  </si>
  <si>
    <t xml:space="preserve">BB-MKT-00152</t>
  </si>
  <si>
    <t xml:space="preserve">HI-6049-BK</t>
  </si>
  <si>
    <t xml:space="preserve">840720274613</t>
  </si>
  <si>
    <t xml:space="preserve">0840720274613</t>
  </si>
  <si>
    <t xml:space="preserve">Hisense 65" 1080p Full HD Smart TV 5-Series 4K</t>
  </si>
  <si>
    <t xml:space="preserve">Immerse yourself in stunning visuals with the Hisense 5-Series 4K. Features cutting-edge display technology.</t>
  </si>
  <si>
    <t xml:space="preserve">https://images.bestbuy.com/marketplace/hisense-5-series-4k-main.jpg</t>
  </si>
  <si>
    <t xml:space="preserve">BB-MKT-00300</t>
  </si>
  <si>
    <t xml:space="preserve">BE-6877-SL</t>
  </si>
  <si>
    <t xml:space="preserve">591614190375</t>
  </si>
  <si>
    <t xml:space="preserve">0591614190375</t>
  </si>
  <si>
    <t xml:space="preserve">Type: Over-ear | Connectivity: Both | ANC: No | Battery_Hours: 36</t>
  </si>
  <si>
    <t xml:space="preserve">BB-MKT-00786</t>
  </si>
  <si>
    <t xml:space="preserve">SO-1683-BK</t>
  </si>
  <si>
    <t xml:space="preserve">396908789557</t>
  </si>
  <si>
    <t xml:space="preserve">0396908789557</t>
  </si>
  <si>
    <t xml:space="preserve">BB-MKT-00892</t>
  </si>
  <si>
    <t xml:space="preserve">HI-9332-BL</t>
  </si>
  <si>
    <t xml:space="preserve">891838045445</t>
  </si>
  <si>
    <t xml:space="preserve">0891838045445</t>
  </si>
  <si>
    <t xml:space="preserve">Hisense 50" 1080p Full HD Smart TV Bravia XR</t>
  </si>
  <si>
    <t xml:space="preserve">2023-11-06</t>
  </si>
  <si>
    <t xml:space="preserve">BB-MKT-00479</t>
  </si>
  <si>
    <t xml:space="preserve">JB-6149-BK</t>
  </si>
  <si>
    <t xml:space="preserve">933708323053</t>
  </si>
  <si>
    <t xml:space="preserve">0933708323053</t>
  </si>
  <si>
    <t xml:space="preserve">JBL Tour One Over-ear Both Headphones</t>
  </si>
  <si>
    <t xml:space="preserve">BB-MKT-00998</t>
  </si>
  <si>
    <t xml:space="preserve">AM-2998-BK</t>
  </si>
  <si>
    <t xml:space="preserve">770469446328</t>
  </si>
  <si>
    <t xml:space="preserve">0770469446328</t>
  </si>
  <si>
    <t xml:space="preserve">BB-MKT-00412</t>
  </si>
  <si>
    <t xml:space="preserve">TC-3527-SL</t>
  </si>
  <si>
    <t xml:space="preserve">558874145645</t>
  </si>
  <si>
    <t xml:space="preserve">0558874145645</t>
  </si>
  <si>
    <t xml:space="preserve">TCL 50" 1080p Full HD Smart TV OLED C3</t>
  </si>
  <si>
    <t xml:space="preserve">BB-MKT-00595</t>
  </si>
  <si>
    <t xml:space="preserve">SA-8679-BL</t>
  </si>
  <si>
    <t xml:space="preserve">965809587905</t>
  </si>
  <si>
    <t xml:space="preserve">0965809587905</t>
  </si>
  <si>
    <t xml:space="preserve">Samsung Galaxy Tab S9 12.4" 128GB Tablet</t>
  </si>
  <si>
    <t xml:space="preserve">BB-MKT-00966</t>
  </si>
  <si>
    <t xml:space="preserve">AP-9152-SL</t>
  </si>
  <si>
    <t xml:space="preserve">436677369564</t>
  </si>
  <si>
    <t xml:space="preserve">0436677369564</t>
  </si>
  <si>
    <t xml:space="preserve">Apple Tab P12 Pro 11" 64GB Tablet</t>
  </si>
  <si>
    <t xml:space="preserve">Storage_GB: 64 | Screen_Size: 11" | Cellular: No | RAM_GB: 16</t>
  </si>
  <si>
    <t xml:space="preserve">BB-MKT-00417</t>
  </si>
  <si>
    <t xml:space="preserve">AM-1578-SL</t>
  </si>
  <si>
    <t xml:space="preserve">281630767240</t>
  </si>
  <si>
    <t xml:space="preserve">0281630767240</t>
  </si>
  <si>
    <t xml:space="preserve">Amazon Tab P12 Pro 12.4" 256GB Tablet</t>
  </si>
  <si>
    <t xml:space="preserve">BB-MKT-00356</t>
  </si>
  <si>
    <t xml:space="preserve">AP-3931-BL</t>
  </si>
  <si>
    <t xml:space="preserve">373404202812</t>
  </si>
  <si>
    <t xml:space="preserve">0373404202812</t>
  </si>
  <si>
    <t xml:space="preserve">Apple Pavilion 15 14" Laptop - 64GB RAM 256GB SSD</t>
  </si>
  <si>
    <t xml:space="preserve">RAM_GB: 64 | Storage_GB: 256 | Screen_Size: 14" | Processor: Apple M2</t>
  </si>
  <si>
    <t xml:space="preserve">BB-MKT-00655</t>
  </si>
  <si>
    <t xml:space="preserve">AP-9379-WH</t>
  </si>
  <si>
    <t xml:space="preserve">823975330359</t>
  </si>
  <si>
    <t xml:space="preserve">0823975330359</t>
  </si>
  <si>
    <t xml:space="preserve">Apple MacBook Air 14" Laptop - 32GB RAM 1024GB SSD</t>
  </si>
  <si>
    <t xml:space="preserve">RAM_GB: 32 | Storage_GB: 1024 | Screen_Size: 14" | Processor: AMD Ryzen 5</t>
  </si>
  <si>
    <t xml:space="preserve">BB-MKT-00753</t>
  </si>
  <si>
    <t xml:space="preserve">LG-1050-BK</t>
  </si>
  <si>
    <t xml:space="preserve">416093759138</t>
  </si>
  <si>
    <t xml:space="preserve">0416093759138</t>
  </si>
  <si>
    <t xml:space="preserve">BB-MKT-00329</t>
  </si>
  <si>
    <t xml:space="preserve">SO-4449-BL</t>
  </si>
  <si>
    <t xml:space="preserve">565998668888</t>
  </si>
  <si>
    <t xml:space="preserve">0565998668888</t>
  </si>
  <si>
    <t xml:space="preserve">Sony 75" 8K Smart TV 5-Series 4K</t>
  </si>
  <si>
    <t xml:space="preserve">BB-MKT-00150</t>
  </si>
  <si>
    <t xml:space="preserve">AM-6927-BK</t>
  </si>
  <si>
    <t xml:space="preserve">681739352909</t>
  </si>
  <si>
    <t xml:space="preserve">0681739352909</t>
  </si>
  <si>
    <t xml:space="preserve">Amazon Tab P12 Pro 10.1" 128GB Tablet</t>
  </si>
  <si>
    <t xml:space="preserve">Storage_GB: 128 | Screen_Size: 10.1" | Cellular: Yes | RAM_GB: 16</t>
  </si>
  <si>
    <t xml:space="preserve">BB-MKT-00554</t>
  </si>
  <si>
    <t xml:space="preserve">AM-3175-WH</t>
  </si>
  <si>
    <t xml:space="preserve">893857960809</t>
  </si>
  <si>
    <t xml:space="preserve">0893857960809</t>
  </si>
  <si>
    <t xml:space="preserve">Amazon Surface Pro 9 11" 512GB Tablet</t>
  </si>
  <si>
    <t xml:space="preserve">2025-02-15</t>
  </si>
  <si>
    <t xml:space="preserve">BB-MKT-00565</t>
  </si>
  <si>
    <t xml:space="preserve">HP-3288-SL</t>
  </si>
  <si>
    <t xml:space="preserve">236143717234</t>
  </si>
  <si>
    <t xml:space="preserve">0236143717234</t>
  </si>
  <si>
    <t xml:space="preserve">HP MacBook Air 13.3" Laptop - 8GB RAM 512GB SSD</t>
  </si>
  <si>
    <t xml:space="preserve">BB-MKT-00744</t>
  </si>
  <si>
    <t xml:space="preserve">LE-6395-BL</t>
  </si>
  <si>
    <t xml:space="preserve">388085112515</t>
  </si>
  <si>
    <t xml:space="preserve">0388085112515</t>
  </si>
  <si>
    <t xml:space="preserve">RAM_GB: 8 | Storage_GB: 256 | Screen_Size: 13.3" | Processor: AMD Ryzen 5</t>
  </si>
  <si>
    <t xml:space="preserve">BB-MKT-00381</t>
  </si>
  <si>
    <t xml:space="preserve">SO-5823-BK</t>
  </si>
  <si>
    <t xml:space="preserve">564571522471</t>
  </si>
  <si>
    <t xml:space="preserve">0564571522471</t>
  </si>
  <si>
    <t xml:space="preserve">Sony 65" 8K Smart TV 5-Series 4K</t>
  </si>
  <si>
    <t xml:space="preserve">2025-02-17</t>
  </si>
  <si>
    <t xml:space="preserve">BB-MKT-00675</t>
  </si>
  <si>
    <t xml:space="preserve">SO-9049-SL</t>
  </si>
  <si>
    <t xml:space="preserve">375671788710</t>
  </si>
  <si>
    <t xml:space="preserve">0375671788710</t>
  </si>
  <si>
    <t xml:space="preserve">BB-MKT-00383</t>
  </si>
  <si>
    <t xml:space="preserve">LE-8362-SL</t>
  </si>
  <si>
    <t xml:space="preserve">873584447938</t>
  </si>
  <si>
    <t xml:space="preserve">0873584447938</t>
  </si>
  <si>
    <t xml:space="preserve">Lenovo IdeaPad 5 13.3" Laptop - 16GB RAM 1024GB SSD</t>
  </si>
  <si>
    <t xml:space="preserve">BB-MKT-00168</t>
  </si>
  <si>
    <t xml:space="preserve">PH-9591-WH</t>
  </si>
  <si>
    <t xml:space="preserve">207022204868</t>
  </si>
  <si>
    <t xml:space="preserve">0207022204868</t>
  </si>
  <si>
    <t xml:space="preserve">BB-MKT-00558</t>
  </si>
  <si>
    <t xml:space="preserve">WY-8160-WH</t>
  </si>
  <si>
    <t xml:space="preserve">473762069659</t>
  </si>
  <si>
    <t xml:space="preserve">0473762069659</t>
  </si>
  <si>
    <t xml:space="preserve">BB-MKT-00484</t>
  </si>
  <si>
    <t xml:space="preserve">RI-9147-WH</t>
  </si>
  <si>
    <t xml:space="preserve">637947616744</t>
  </si>
  <si>
    <t xml:space="preserve">0637947616744</t>
  </si>
  <si>
    <t xml:space="preserve">BB-MKT-00841</t>
  </si>
  <si>
    <t xml:space="preserve">LG-3700-BL</t>
  </si>
  <si>
    <t xml:space="preserve">255247999532</t>
  </si>
  <si>
    <t xml:space="preserve">0255247999532</t>
  </si>
  <si>
    <t xml:space="preserve">BB-MKT-00613</t>
  </si>
  <si>
    <t xml:space="preserve">HP-3809-SL</t>
  </si>
  <si>
    <t xml:space="preserve">691470817373</t>
  </si>
  <si>
    <t xml:space="preserve">0691470817373</t>
  </si>
  <si>
    <t xml:space="preserve">HP VivoBook 16 16" Laptop - 32GB RAM 1024GB SSD</t>
  </si>
  <si>
    <t xml:space="preserve">RAM_GB: 32 | Storage_GB: 1024 | Screen_Size: 16" | Processor: Intel i5</t>
  </si>
  <si>
    <t xml:space="preserve">BB-MKT-00091</t>
  </si>
  <si>
    <t xml:space="preserve">HP-7947-BL</t>
  </si>
  <si>
    <t xml:space="preserve">827752628746</t>
  </si>
  <si>
    <t xml:space="preserve">0827752628746</t>
  </si>
  <si>
    <t xml:space="preserve">HP Pavilion 15 13.3" Laptop - 8GB RAM 1024GB SSD</t>
  </si>
  <si>
    <t xml:space="preserve">RAM_GB: 8 | Storage_GB: 1024 | Screen_Size: 13.3" | Processor: AMD Ryzen 5</t>
  </si>
  <si>
    <t xml:space="preserve">BB-MKT-00373</t>
  </si>
  <si>
    <t xml:space="preserve">RI-2438-BL</t>
  </si>
  <si>
    <t xml:space="preserve">253145355800</t>
  </si>
  <si>
    <t xml:space="preserve">0253145355800</t>
  </si>
  <si>
    <t xml:space="preserve">BB-MKT-00294</t>
  </si>
  <si>
    <t xml:space="preserve">LE-8170-BL</t>
  </si>
  <si>
    <t xml:space="preserve">409609182410</t>
  </si>
  <si>
    <t xml:space="preserve">0409609182410</t>
  </si>
  <si>
    <t xml:space="preserve">BB-MKT-00049</t>
  </si>
  <si>
    <t xml:space="preserve">AM-5438-SL</t>
  </si>
  <si>
    <t xml:space="preserve">601234945339</t>
  </si>
  <si>
    <t xml:space="preserve">0601234945339</t>
  </si>
  <si>
    <t xml:space="preserve">Amazon Fire HD 10 12.4" 256GB Tablet</t>
  </si>
  <si>
    <t xml:space="preserve">2024-12-09</t>
  </si>
  <si>
    <t xml:space="preserve">BB-MKT-00761</t>
  </si>
  <si>
    <t xml:space="preserve">HI-2058-SL</t>
  </si>
  <si>
    <t xml:space="preserve">415623509214</t>
  </si>
  <si>
    <t xml:space="preserve">0415623509214</t>
  </si>
  <si>
    <t xml:space="preserve">Screen_Size: 75" | Resolution: 1080p Full HD | Smart_TV: Yes | HDR: Dolby Vision</t>
  </si>
  <si>
    <t xml:space="preserve">BB-MKT-00733</t>
  </si>
  <si>
    <t xml:space="preserve">AM-2880-WH</t>
  </si>
  <si>
    <t xml:space="preserve">503155155108</t>
  </si>
  <si>
    <t xml:space="preserve">0503155155108</t>
  </si>
  <si>
    <t xml:space="preserve">BB-MKT-00238</t>
  </si>
  <si>
    <t xml:space="preserve">LE-4056-BL</t>
  </si>
  <si>
    <t xml:space="preserve">505365220420</t>
  </si>
  <si>
    <t xml:space="preserve">0505365220420</t>
  </si>
  <si>
    <t xml:space="preserve">Lenovo Tab P12 Pro 8" 256GB Tablet</t>
  </si>
  <si>
    <t xml:space="preserve">BB-MKT-00811</t>
  </si>
  <si>
    <t xml:space="preserve">LE-9345-BK</t>
  </si>
  <si>
    <t xml:space="preserve">944921889897</t>
  </si>
  <si>
    <t xml:space="preserve">0944921889897</t>
  </si>
  <si>
    <t xml:space="preserve">Lenovo Tab P12 Pro 12.4" 256GB Tablet</t>
  </si>
  <si>
    <t xml:space="preserve">BB-MKT-00501</t>
  </si>
  <si>
    <t xml:space="preserve">TC-8200-BL</t>
  </si>
  <si>
    <t xml:space="preserve">404813500329</t>
  </si>
  <si>
    <t xml:space="preserve">0404813500329</t>
  </si>
  <si>
    <t xml:space="preserve">TCL 50" 4K UHD Smart TV OLED C3</t>
  </si>
  <si>
    <t xml:space="preserve">BB-MKT-00951</t>
  </si>
  <si>
    <t xml:space="preserve">AM-7342-SL</t>
  </si>
  <si>
    <t xml:space="preserve">540581591865</t>
  </si>
  <si>
    <t xml:space="preserve">0540581591865</t>
  </si>
  <si>
    <t xml:space="preserve">Amazon Fire HD 10 12.4" 128GB Tablet</t>
  </si>
  <si>
    <t xml:space="preserve">BB-MKT-00573</t>
  </si>
  <si>
    <t xml:space="preserve">129238732532</t>
  </si>
  <si>
    <t xml:space="preserve">0129238732532</t>
  </si>
  <si>
    <t xml:space="preserve">Sony Tour One Over-ear Wired Headphones</t>
  </si>
  <si>
    <t xml:space="preserve">BB-MKT-00446</t>
  </si>
  <si>
    <t xml:space="preserve">BO-4763-BK</t>
  </si>
  <si>
    <t xml:space="preserve">709757090439</t>
  </si>
  <si>
    <t xml:space="preserve">0709757090439</t>
  </si>
  <si>
    <t xml:space="preserve">BB-MKT-00856</t>
  </si>
  <si>
    <t xml:space="preserve">PH-2889-WH</t>
  </si>
  <si>
    <t xml:space="preserve">135480063042</t>
  </si>
  <si>
    <t xml:space="preserve">0135480063042</t>
  </si>
  <si>
    <t xml:space="preserve">BB-MKT-00950</t>
  </si>
  <si>
    <t xml:space="preserve">VI-3381-BK</t>
  </si>
  <si>
    <t xml:space="preserve">339708676028</t>
  </si>
  <si>
    <t xml:space="preserve">0339708676028</t>
  </si>
  <si>
    <t xml:space="preserve">Vizio 50" 4K UHD Smart TV OLED C3</t>
  </si>
  <si>
    <t xml:space="preserve">BB-MKT-00895</t>
  </si>
  <si>
    <t xml:space="preserve">SO-5447-BK</t>
  </si>
  <si>
    <t xml:space="preserve">175193781324</t>
  </si>
  <si>
    <t xml:space="preserve">0175193781324</t>
  </si>
  <si>
    <t xml:space="preserve">Sony 43" 8K Smart TV V-Series</t>
  </si>
  <si>
    <t xml:space="preserve">2025-03-25</t>
  </si>
  <si>
    <t xml:space="preserve">BB-MKT-00928</t>
  </si>
  <si>
    <t xml:space="preserve">AR-4242-WH</t>
  </si>
  <si>
    <t xml:space="preserve">972084598657</t>
  </si>
  <si>
    <t xml:space="preserve">0972084598657</t>
  </si>
  <si>
    <t xml:space="preserve">BB-MKT-00666</t>
  </si>
  <si>
    <t xml:space="preserve">DE-9061-WH</t>
  </si>
  <si>
    <t xml:space="preserve">572881645004</t>
  </si>
  <si>
    <t xml:space="preserve">0572881645004</t>
  </si>
  <si>
    <t xml:space="preserve">Dell IdeaPad 5 15.6" Laptop - 16GB RAM 512GB SSD</t>
  </si>
  <si>
    <t xml:space="preserve">RAM_GB: 16 | Storage_GB: 512 | Screen_Size: 15.6" | Processor: Intel i5</t>
  </si>
  <si>
    <t xml:space="preserve">BB-MKT-00002</t>
  </si>
  <si>
    <t xml:space="preserve">WY-5557-BK</t>
  </si>
  <si>
    <t xml:space="preserve">746174432554</t>
  </si>
  <si>
    <t xml:space="preserve">0746174432554</t>
  </si>
  <si>
    <t xml:space="preserve">BB-MKT-00830</t>
  </si>
  <si>
    <t xml:space="preserve">MI-7106-BK</t>
  </si>
  <si>
    <t xml:space="preserve">532621565066</t>
  </si>
  <si>
    <t xml:space="preserve">0532621565066</t>
  </si>
  <si>
    <t xml:space="preserve">Microsoft Fire HD 10 12.4" 128GB Tablet</t>
  </si>
  <si>
    <t xml:space="preserve">BB-MKT-00459</t>
  </si>
  <si>
    <t xml:space="preserve">SA-4022-WH</t>
  </si>
  <si>
    <t xml:space="preserve">504845366215</t>
  </si>
  <si>
    <t xml:space="preserve">0504845366215</t>
  </si>
  <si>
    <t xml:space="preserve">Samsung 55" 1080p Full HD Smart TV QLED 4K</t>
  </si>
  <si>
    <t xml:space="preserve">BB-MKT-00707</t>
  </si>
  <si>
    <t xml:space="preserve">SA-7350-WH</t>
  </si>
  <si>
    <t xml:space="preserve">885509489051</t>
  </si>
  <si>
    <t xml:space="preserve">0885509489051</t>
  </si>
  <si>
    <t xml:space="preserve">Samsung Surface Pro 9 11" 256GB Tablet</t>
  </si>
  <si>
    <t xml:space="preserve">BB-MKT-00961</t>
  </si>
  <si>
    <t xml:space="preserve">GO-3898-BL</t>
  </si>
  <si>
    <t xml:space="preserve">728672265828</t>
  </si>
  <si>
    <t xml:space="preserve">0728672265828</t>
  </si>
  <si>
    <t xml:space="preserve">2025-03-17</t>
  </si>
  <si>
    <t xml:space="preserve">BB-MKT-00893</t>
  </si>
  <si>
    <t xml:space="preserve">PH-3770-BL</t>
  </si>
  <si>
    <t xml:space="preserve">810753718623</t>
  </si>
  <si>
    <t xml:space="preserve">0810753718623</t>
  </si>
  <si>
    <t xml:space="preserve">BB-MKT-00279</t>
  </si>
  <si>
    <t xml:space="preserve">SA-7859-WH</t>
  </si>
  <si>
    <t xml:space="preserve">524692338663</t>
  </si>
  <si>
    <t xml:space="preserve">0524692338663</t>
  </si>
  <si>
    <t xml:space="preserve">Samsung 85" 1080p Full HD Smart TV 5-Series 4K</t>
  </si>
  <si>
    <t xml:space="preserve">BB-MKT-00688</t>
  </si>
  <si>
    <t xml:space="preserve">AR-8279-WH</t>
  </si>
  <si>
    <t xml:space="preserve">624583998833</t>
  </si>
  <si>
    <t xml:space="preserve">0624583998833</t>
  </si>
  <si>
    <t xml:space="preserve">BB-MKT-00025</t>
  </si>
  <si>
    <t xml:space="preserve">SE-1653-SL</t>
  </si>
  <si>
    <t xml:space="preserve">500755918055</t>
  </si>
  <si>
    <t xml:space="preserve">0500755918055</t>
  </si>
  <si>
    <t xml:space="preserve">Sennheiser Momentum 4 Over-ear Wired Headphones - EXTREMELY DETAILED SPEC DESCRIPTION THAT GOES WAY BEYOND THE ALLOWED CHARACTER LIMIT FOR BEST BUY MARKETPLACE LISTINGS</t>
  </si>
  <si>
    <t xml:space="preserve">2023-12-28</t>
  </si>
  <si>
    <t xml:space="preserve">BB-MKT-00274</t>
  </si>
  <si>
    <t xml:space="preserve">AS-5990-WH</t>
  </si>
  <si>
    <t xml:space="preserve">764825646884</t>
  </si>
  <si>
    <t xml:space="preserve">0764825646884</t>
  </si>
  <si>
    <t xml:space="preserve">ASUS VivoBook 16 13.3" Laptop - 8GB RAM 1024GB SSD</t>
  </si>
  <si>
    <t xml:space="preserve">BB-MKT-00822</t>
  </si>
  <si>
    <t xml:space="preserve">SA-5389-WH</t>
  </si>
  <si>
    <t xml:space="preserve">417951973095</t>
  </si>
  <si>
    <t xml:space="preserve">0417951973095</t>
  </si>
  <si>
    <t xml:space="preserve">BB-MKT-00208</t>
  </si>
  <si>
    <t xml:space="preserve">SA-1901-SL</t>
  </si>
  <si>
    <t xml:space="preserve">771962115421</t>
  </si>
  <si>
    <t xml:space="preserve">0771962115421</t>
  </si>
  <si>
    <t xml:space="preserve">BB-MKT-00491</t>
  </si>
  <si>
    <t xml:space="preserve">AM-6185-BL</t>
  </si>
  <si>
    <t xml:space="preserve">124000231030</t>
  </si>
  <si>
    <t xml:space="preserve">0124000231030</t>
  </si>
  <si>
    <t xml:space="preserve">Amazon Fire HD 10 11" 512GB Tablet</t>
  </si>
  <si>
    <t xml:space="preserve">2023-12-18</t>
  </si>
  <si>
    <t xml:space="preserve">BB-MKT-00737</t>
  </si>
  <si>
    <t xml:space="preserve">AC-3947-SL</t>
  </si>
  <si>
    <t xml:space="preserve">224682642709</t>
  </si>
  <si>
    <t xml:space="preserve">0224682642709</t>
  </si>
  <si>
    <t xml:space="preserve">Acer IdeaPad 5 15.6" Laptop - 64GB RAM 512GB SSD</t>
  </si>
  <si>
    <t xml:space="preserve">Experience premium performance with the Acer IdeaPad 5. Designed for professionals and students alike.</t>
  </si>
  <si>
    <t xml:space="preserve">https://images.bestbuy.com/marketplace/acer-ideapad-5-main.jpg</t>
  </si>
  <si>
    <t xml:space="preserve">RAM_GB: 64 | Storage_GB: 512 | Screen_Size: 15.6" | Processor: AMD Ryzen 7</t>
  </si>
  <si>
    <t xml:space="preserve">BB-MKT-00289</t>
  </si>
  <si>
    <t xml:space="preserve">PH-4937-WH</t>
  </si>
  <si>
    <t xml:space="preserve">591112361746</t>
  </si>
  <si>
    <t xml:space="preserve">0545688827887</t>
  </si>
  <si>
    <t xml:space="preserve">Transform your home with the Philips Hue Starter Kit. Easy setup and seamless smart home integration.</t>
  </si>
  <si>
    <t xml:space="preserve">https://images.bestbuy.com/marketplace/philips-hue-starter-kit-main.jpg</t>
  </si>
  <si>
    <t xml:space="preserve">BB-MKT-00727</t>
  </si>
  <si>
    <t xml:space="preserve">AP-5263-WH</t>
  </si>
  <si>
    <t xml:space="preserve">532865192113</t>
  </si>
  <si>
    <t xml:space="preserve">0532865192113</t>
  </si>
  <si>
    <t xml:space="preserve">Apple Katana 15 13.3" Laptop - 16GB RAM 1024GB SSD</t>
  </si>
  <si>
    <t xml:space="preserve">BB-MKT-00288</t>
  </si>
  <si>
    <t xml:space="preserve">AM-6437-SL</t>
  </si>
  <si>
    <t xml:space="preserve">335722394094</t>
  </si>
  <si>
    <t xml:space="preserve">0335722394094</t>
  </si>
  <si>
    <t xml:space="preserve">BB-MKT-00999</t>
  </si>
  <si>
    <t xml:space="preserve">AP-2301-BL</t>
  </si>
  <si>
    <t xml:space="preserve">886193757638</t>
  </si>
  <si>
    <t xml:space="preserve">0886193757638</t>
  </si>
  <si>
    <t xml:space="preserve">Apple XPS 15 14" Laptop - 8GB RAM 512GB SSD</t>
  </si>
  <si>
    <t xml:space="preserve">Experience premium performance with the Apple XPS 15. Designed for professionals and students alike.</t>
  </si>
  <si>
    <t xml:space="preserve">https://images.bestbuy.com/marketplace/apple-xps-15-main.jpg</t>
  </si>
  <si>
    <t xml:space="preserve">RAM_GB: 8 | Storage_GB: 512 | Screen_Size: 14" | Processor: Intel i7</t>
  </si>
  <si>
    <t xml:space="preserve">BB-MKT-00991</t>
  </si>
  <si>
    <t xml:space="preserve">WY-6633-SL</t>
  </si>
  <si>
    <t xml:space="preserve">838505041166</t>
  </si>
  <si>
    <t xml:space="preserve">0838505041166</t>
  </si>
  <si>
    <t xml:space="preserve">BB-MKT-00948</t>
  </si>
  <si>
    <t xml:space="preserve">AM-5315-WH</t>
  </si>
  <si>
    <t xml:space="preserve">545230011619</t>
  </si>
  <si>
    <t xml:space="preserve">0545230011619</t>
  </si>
  <si>
    <t xml:space="preserve">Amazon iPad Pro 12.9 8" 128GB Tablet</t>
  </si>
  <si>
    <t xml:space="preserve">2024-09-07</t>
  </si>
  <si>
    <t xml:space="preserve">BB-MKT-00673</t>
  </si>
  <si>
    <t xml:space="preserve">AP-6020-WH</t>
  </si>
  <si>
    <t xml:space="preserve">677274945763</t>
  </si>
  <si>
    <t xml:space="preserve">0677274945763</t>
  </si>
  <si>
    <t xml:space="preserve">Apple Fire HD 10 8" 128GB Tablet</t>
  </si>
  <si>
    <t xml:space="preserve">Storage_GB: 128 | Screen_Size: 8" | Cellular: Yes | RAM_GB: 12</t>
  </si>
  <si>
    <t xml:space="preserve">BB-MKT-00046</t>
  </si>
  <si>
    <t xml:space="preserve">AM-4995-BL</t>
  </si>
  <si>
    <t xml:space="preserve">597707816158</t>
  </si>
  <si>
    <t xml:space="preserve">0597707816158</t>
  </si>
  <si>
    <t xml:space="preserve">Amazon Surface Pro 9 10.1" 256GB Tablet</t>
  </si>
  <si>
    <t xml:space="preserve">BB-MKT-00919</t>
  </si>
  <si>
    <t xml:space="preserve">JB-2834-BL</t>
  </si>
  <si>
    <t xml:space="preserve">659442187201</t>
  </si>
  <si>
    <t xml:space="preserve">0659442187201</t>
  </si>
  <si>
    <t xml:space="preserve">JBL QuietComfort 45 Over-ear Wireless Headphones</t>
  </si>
  <si>
    <t xml:space="preserve">BB-MKT-00591</t>
  </si>
  <si>
    <t xml:space="preserve">LE-6511-BL</t>
  </si>
  <si>
    <t xml:space="preserve">785099948969</t>
  </si>
  <si>
    <t xml:space="preserve">0785099948969</t>
  </si>
  <si>
    <t xml:space="preserve">Lenovo VivoBook 16 13.3" Laptop - 32GB RAM 256GB SSD</t>
  </si>
  <si>
    <t xml:space="preserve">Experience premium performance with the Lenovo VivoBook 16. Designed for professionals and students alike.</t>
  </si>
  <si>
    <t xml:space="preserve">https://images.bestbuy.com/marketplace/lenovo-vivobook-16-main.jpg</t>
  </si>
  <si>
    <t xml:space="preserve">RAM_GB: 32 | Storage_GB: 256 | Screen_Size: 13.3" | Processor: AMD Ryzen 7</t>
  </si>
  <si>
    <t xml:space="preserve">BB-MKT-00014</t>
  </si>
  <si>
    <t xml:space="preserve">SO-8744-WH</t>
  </si>
  <si>
    <t xml:space="preserve">244049912883</t>
  </si>
  <si>
    <t xml:space="preserve">0244049912883</t>
  </si>
  <si>
    <t xml:space="preserve">Sony Momentum 4 Over-ear Wired Headphones</t>
  </si>
  <si>
    <t xml:space="preserve">BB-MKT-00180</t>
  </si>
  <si>
    <t xml:space="preserve">MI-3525-BL</t>
  </si>
  <si>
    <t xml:space="preserve">375917379943</t>
  </si>
  <si>
    <t xml:space="preserve">0375917379943</t>
  </si>
  <si>
    <t xml:space="preserve">0787851215839</t>
  </si>
  <si>
    <t xml:space="preserve">BB-MKT-00477</t>
  </si>
  <si>
    <t xml:space="preserve">HP-4962-BK</t>
  </si>
  <si>
    <t xml:space="preserve">956848700337</t>
  </si>
  <si>
    <t xml:space="preserve">0956848700337</t>
  </si>
  <si>
    <t xml:space="preserve">HP Katana 15 15.6" Laptop - 32GB RAM 1024GB SSD</t>
  </si>
  <si>
    <t xml:space="preserve">RAM_GB: 32 | Storage_GB: 1024 | Screen_Size: 15.6" | Processor: AMD Ryzen 5</t>
  </si>
  <si>
    <t xml:space="preserve">2025-03-28</t>
  </si>
  <si>
    <t xml:space="preserve">BB-MKT-00851</t>
  </si>
  <si>
    <t xml:space="preserve">SE-2410-BL</t>
  </si>
  <si>
    <t xml:space="preserve">868095225001</t>
  </si>
  <si>
    <t xml:space="preserve">0868095225001</t>
  </si>
  <si>
    <t xml:space="preserve">2024-08-14</t>
  </si>
  <si>
    <t xml:space="preserve">BB-MKT-00443</t>
  </si>
  <si>
    <t xml:space="preserve">VI-6336-WH</t>
  </si>
  <si>
    <t xml:space="preserve">921192384279</t>
  </si>
  <si>
    <t xml:space="preserve">0921192384279</t>
  </si>
  <si>
    <t xml:space="preserve">Vizio 75" 1080p Full HD Smart TV 5-Series 4K</t>
  </si>
  <si>
    <t xml:space="preserve">Screen_Size: 75" | Resolution: 1080p Full HD | Smart_TV: No | HDR: Dolby Vision</t>
  </si>
  <si>
    <t xml:space="preserve">BB-MKT-00510</t>
  </si>
  <si>
    <t xml:space="preserve">AP-4531-SL</t>
  </si>
  <si>
    <t xml:space="preserve">327016241926</t>
  </si>
  <si>
    <t xml:space="preserve">0327016241926</t>
  </si>
  <si>
    <t xml:space="preserve">2025-01-26</t>
  </si>
  <si>
    <t xml:space="preserve">BB-MKT-00039</t>
  </si>
  <si>
    <t xml:space="preserve">SA-7624-WH</t>
  </si>
  <si>
    <t xml:space="preserve">835883073006</t>
  </si>
  <si>
    <t xml:space="preserve">0835883073006</t>
  </si>
  <si>
    <t xml:space="preserve">Samsung Surface Pro 9 12.4" 512GB Tablet</t>
  </si>
  <si>
    <t xml:space="preserve">BB-MKT-00031</t>
  </si>
  <si>
    <t xml:space="preserve">AP-5844-WH</t>
  </si>
  <si>
    <t xml:space="preserve">866232475190</t>
  </si>
  <si>
    <t xml:space="preserve">0866232475190</t>
  </si>
  <si>
    <t xml:space="preserve">Apple IdeaPad 5 16" Laptop - 32GB RAM 1024GB SSD</t>
  </si>
  <si>
    <t xml:space="preserve">BB-MKT-00387</t>
  </si>
  <si>
    <t xml:space="preserve">RI-6718-BK</t>
  </si>
  <si>
    <t xml:space="preserve">160766297558</t>
  </si>
  <si>
    <t xml:space="preserve">0160766297558</t>
  </si>
  <si>
    <t xml:space="preserve">BB-MKT-00695</t>
  </si>
  <si>
    <t xml:space="preserve">NE-7911-WH</t>
  </si>
  <si>
    <t xml:space="preserve">736014295182</t>
  </si>
  <si>
    <t xml:space="preserve">0736014295182</t>
  </si>
  <si>
    <t xml:space="preserve">BB-MKT-00408</t>
  </si>
  <si>
    <t xml:space="preserve">AC-7648-BK</t>
  </si>
  <si>
    <t xml:space="preserve">435764110674</t>
  </si>
  <si>
    <t xml:space="preserve">0435764110674</t>
  </si>
  <si>
    <t xml:space="preserve">Acer Aspire 5 13.3" Laptop - 64GB RAM 512GB SSD</t>
  </si>
  <si>
    <t xml:space="preserve">BB-MKT-00067</t>
  </si>
  <si>
    <t xml:space="preserve">SE-9742-BL</t>
  </si>
  <si>
    <t xml:space="preserve">842395153057</t>
  </si>
  <si>
    <t xml:space="preserve">0842395153057</t>
  </si>
  <si>
    <t xml:space="preserve">Sennheiser Evolve2 85 On-ear Both Headphones</t>
  </si>
  <si>
    <t xml:space="preserve">BB-MKT-00157</t>
  </si>
  <si>
    <t xml:space="preserve">HP-6253-WH</t>
  </si>
  <si>
    <t xml:space="preserve">948676594151</t>
  </si>
  <si>
    <t xml:space="preserve">0948676594151</t>
  </si>
  <si>
    <t xml:space="preserve">HP Aspire 5 15.6" Laptop - 32GB RAM 256GB SSD</t>
  </si>
  <si>
    <t xml:space="preserve">2023-12-27</t>
  </si>
  <si>
    <t xml:space="preserve">BB-MKT-00709</t>
  </si>
  <si>
    <t xml:space="preserve">SO-5194-BL</t>
  </si>
  <si>
    <t xml:space="preserve">623926496088</t>
  </si>
  <si>
    <t xml:space="preserve">0623926496088</t>
  </si>
  <si>
    <t xml:space="preserve">BB-MKT-00749</t>
  </si>
  <si>
    <t xml:space="preserve">TC-4064-SL</t>
  </si>
  <si>
    <t xml:space="preserve">606351295520</t>
  </si>
  <si>
    <t xml:space="preserve">0606351295520</t>
  </si>
  <si>
    <t xml:space="preserve">TCL 85" 4K UHD Smart TV QLED 4K</t>
  </si>
  <si>
    <t xml:space="preserve">2024-12-28</t>
  </si>
  <si>
    <t xml:space="preserve">BB-MKT-00065</t>
  </si>
  <si>
    <t xml:space="preserve">VI-8749-BL</t>
  </si>
  <si>
    <t xml:space="preserve">448079814698</t>
  </si>
  <si>
    <t xml:space="preserve">0448079814698</t>
  </si>
  <si>
    <t xml:space="preserve">Vizio 75" 8K Smart TV OLED C3</t>
  </si>
  <si>
    <t xml:space="preserve">BB-MKT-00492</t>
  </si>
  <si>
    <t xml:space="preserve">SO-6952-BL</t>
  </si>
  <si>
    <t xml:space="preserve">429058180099</t>
  </si>
  <si>
    <t xml:space="preserve">0429058180099</t>
  </si>
  <si>
    <t xml:space="preserve">Sony 75" 1080p Full HD Smart TV 5-Series 4K</t>
  </si>
  <si>
    <t xml:space="preserve">BB-MKT-00577</t>
  </si>
  <si>
    <t xml:space="preserve">PH-8014-BK</t>
  </si>
  <si>
    <t xml:space="preserve">973872123951</t>
  </si>
  <si>
    <t xml:space="preserve">0973872123951</t>
  </si>
  <si>
    <t xml:space="preserve">BB-MKT-00024</t>
  </si>
  <si>
    <t xml:space="preserve">DE-8007-BK</t>
  </si>
  <si>
    <t xml:space="preserve">588514866975</t>
  </si>
  <si>
    <t xml:space="preserve">0588514866975</t>
  </si>
  <si>
    <t xml:space="preserve">RAM_GB: 16 | Storage_GB: 1024 | Screen_Size: 15.6" | Processor: Intel i7</t>
  </si>
  <si>
    <t xml:space="preserve">BB-MKT-00277</t>
  </si>
  <si>
    <t xml:space="preserve">GO-6536-BK</t>
  </si>
  <si>
    <t xml:space="preserve">309514605303</t>
  </si>
  <si>
    <t xml:space="preserve">0309514605303</t>
  </si>
  <si>
    <t xml:space="preserve">BB-MKT-00280</t>
  </si>
  <si>
    <t xml:space="preserve">LG-4560-WH</t>
  </si>
  <si>
    <t xml:space="preserve">883032284455</t>
  </si>
  <si>
    <t xml:space="preserve">0883032284455</t>
  </si>
  <si>
    <t xml:space="preserve">LG 75" 1080p Full HD Smart TV 5-Series 4K</t>
  </si>
  <si>
    <t xml:space="preserve">BB-MKT-00571</t>
  </si>
  <si>
    <t xml:space="preserve">AR-9731-SL</t>
  </si>
  <si>
    <t xml:space="preserve">864374516846</t>
  </si>
  <si>
    <t xml:space="preserve">0864374516846</t>
  </si>
  <si>
    <t xml:space="preserve">BB-MKT-00712</t>
  </si>
  <si>
    <t xml:space="preserve">SA-2531-SL</t>
  </si>
  <si>
    <t xml:space="preserve">610560624736</t>
  </si>
  <si>
    <t xml:space="preserve">0610560624736</t>
  </si>
  <si>
    <t xml:space="preserve">Samsung Fire HD 10 8" 512GB Tablet</t>
  </si>
  <si>
    <t xml:space="preserve">Storage_GB: 512 | Screen_Size: 8" | Cellular: Yes | RAM_GB: 12</t>
  </si>
  <si>
    <t xml:space="preserve">BB-MKT-00594</t>
  </si>
  <si>
    <t xml:space="preserve">GO-7616-BL</t>
  </si>
  <si>
    <t xml:space="preserve">960482233828</t>
  </si>
  <si>
    <t xml:space="preserve">0960482233828</t>
  </si>
  <si>
    <t xml:space="preserve">BB-MKT-00908</t>
  </si>
  <si>
    <t xml:space="preserve">MI-7779-WH</t>
  </si>
  <si>
    <t xml:space="preserve">954600475414</t>
  </si>
  <si>
    <t xml:space="preserve">0954600475414</t>
  </si>
  <si>
    <t xml:space="preserve">BB-MKT-00891</t>
  </si>
  <si>
    <t xml:space="preserve">HI-3106-WH</t>
  </si>
  <si>
    <t xml:space="preserve">268770222856</t>
  </si>
  <si>
    <t xml:space="preserve">0268770222856</t>
  </si>
  <si>
    <t xml:space="preserve">Screen_Size: 55" | Resolution: 8K | Smart_TV: No | HDR: HDR10+</t>
  </si>
  <si>
    <t xml:space="preserve">BB-MKT-00467</t>
  </si>
  <si>
    <t xml:space="preserve">MI-8593-WH</t>
  </si>
  <si>
    <t xml:space="preserve">642471181620</t>
  </si>
  <si>
    <t xml:space="preserve">0642471181620</t>
  </si>
  <si>
    <t xml:space="preserve">Storage_GB: 512 | Screen_Size: 8" | Cellular: No | RAM_GB: 16</t>
  </si>
  <si>
    <t xml:space="preserve">BB-MKT-00241</t>
  </si>
  <si>
    <t xml:space="preserve">MS-7936-BK</t>
  </si>
  <si>
    <t xml:space="preserve">143491637722</t>
  </si>
  <si>
    <t xml:space="preserve">0143491637722</t>
  </si>
  <si>
    <t xml:space="preserve">MSI VivoBook 16 14" Laptop - 16GB RAM 256GB SSD</t>
  </si>
  <si>
    <t xml:space="preserve">RAM_GB: 16 | Storage_GB: 256 | Screen_Size: 14" | Processor: Intel i7</t>
  </si>
  <si>
    <t xml:space="preserve">BB-MKT-00743</t>
  </si>
  <si>
    <t xml:space="preserve">SE-6289-BL</t>
  </si>
  <si>
    <t xml:space="preserve">0212265009527</t>
  </si>
  <si>
    <t xml:space="preserve">Sennheiser WH-1000XM5 Over-ear Wireless Headphones</t>
  </si>
  <si>
    <t xml:space="preserve">Type: Over-ear | Connectivity: Wireless | ANC: Yes | Battery_Hours: 20</t>
  </si>
  <si>
    <t xml:space="preserve">BB-MKT-00089</t>
  </si>
  <si>
    <t xml:space="preserve">AR-6062-SL</t>
  </si>
  <si>
    <t xml:space="preserve">869972833362</t>
  </si>
  <si>
    <t xml:space="preserve">0869972833362</t>
  </si>
  <si>
    <t xml:space="preserve">BB-MKT-00116</t>
  </si>
  <si>
    <t xml:space="preserve">MS-8204-BL</t>
  </si>
  <si>
    <t xml:space="preserve">917761866683</t>
  </si>
  <si>
    <t xml:space="preserve">0917761866683</t>
  </si>
  <si>
    <t xml:space="preserve">RAM_GB: 32 | Storage_GB: 512 | Screen_Size: 13.3" | Processor: AMD Ryzen 5</t>
  </si>
  <si>
    <t xml:space="preserve">BB-MKT-00015</t>
  </si>
  <si>
    <t xml:space="preserve">MI-6559-BK</t>
  </si>
  <si>
    <t xml:space="preserve">542641960943</t>
  </si>
  <si>
    <t xml:space="preserve">0542641960943</t>
  </si>
  <si>
    <t xml:space="preserve">BB-MKT-00179</t>
  </si>
  <si>
    <t xml:space="preserve">AM-4273-WH</t>
  </si>
  <si>
    <t xml:space="preserve">226121781400</t>
  </si>
  <si>
    <t xml:space="preserve">0226121781400</t>
  </si>
  <si>
    <t xml:space="preserve">Amazon Galaxy Tab S9 12.4" 256GB Tablet</t>
  </si>
  <si>
    <t xml:space="preserve">BB-MKT-00488</t>
  </si>
  <si>
    <t xml:space="preserve">AC-1913-BL</t>
  </si>
  <si>
    <t xml:space="preserve">654722131637</t>
  </si>
  <si>
    <t xml:space="preserve">0654722131637</t>
  </si>
  <si>
    <t xml:space="preserve">RAM_GB: 64 | Storage_GB: 1024 | Screen_Size: 16" | Processor: AMD Ryzen 7</t>
  </si>
  <si>
    <t xml:space="preserve">BB-MKT-00982</t>
  </si>
  <si>
    <t xml:space="preserve">LE-7844-BL</t>
  </si>
  <si>
    <t xml:space="preserve">561304365582</t>
  </si>
  <si>
    <t xml:space="preserve">0561304365582</t>
  </si>
  <si>
    <t xml:space="preserve">Storage_GB: 128 | Screen_Size: 12.4" | Cellular: Yes | RAM_GB: 8</t>
  </si>
  <si>
    <t xml:space="preserve">BB-MKT-00954</t>
  </si>
  <si>
    <t xml:space="preserve">AM-1942-SL</t>
  </si>
  <si>
    <t xml:space="preserve">716106479903</t>
  </si>
  <si>
    <t xml:space="preserve">0716106479903</t>
  </si>
  <si>
    <t xml:space="preserve">Storage_GB: 64 | Screen_Size: 10.1" | Cellular: Yes | RAM_GB: 16</t>
  </si>
  <si>
    <t xml:space="preserve">BB-MKT-00902</t>
  </si>
  <si>
    <t xml:space="preserve">SA-8731-BK</t>
  </si>
  <si>
    <t xml:space="preserve">683112336001</t>
  </si>
  <si>
    <t xml:space="preserve">0683112336001</t>
  </si>
  <si>
    <t xml:space="preserve">Samsung 50" 8K Smart TV OLED C3</t>
  </si>
  <si>
    <t xml:space="preserve">BB-MKT-00032</t>
  </si>
  <si>
    <t xml:space="preserve">AM-6279-BL</t>
  </si>
  <si>
    <t xml:space="preserve">739029968283</t>
  </si>
  <si>
    <t xml:space="preserve">0739029968283</t>
  </si>
  <si>
    <t xml:space="preserve">Amazon iPad Pro 12.9 11" 256GB Tablet</t>
  </si>
  <si>
    <t xml:space="preserve">BB-MKT-00812</t>
  </si>
  <si>
    <t xml:space="preserve">MI-9082-SL</t>
  </si>
  <si>
    <t xml:space="preserve">427415078826</t>
  </si>
  <si>
    <t xml:space="preserve">0427415078826</t>
  </si>
  <si>
    <t xml:space="preserve">Microsoft Tab P12 Pro 12.9" 128GB Tablet</t>
  </si>
  <si>
    <t xml:space="preserve">BB-MKT-00699</t>
  </si>
  <si>
    <t xml:space="preserve">VI-8274-BK</t>
  </si>
  <si>
    <t xml:space="preserve">472470547964</t>
  </si>
  <si>
    <t xml:space="preserve">0472470547964</t>
  </si>
  <si>
    <t xml:space="preserve">Vizio 85" 8K Smart TV U8K</t>
  </si>
  <si>
    <t xml:space="preserve">BB-MKT-00763</t>
  </si>
  <si>
    <t xml:space="preserve">AP-4585-BK</t>
  </si>
  <si>
    <t xml:space="preserve">418174260825</t>
  </si>
  <si>
    <t xml:space="preserve">0817120960336</t>
  </si>
  <si>
    <t xml:space="preserve">Apple IdeaPad 5 14" Laptop - 16GB RAM 1024GB SSD</t>
  </si>
  <si>
    <t xml:space="preserve">RAM_GB: 16 | Storage_GB: 1024 | Screen_Size: 14" | Processor: AMD Ryzen 7</t>
  </si>
  <si>
    <t xml:space="preserve">BB-MKT-00652</t>
  </si>
  <si>
    <t xml:space="preserve">AP-9035-SL</t>
  </si>
  <si>
    <t xml:space="preserve">252234773454</t>
  </si>
  <si>
    <t xml:space="preserve">0252234773454</t>
  </si>
  <si>
    <t xml:space="preserve">BB-MKT-00942</t>
  </si>
  <si>
    <t xml:space="preserve">WY-2615-BK</t>
  </si>
  <si>
    <t xml:space="preserve">749003049187</t>
  </si>
  <si>
    <t xml:space="preserve">0749003049187</t>
  </si>
  <si>
    <t xml:space="preserve">BB-MKT-00124</t>
  </si>
  <si>
    <t xml:space="preserve">AM-9612-BL</t>
  </si>
  <si>
    <t xml:space="preserve">627073531786</t>
  </si>
  <si>
    <t xml:space="preserve">0627073531786</t>
  </si>
  <si>
    <t xml:space="preserve">BB-MKT-00210</t>
  </si>
  <si>
    <t xml:space="preserve">LE-2262-BL</t>
  </si>
  <si>
    <t xml:space="preserve">789671467426</t>
  </si>
  <si>
    <t xml:space="preserve">0789671467426</t>
  </si>
  <si>
    <t xml:space="preserve">Lenovo Katana 15 13.3" Laptop - 64GB RAM 512GB SSD</t>
  </si>
  <si>
    <t xml:space="preserve">RAM_GB: 64 | Storage_GB: 512 | Screen_Size: 13.3" | Processor: AMD Ryzen 5</t>
  </si>
  <si>
    <t xml:space="preserve">BB-MKT-00937</t>
  </si>
  <si>
    <t xml:space="preserve">BO-5513-SL</t>
  </si>
  <si>
    <t xml:space="preserve">256523131074</t>
  </si>
  <si>
    <t xml:space="preserve">0256523131074</t>
  </si>
  <si>
    <t xml:space="preserve">BB-MKT-00820</t>
  </si>
  <si>
    <t xml:space="preserve">GO-8947-BL</t>
  </si>
  <si>
    <t xml:space="preserve">835694035930</t>
  </si>
  <si>
    <t xml:space="preserve">0835694035930</t>
  </si>
  <si>
    <t xml:space="preserve">BB-MKT-00909</t>
  </si>
  <si>
    <t xml:space="preserve">SA-2114-SL</t>
  </si>
  <si>
    <t xml:space="preserve">946711860902</t>
  </si>
  <si>
    <t xml:space="preserve">0946711860902</t>
  </si>
  <si>
    <t xml:space="preserve">Samsung Surface Pro 9 12.9" 256GB Tablet</t>
  </si>
  <si>
    <t xml:space="preserve">Storage_GB: 256 | Screen_Size: 12.9" | Cellular: No | RAM_GB: 4</t>
  </si>
  <si>
    <t xml:space="preserve">BB-MKT-00955</t>
  </si>
  <si>
    <t xml:space="preserve">SE-3184-BL</t>
  </si>
  <si>
    <t xml:space="preserve">940543215216</t>
  </si>
  <si>
    <t xml:space="preserve">0940543215216</t>
  </si>
  <si>
    <t xml:space="preserve">BB-MKT-00468</t>
  </si>
  <si>
    <t xml:space="preserve">AP-5009-BK</t>
  </si>
  <si>
    <t xml:space="preserve">859808891203</t>
  </si>
  <si>
    <t xml:space="preserve">0859808891203</t>
  </si>
  <si>
    <t xml:space="preserve">Apple MacBook Air 14" Laptop - 32GB RAM 512GB SSD</t>
  </si>
  <si>
    <t xml:space="preserve">BB-MKT-00146</t>
  </si>
  <si>
    <t xml:space="preserve">NE-8518-SL</t>
  </si>
  <si>
    <t xml:space="preserve">903856791884</t>
  </si>
  <si>
    <t xml:space="preserve">0903856791884</t>
  </si>
  <si>
    <t xml:space="preserve">BB-MKT-00310</t>
  </si>
  <si>
    <t xml:space="preserve">AR-8429-BK</t>
  </si>
  <si>
    <t xml:space="preserve">476606746380</t>
  </si>
  <si>
    <t xml:space="preserve">0476606746380</t>
  </si>
  <si>
    <t xml:space="preserve">BB-MKT-00123</t>
  </si>
  <si>
    <t xml:space="preserve">SO-9094-BK</t>
  </si>
  <si>
    <t xml:space="preserve">968600167952</t>
  </si>
  <si>
    <t xml:space="preserve">0968600167952</t>
  </si>
  <si>
    <t xml:space="preserve">Sony 50" 4K UHD Smart TV U8K</t>
  </si>
  <si>
    <t xml:space="preserve">BB-MKT-00921</t>
  </si>
  <si>
    <t xml:space="preserve">HP-3297-BL</t>
  </si>
  <si>
    <t xml:space="preserve">269731189169</t>
  </si>
  <si>
    <t xml:space="preserve">0269731189169</t>
  </si>
  <si>
    <t xml:space="preserve">HP Katana 15 13.3" Laptop - 16GB RAM 256GB SSD</t>
  </si>
  <si>
    <t xml:space="preserve">RAM_GB: 16 | Storage_GB: 256 | Screen_Size: 13.3" | Processor: Intel i7</t>
  </si>
  <si>
    <t xml:space="preserve">BB-MKT-00036</t>
  </si>
  <si>
    <t xml:space="preserve">VI-9540-BL</t>
  </si>
  <si>
    <t xml:space="preserve">943004633186</t>
  </si>
  <si>
    <t xml:space="preserve">0943004633186</t>
  </si>
  <si>
    <t xml:space="preserve">Vizio 65" 8K Smart TV 5-Series 4K</t>
  </si>
  <si>
    <t xml:space="preserve">BB-MKT-00789</t>
  </si>
  <si>
    <t xml:space="preserve">AC-5094-BK</t>
  </si>
  <si>
    <t xml:space="preserve">894024587607</t>
  </si>
  <si>
    <t xml:space="preserve">0894024587607</t>
  </si>
  <si>
    <t xml:space="preserve">Acer XPS 15 13.3" Laptop - 16GB RAM 512GB SSD</t>
  </si>
  <si>
    <t xml:space="preserve">BB-MKT-00305</t>
  </si>
  <si>
    <t xml:space="preserve">AP-3848-BL</t>
  </si>
  <si>
    <t xml:space="preserve">725108223619</t>
  </si>
  <si>
    <t xml:space="preserve">0725108223619</t>
  </si>
  <si>
    <t xml:space="preserve">RAM_GB: 32 | Storage_GB: 1024 | Screen_Size: 15.6" | Processor: Apple M2</t>
  </si>
  <si>
    <t xml:space="preserve">BB-MKT-00023</t>
  </si>
  <si>
    <t xml:space="preserve">GO-9004-SL</t>
  </si>
  <si>
    <t xml:space="preserve">655184583398</t>
  </si>
  <si>
    <t xml:space="preserve">0655184583398</t>
  </si>
  <si>
    <t xml:space="preserve">BB-MKT-00670</t>
  </si>
  <si>
    <t xml:space="preserve">SA-4874-BK</t>
  </si>
  <si>
    <t xml:space="preserve">115032389548</t>
  </si>
  <si>
    <t xml:space="preserve">0115032389548</t>
  </si>
  <si>
    <t xml:space="preserve">Samsung 43" 4K UHD Smart TV QLED 4K</t>
  </si>
  <si>
    <t xml:space="preserve">BB-MKT-00428</t>
  </si>
  <si>
    <t xml:space="preserve">HI-8065-WH</t>
  </si>
  <si>
    <t xml:space="preserve">693323414947</t>
  </si>
  <si>
    <t xml:space="preserve">0693323414947</t>
  </si>
  <si>
    <t xml:space="preserve">Hisense 50" 1080p Full HD Smart TV 5-Series 4K</t>
  </si>
  <si>
    <t xml:space="preserve">BB-MKT-00287</t>
  </si>
  <si>
    <t xml:space="preserve">AM-2194-SL</t>
  </si>
  <si>
    <t xml:space="preserve">493204943911</t>
  </si>
  <si>
    <t xml:space="preserve">0493204943911</t>
  </si>
  <si>
    <t xml:space="preserve">BB-MKT-00382</t>
  </si>
  <si>
    <t xml:space="preserve">AM-1408-WH</t>
  </si>
  <si>
    <t xml:space="preserve">595310493155</t>
  </si>
  <si>
    <t xml:space="preserve">0595310493155</t>
  </si>
  <si>
    <t xml:space="preserve">BB-MKT-00898</t>
  </si>
  <si>
    <t xml:space="preserve">HP-9886-WH</t>
  </si>
  <si>
    <t xml:space="preserve">208221992824</t>
  </si>
  <si>
    <t xml:space="preserve">0208221992824</t>
  </si>
  <si>
    <t xml:space="preserve">BB-MKT-00760</t>
  </si>
  <si>
    <t xml:space="preserve">AC-6685-SL</t>
  </si>
  <si>
    <t xml:space="preserve">601632135167</t>
  </si>
  <si>
    <t xml:space="preserve">0601632135167</t>
  </si>
  <si>
    <t xml:space="preserve">Acer Aspire 5 13.3" Laptop - 32GB RAM 1024GB SSD</t>
  </si>
  <si>
    <t xml:space="preserve">BB-MKT-00434</t>
  </si>
  <si>
    <t xml:space="preserve">SO-9570-BL</t>
  </si>
  <si>
    <t xml:space="preserve">985672413792</t>
  </si>
  <si>
    <t xml:space="preserve">0985672413792</t>
  </si>
  <si>
    <t xml:space="preserve">Sony AirPods Max In-ear Wireless Headphones</t>
  </si>
  <si>
    <t xml:space="preserve">BB-MKT-00995</t>
  </si>
  <si>
    <t xml:space="preserve">JB-5428-BL</t>
  </si>
  <si>
    <t xml:space="preserve">841720615352</t>
  </si>
  <si>
    <t xml:space="preserve">0841720615352</t>
  </si>
  <si>
    <t xml:space="preserve">BB-MKT-00196</t>
  </si>
  <si>
    <t xml:space="preserve">LE-2525-BL</t>
  </si>
  <si>
    <t xml:space="preserve">796109041872</t>
  </si>
  <si>
    <t xml:space="preserve">0796109041872</t>
  </si>
  <si>
    <t xml:space="preserve">BB-MKT-00662</t>
  </si>
  <si>
    <t xml:space="preserve">AM-4115-BK</t>
  </si>
  <si>
    <t xml:space="preserve">774369566639</t>
  </si>
  <si>
    <t xml:space="preserve">0774369566639</t>
  </si>
  <si>
    <t xml:space="preserve">BB-MKT-00221</t>
  </si>
  <si>
    <t xml:space="preserve">MI-3110-BK</t>
  </si>
  <si>
    <t xml:space="preserve">588105797047</t>
  </si>
  <si>
    <t xml:space="preserve">0588105797047</t>
  </si>
  <si>
    <t xml:space="preserve">Microsoft iPad Pro 12.9 8" 256GB Tablet</t>
  </si>
  <si>
    <t xml:space="preserve">Storage_GB: 256 | Screen_Size: 8" | Cellular: Yes | RAM_GB: 4</t>
  </si>
  <si>
    <t xml:space="preserve">BB-MKT-00377</t>
  </si>
  <si>
    <t xml:space="preserve">GO-8808-WH</t>
  </si>
  <si>
    <t xml:space="preserve">957654036206</t>
  </si>
  <si>
    <t xml:space="preserve">0957654036206</t>
  </si>
  <si>
    <t xml:space="preserve">BB-MKT-00055</t>
  </si>
  <si>
    <t xml:space="preserve">LE-5632-BL</t>
  </si>
  <si>
    <t xml:space="preserve">874331514343</t>
  </si>
  <si>
    <t xml:space="preserve">0874331514343</t>
  </si>
  <si>
    <t xml:space="preserve">Lenovo Fire HD 10 11" 512GB Tablet</t>
  </si>
  <si>
    <t xml:space="preserve">BB-MKT-00100</t>
  </si>
  <si>
    <t xml:space="preserve">AR-2695-SL</t>
  </si>
  <si>
    <t xml:space="preserve">594186984574</t>
  </si>
  <si>
    <t xml:space="preserve">0594186984574</t>
  </si>
  <si>
    <t xml:space="preserve">2024-09-27</t>
  </si>
  <si>
    <t xml:space="preserve">BB-MKT-00164</t>
  </si>
  <si>
    <t xml:space="preserve">AP-7841-SL</t>
  </si>
  <si>
    <t xml:space="preserve">383537505481</t>
  </si>
  <si>
    <t xml:space="preserve">0726033399184</t>
  </si>
  <si>
    <t xml:space="preserve">Apple Tour One Over-ear Both Headphones</t>
  </si>
  <si>
    <t xml:space="preserve">BB-MKT-00985</t>
  </si>
  <si>
    <t xml:space="preserve">HP-8074-WH</t>
  </si>
  <si>
    <t xml:space="preserve">670960591325</t>
  </si>
  <si>
    <t xml:space="preserve">0670960591325</t>
  </si>
  <si>
    <t xml:space="preserve">BB-MKT-00582</t>
  </si>
  <si>
    <t xml:space="preserve">WY-8443-BK</t>
  </si>
  <si>
    <t xml:space="preserve">212366136952</t>
  </si>
  <si>
    <t xml:space="preserve">0212366136952</t>
  </si>
  <si>
    <t xml:space="preserve">2024-10-23</t>
  </si>
  <si>
    <t xml:space="preserve">BB-MKT-00747</t>
  </si>
  <si>
    <t xml:space="preserve">LE-9644-SL</t>
  </si>
  <si>
    <t xml:space="preserve">752036145379</t>
  </si>
  <si>
    <t xml:space="preserve">0752036145379</t>
  </si>
  <si>
    <t xml:space="preserve">Lenovo Galaxy Tab S9 8" 512GB Tablet</t>
  </si>
  <si>
    <t xml:space="preserve">BB-MKT-00391</t>
  </si>
  <si>
    <t xml:space="preserve">SA-8616-BK</t>
  </si>
  <si>
    <t xml:space="preserve">126277499576</t>
  </si>
  <si>
    <t xml:space="preserve">0126277499576</t>
  </si>
  <si>
    <t xml:space="preserve">Samsung Fire HD 10 11" 128GB Tablet</t>
  </si>
  <si>
    <t xml:space="preserve">BB-MKT-00456</t>
  </si>
  <si>
    <t xml:space="preserve">JB-1361-WH</t>
  </si>
  <si>
    <t xml:space="preserve">169531486092</t>
  </si>
  <si>
    <t xml:space="preserve">0169531486092</t>
  </si>
  <si>
    <t xml:space="preserve">JBL Tour One In-ear Both Headphones</t>
  </si>
  <si>
    <t xml:space="preserve">Type: In-ear | Connectivity: Both | ANC: Yes | Battery_Hours: 30</t>
  </si>
  <si>
    <t xml:space="preserve">BB-MKT-00311</t>
  </si>
  <si>
    <t xml:space="preserve">PH-8796-BK</t>
  </si>
  <si>
    <t xml:space="preserve">293687127561</t>
  </si>
  <si>
    <t xml:space="preserve">0293687127561</t>
  </si>
  <si>
    <t xml:space="preserve">BB-MKT-00953</t>
  </si>
  <si>
    <t xml:space="preserve">MS-6707-WH</t>
  </si>
  <si>
    <t xml:space="preserve">351702656792</t>
  </si>
  <si>
    <t xml:space="preserve">0351702656792</t>
  </si>
  <si>
    <t xml:space="preserve">MSI Aspire 5 15.6" Laptop - 64GB RAM 1024GB SSD</t>
  </si>
  <si>
    <t xml:space="preserve">BB-MKT-00281</t>
  </si>
  <si>
    <t xml:space="preserve">HI-6771-BL</t>
  </si>
  <si>
    <t xml:space="preserve">933719317209</t>
  </si>
  <si>
    <t xml:space="preserve">0933719317209</t>
  </si>
  <si>
    <t xml:space="preserve">Hisense 85" 1080p Full HD Smart TV U8K</t>
  </si>
  <si>
    <t xml:space="preserve">BB-MKT-00970</t>
  </si>
  <si>
    <t xml:space="preserve">SA-5230-BL</t>
  </si>
  <si>
    <t xml:space="preserve">373154558346</t>
  </si>
  <si>
    <t xml:space="preserve">0373154558346</t>
  </si>
  <si>
    <t xml:space="preserve">Samsung Surface Pro 9 8" 512GB Tablet</t>
  </si>
  <si>
    <t xml:space="preserve">BB-MKT-00012</t>
  </si>
  <si>
    <t xml:space="preserve">PH-4295-SL</t>
  </si>
  <si>
    <t xml:space="preserve">902107756371</t>
  </si>
  <si>
    <t xml:space="preserve">0902107756371</t>
  </si>
  <si>
    <t xml:space="preserve">BB-MKT-00878</t>
  </si>
  <si>
    <t xml:space="preserve">AM-6166-BL</t>
  </si>
  <si>
    <t xml:space="preserve">925887091241</t>
  </si>
  <si>
    <t xml:space="preserve">0925887091241</t>
  </si>
  <si>
    <t xml:space="preserve">Amazon Surface Pro 9 10.1" 64GB Tablet</t>
  </si>
  <si>
    <t xml:space="preserve">Storage_GB: 64 | Screen_Size: 10.1" | Cellular: No | RAM_GB: 8</t>
  </si>
  <si>
    <t xml:space="preserve">BB-MKT-00052</t>
  </si>
  <si>
    <t xml:space="preserve">LE-2070-BL</t>
  </si>
  <si>
    <t xml:space="preserve">226605882836</t>
  </si>
  <si>
    <t xml:space="preserve">0226605882836</t>
  </si>
  <si>
    <t xml:space="preserve">BB-MKT-00635</t>
  </si>
  <si>
    <t xml:space="preserve">HI-2645-BL</t>
  </si>
  <si>
    <t xml:space="preserve">623688989520</t>
  </si>
  <si>
    <t xml:space="preserve">0623688989520</t>
  </si>
  <si>
    <t xml:space="preserve">BB-MKT-00064</t>
  </si>
  <si>
    <t xml:space="preserve">BE-8935-SL</t>
  </si>
  <si>
    <t xml:space="preserve">690328426008</t>
  </si>
  <si>
    <t xml:space="preserve">0690328426008</t>
  </si>
  <si>
    <t xml:space="preserve">BB-MKT-00001</t>
  </si>
  <si>
    <t xml:space="preserve">AP-9935-BK</t>
  </si>
  <si>
    <t xml:space="preserve">914655221101</t>
  </si>
  <si>
    <t xml:space="preserve">0914655221101</t>
  </si>
  <si>
    <t xml:space="preserve">Apple IdeaPad 5 14" Laptop - 16GB RAM 256GB SSD</t>
  </si>
  <si>
    <t xml:space="preserve">BB-MKT-00220</t>
  </si>
  <si>
    <t xml:space="preserve">SA-3290-BK</t>
  </si>
  <si>
    <t xml:space="preserve">213653610350</t>
  </si>
  <si>
    <t xml:space="preserve">0213653610350</t>
  </si>
  <si>
    <t xml:space="preserve">Samsung 65" 1080p Full HD Smart TV 5-Series 4K</t>
  </si>
  <si>
    <t xml:space="preserve">Screen_Size: 65" | Resolution: 1080p Full HD | Smart_TV: Yes | HDR: HDR10</t>
  </si>
  <si>
    <t xml:space="preserve">BB-MKT-00160</t>
  </si>
  <si>
    <t xml:space="preserve">AM-2295-BL</t>
  </si>
  <si>
    <t xml:space="preserve">461650577481</t>
  </si>
  <si>
    <t xml:space="preserve">0461650577481</t>
  </si>
  <si>
    <t xml:space="preserve">BB-MKT-00509</t>
  </si>
  <si>
    <t xml:space="preserve">SA-8129-BL</t>
  </si>
  <si>
    <t xml:space="preserve">678611909978</t>
  </si>
  <si>
    <t xml:space="preserve">0678611909978</t>
  </si>
  <si>
    <t xml:space="preserve">Samsung 50" 1080p Full HD Smart TV Bravia XR</t>
  </si>
  <si>
    <t xml:space="preserve">BB-MKT-00585</t>
  </si>
  <si>
    <t xml:space="preserve">GO-2657-BK</t>
  </si>
  <si>
    <t xml:space="preserve">391382956983</t>
  </si>
  <si>
    <t xml:space="preserve">0391382956983</t>
  </si>
  <si>
    <t xml:space="preserve">BB-MKT-00984</t>
  </si>
  <si>
    <t xml:space="preserve">PH-7436-WH</t>
  </si>
  <si>
    <t xml:space="preserve">333246355079</t>
  </si>
  <si>
    <t xml:space="preserve">0333246355079</t>
  </si>
  <si>
    <t xml:space="preserve">Philips Hue Starter Kit Smart Home Device</t>
  </si>
  <si>
    <t xml:space="preserve">BB-MKT-00339</t>
  </si>
  <si>
    <t xml:space="preserve">AP-3233-SL</t>
  </si>
  <si>
    <t xml:space="preserve">671231047002</t>
  </si>
  <si>
    <t xml:space="preserve">0671231047002</t>
  </si>
  <si>
    <t xml:space="preserve">BB-MKT-00801</t>
  </si>
  <si>
    <t xml:space="preserve">AP-2788-BK</t>
  </si>
  <si>
    <t xml:space="preserve">483260104700</t>
  </si>
  <si>
    <t xml:space="preserve">0483260104700</t>
  </si>
  <si>
    <t xml:space="preserve">Apple WH-1000XM5 In-ear Wired Headphones</t>
  </si>
  <si>
    <t xml:space="preserve">Type: In-ear | Connectivity: Wired | ANC: Yes | Battery_Hours: 40</t>
  </si>
  <si>
    <t xml:space="preserve">BB-MKT-00938</t>
  </si>
  <si>
    <t xml:space="preserve">NE-8444-WH</t>
  </si>
  <si>
    <t xml:space="preserve">918368477996</t>
  </si>
  <si>
    <t xml:space="preserve">0132004592067</t>
  </si>
  <si>
    <t xml:space="preserve">BB-MKT-00796</t>
  </si>
  <si>
    <t xml:space="preserve">NE-9501-SL</t>
  </si>
  <si>
    <t xml:space="preserve">892733291701</t>
  </si>
  <si>
    <t xml:space="preserve">0892733291701</t>
  </si>
  <si>
    <t xml:space="preserve">BB-MKT-00684</t>
  </si>
  <si>
    <t xml:space="preserve">MI-7479-WH</t>
  </si>
  <si>
    <t xml:space="preserve">324492758714</t>
  </si>
  <si>
    <t xml:space="preserve">0324492758714</t>
  </si>
  <si>
    <t xml:space="preserve">BB-MKT-00371</t>
  </si>
  <si>
    <t xml:space="preserve">AM-1352-BK</t>
  </si>
  <si>
    <t xml:space="preserve">606663510951</t>
  </si>
  <si>
    <t xml:space="preserve">0606663510951</t>
  </si>
  <si>
    <t xml:space="preserve">BEST BUY MARKETPLACE  PRODUCT DATA QUALITY AUDIT ENGINE</t>
  </si>
  <si>
    <t xml:space="preserve">Source: Marketplace Product Catalog (PDM Portal) | Best Buy 10-K FY2025 Ref: Marketplace Data Quality Initiative | Refreshed: June 01, 2026</t>
  </si>
  <si>
    <t xml:space="preserve">UPC_Present</t>
  </si>
  <si>
    <t xml:space="preserve">GTIN_Match</t>
  </si>
  <si>
    <t xml:space="preserve">Title_OK</t>
  </si>
  <si>
    <t xml:space="preserve">Price_Range_OK</t>
  </si>
  <si>
    <t xml:space="preserve">Image_Present</t>
  </si>
  <si>
    <t xml:space="preserve">Brand_Present</t>
  </si>
  <si>
    <t xml:space="preserve">Not_Stale</t>
  </si>
  <si>
    <t xml:space="preserve">Issue_Count</t>
  </si>
  <si>
    <t xml:space="preserve">Severity</t>
  </si>
  <si>
    <t xml:space="preserve">Action_Required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</si>
  <si>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</si>
  <si>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</si>
  <si>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</si>
  <si>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</si>
  <si>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</si>
  <si>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</si>
  <si>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</si>
  <si>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</si>
  <si>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</si>
  <si>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</si>
  <si>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</si>
  <si>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</si>
  <si>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</si>
  <si>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</si>
  <si>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</si>
  <si>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</si>
  <si>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</si>
  <si>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</si>
  <si>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</si>
  <si>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</si>
  <si>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</si>
  <si>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</si>
  <si>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</si>
  <si>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</si>
  <si>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</si>
  <si>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</si>
  <si>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</si>
  <si>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</si>
  <si>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</si>
  <si>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</si>
  <si>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</si>
  <si>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</si>
  <si>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</si>
  <si>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</si>
  <si>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</si>
  <si>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</si>
  <si>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</si>
  <si>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</si>
  <si>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41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</si>
  <si>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</si>
  <si>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</si>
  <si>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</si>
  <si>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</si>
  <si>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</si>
  <si>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</si>
  <si>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</si>
  <si>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</si>
  <si>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</si>
  <si>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</si>
  <si>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</si>
  <si>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</si>
  <si>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</si>
  <si>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</si>
  <si>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</si>
  <si>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</si>
  <si>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</si>
  <si>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</si>
  <si>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</si>
  <si>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</si>
  <si>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</si>
  <si>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</si>
  <si>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</si>
  <si>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</si>
  <si>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</si>
  <si>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</si>
  <si>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</si>
  <si>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</si>
  <si>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</si>
  <si>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</si>
  <si>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</si>
  <si>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</si>
  <si>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</si>
  <si>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</si>
  <si>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</si>
  <si>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</si>
  <si>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</si>
  <si>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</si>
  <si>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</si>
  <si>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</si>
  <si>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</si>
  <si>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</si>
  <si>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</si>
  <si>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</si>
  <si>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</si>
  <si>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</si>
  <si>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</si>
  <si>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</si>
  <si>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</si>
  <si>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</si>
  <si>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</si>
  <si>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</si>
  <si>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</si>
  <si>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</si>
  <si>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</si>
  <si>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</si>
  <si>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</si>
  <si>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</si>
  <si>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</si>
  <si>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</si>
  <si>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</si>
  <si>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</si>
  <si>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</si>
  <si>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</si>
  <si>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</si>
  <si>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</si>
  <si>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</si>
  <si>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</si>
  <si>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</si>
  <si>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</si>
  <si>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</si>
  <si>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</si>
  <si>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</si>
  <si>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</si>
  <si>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</si>
  <si>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</si>
  <si>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</si>
  <si>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</si>
  <si>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</si>
  <si>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</si>
  <si>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</si>
  <si>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</si>
  <si>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</si>
  <si>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</si>
  <si>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</si>
  <si>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</si>
  <si>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</si>
  <si>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</si>
  <si>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</si>
  <si>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</si>
  <si>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</si>
  <si>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</si>
  <si>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</si>
  <si>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</si>
  <si>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</si>
  <si>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</si>
  <si>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</si>
  <si>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</si>
  <si>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</si>
  <si>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</si>
  <si>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</si>
  <si>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</si>
  <si>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</si>
  <si>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</si>
  <si>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</si>
  <si>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</si>
  <si>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</si>
  <si>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</si>
  <si>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</si>
  <si>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</si>
  <si>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</si>
  <si>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</si>
  <si>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</si>
  <si>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</si>
  <si>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</si>
  <si>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</si>
  <si>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</si>
  <si>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</si>
  <si>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</si>
  <si>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</si>
  <si>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</si>
  <si>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</si>
  <si>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</si>
  <si>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</si>
  <si>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</si>
  <si>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</si>
  <si>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</si>
  <si>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</si>
  <si>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</si>
  <si>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</si>
  <si>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</si>
  <si>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</si>
  <si>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</si>
  <si>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</si>
  <si>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</si>
  <si>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</si>
  <si>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</si>
  <si>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</si>
  <si>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</si>
  <si>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</si>
  <si>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</si>
  <si>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</si>
  <si>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</si>
  <si>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</si>
  <si>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</si>
  <si>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</si>
  <si>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</si>
  <si>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</si>
  <si>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</si>
  <si>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</si>
  <si>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</si>
  <si>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</si>
  <si>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</si>
  <si>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</si>
  <si>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</si>
  <si>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</si>
  <si>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</si>
  <si>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</si>
  <si>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</si>
  <si>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</si>
  <si>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</si>
  <si>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</si>
  <si>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</si>
  <si>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</si>
  <si>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</si>
  <si>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</si>
  <si>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</si>
  <si>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</si>
  <si>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</si>
  <si>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</si>
  <si>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</si>
  <si>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</si>
  <si>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</si>
  <si>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</si>
  <si>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</si>
  <si>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</si>
  <si>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</si>
  <si>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</si>
  <si>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</si>
  <si>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</si>
  <si>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</si>
  <si>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</si>
  <si>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</si>
  <si>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</si>
  <si>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</si>
  <si>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</si>
  <si>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</si>
  <si>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</si>
  <si>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</si>
  <si>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</si>
  <si>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</si>
  <si>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</si>
  <si>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</si>
  <si>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</si>
  <si>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</si>
  <si>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</si>
  <si>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</si>
  <si>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</si>
  <si>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</si>
  <si>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</si>
  <si>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</si>
  <si>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</si>
  <si>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</si>
  <si>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</si>
  <si>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</si>
  <si>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</si>
  <si>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</si>
  <si>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</si>
  <si>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</si>
  <si>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</si>
  <si>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</si>
  <si>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</si>
  <si>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</si>
  <si>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</si>
  <si>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</si>
  <si>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</si>
  <si>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</si>
  <si>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</si>
  <si>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</si>
  <si>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</si>
  <si>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</si>
  <si>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</si>
  <si>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</si>
  <si>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</si>
  <si>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</si>
  <si>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</si>
  <si>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</si>
  <si>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</si>
  <si>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</si>
  <si>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</si>
  <si>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</si>
  <si>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</si>
  <si>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</si>
  <si>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</si>
  <si>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</si>
  <si>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</si>
  <si>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</si>
  <si>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</si>
  <si>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</si>
  <si>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</si>
  <si>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</si>
  <si>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</si>
  <si>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</si>
  <si>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</si>
  <si>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</si>
  <si>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</si>
  <si>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</si>
  <si>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</si>
  <si>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</si>
  <si>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</si>
  <si>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</si>
  <si>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</si>
  <si>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</si>
  <si>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</si>
  <si>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</si>
  <si>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</si>
  <si>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</si>
  <si>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</si>
  <si>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</si>
  <si>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</si>
  <si>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</si>
  <si>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</si>
  <si>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</si>
  <si>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</si>
  <si>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</si>
  <si>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</si>
  <si>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</si>
  <si>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</si>
  <si>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</si>
  <si>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</si>
  <si>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</si>
  <si>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</si>
  <si>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</si>
  <si>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</si>
  <si>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</si>
  <si>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</si>
  <si>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</si>
  <si>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</si>
  <si>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</si>
  <si>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</si>
  <si>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</si>
  <si>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</si>
  <si>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</si>
  <si>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</si>
  <si>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</si>
  <si>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</si>
  <si>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</si>
  <si>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</si>
  <si>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</si>
  <si>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</si>
  <si>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</si>
  <si>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</si>
  <si>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</si>
  <si>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</si>
  <si>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</si>
  <si>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</si>
  <si>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</si>
  <si>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</si>
  <si>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</si>
  <si>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</si>
  <si>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</si>
  <si>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</si>
  <si>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</si>
  <si>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</si>
  <si>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</si>
  <si>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</si>
  <si>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</si>
  <si>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</si>
  <si>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</si>
  <si>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</si>
  <si>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</si>
  <si>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</si>
  <si>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</si>
  <si>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</si>
  <si>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</si>
  <si>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</si>
  <si>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</si>
  <si>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</si>
  <si>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</si>
  <si>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</si>
  <si>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</si>
  <si>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</si>
  <si>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</si>
  <si>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</si>
  <si>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</si>
  <si>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</si>
  <si>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</si>
  <si>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</si>
  <si>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</si>
  <si>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</si>
  <si>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</si>
  <si>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</si>
  <si>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</si>
  <si>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</si>
  <si>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</si>
  <si>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</si>
  <si>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</si>
  <si>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</si>
  <si>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</si>
  <si>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</si>
  <si>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</si>
  <si>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</si>
  <si>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</si>
  <si>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</si>
  <si>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</si>
  <si>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</si>
  <si>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</si>
  <si>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</si>
  <si>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</si>
  <si>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</si>
  <si>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</si>
  <si>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</si>
  <si>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</si>
  <si>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</si>
  <si>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</si>
  <si>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</si>
  <si>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</si>
  <si>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</si>
  <si>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</si>
  <si>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</si>
  <si>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</si>
  <si>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</si>
  <si>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</si>
  <si>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</si>
  <si>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</si>
  <si>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</si>
  <si>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</si>
  <si>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</si>
  <si>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</si>
  <si>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</si>
  <si>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</si>
  <si>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</si>
  <si>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</si>
  <si>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</si>
  <si>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</si>
  <si>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</si>
  <si>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</si>
  <si>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</si>
  <si>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</si>
  <si>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</si>
  <si>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</si>
  <si>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</si>
  <si>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</si>
  <si>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</si>
  <si>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</si>
  <si>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</si>
  <si>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</si>
  <si>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</si>
  <si>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</si>
  <si>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</si>
  <si>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</si>
  <si>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</si>
  <si>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</si>
  <si>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</si>
  <si>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</si>
  <si>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</si>
  <si>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</si>
  <si>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</si>
  <si>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</si>
  <si>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</si>
  <si>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</si>
  <si>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</si>
  <si>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</si>
  <si>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</si>
  <si>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</si>
  <si>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</si>
  <si>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</si>
  <si>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</si>
  <si>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</si>
  <si>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</si>
  <si>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</si>
  <si>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</si>
  <si>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</si>
  <si>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</si>
  <si>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</si>
  <si>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</si>
  <si>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</si>
  <si>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</si>
  <si>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</si>
  <si>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</si>
  <si>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</si>
  <si>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</si>
  <si>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</si>
  <si>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</si>
  <si>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</si>
  <si>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</si>
  <si>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</si>
  <si>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</si>
  <si>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</si>
  <si>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</si>
  <si>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</si>
  <si>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</si>
  <si>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</si>
  <si>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</si>
  <si>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</si>
  <si>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</si>
  <si>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</si>
  <si>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</si>
  <si>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</si>
  <si>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</si>
  <si>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</si>
  <si>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</si>
  <si>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</si>
  <si>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</si>
  <si>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</si>
  <si>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</si>
  <si>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489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</si>
  <si>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</si>
  <si>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</si>
  <si>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</si>
  <si>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</si>
  <si>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</si>
  <si>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</si>
  <si>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</si>
  <si>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</si>
  <si>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</si>
  <si>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</si>
  <si>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500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</si>
  <si>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</si>
  <si>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</si>
  <si>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</si>
  <si>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</si>
  <si>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</si>
  <si>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</si>
  <si>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</si>
  <si>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</si>
  <si>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509</t>
  </si>
  <si>
    <t xml:space="preserve">510</t>
  </si>
  <si>
    <t xml:space="preserve">511</t>
  </si>
  <si>
    <t xml:space="preserve">512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</si>
  <si>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</si>
  <si>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</si>
  <si>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</si>
  <si>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</si>
  <si>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</si>
  <si>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518</t>
  </si>
  <si>
    <t xml:space="preserve">519</t>
  </si>
  <si>
    <t xml:space="preserve">520</t>
  </si>
  <si>
    <t xml:space="preserve">521</t>
  </si>
  <si>
    <t xml:space="preserve">522</t>
  </si>
  <si>
    <t xml:space="preserve">523</t>
  </si>
  <si>
    <t xml:space="preserve">524</t>
  </si>
  <si>
    <t xml:space="preserve">525</t>
  </si>
  <si>
    <t xml:space="preserve">526</t>
  </si>
  <si>
    <t xml:space="preserve">527</t>
  </si>
  <si>
    <t xml:space="preserve">528</t>
  </si>
  <si>
    <t xml:space="preserve">529</t>
  </si>
  <si>
    <t xml:space="preserve">530</t>
  </si>
  <si>
    <t xml:space="preserve">531</t>
  </si>
  <si>
    <t xml:space="preserve">532</t>
  </si>
  <si>
    <t xml:space="preserve">533</t>
  </si>
  <si>
    <t xml:space="preserve">534</t>
  </si>
  <si>
    <t xml:space="preserve">535</t>
  </si>
  <si>
    <t xml:space="preserve">536</t>
  </si>
  <si>
    <t xml:space="preserve">537</t>
  </si>
  <si>
    <t xml:space="preserve">538</t>
  </si>
  <si>
    <t xml:space="preserve">539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</si>
  <si>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</si>
  <si>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</si>
  <si>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</si>
  <si>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</si>
  <si>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</si>
  <si>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</si>
  <si>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</si>
  <si>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547</t>
  </si>
  <si>
    <t xml:space="preserve">548</t>
  </si>
  <si>
    <t xml:space="preserve">549</t>
  </si>
  <si>
    <t xml:space="preserve">550</t>
  </si>
  <si>
    <t xml:space="preserve">551</t>
  </si>
  <si>
    <t xml:space="preserve">552</t>
  </si>
  <si>
    <t xml:space="preserve">553</t>
  </si>
  <si>
    <t xml:space="preserve">554</t>
  </si>
  <si>
    <t xml:space="preserve">555</t>
  </si>
  <si>
    <t xml:space="preserve">556</t>
  </si>
  <si>
    <t xml:space="preserve">557</t>
  </si>
  <si>
    <t xml:space="preserve">558</t>
  </si>
  <si>
    <t xml:space="preserve">559</t>
  </si>
  <si>
    <t xml:space="preserve">560</t>
  </si>
  <si>
    <t xml:space="preserve">561</t>
  </si>
  <si>
    <t xml:space="preserve">562</t>
  </si>
  <si>
    <t xml:space="preserve">563</t>
  </si>
  <si>
    <t xml:space="preserve">564</t>
  </si>
  <si>
    <t xml:space="preserve">565</t>
  </si>
  <si>
    <t xml:space="preserve">566</t>
  </si>
  <si>
    <t xml:space="preserve">567</t>
  </si>
  <si>
    <t xml:space="preserve">568</t>
  </si>
  <si>
    <t xml:space="preserve">569</t>
  </si>
  <si>
    <t xml:space="preserve">570</t>
  </si>
  <si>
    <t xml:space="preserve">571</t>
  </si>
  <si>
    <t xml:space="preserve">572</t>
  </si>
  <si>
    <t xml:space="preserve">573</t>
  </si>
  <si>
    <t xml:space="preserve">574</t>
  </si>
  <si>
    <t xml:space="preserve">575</t>
  </si>
  <si>
    <t xml:space="preserve">576</t>
  </si>
  <si>
    <t xml:space="preserve">577</t>
  </si>
  <si>
    <t xml:space="preserve">578</t>
  </si>
  <si>
    <t xml:space="preserve">579</t>
  </si>
  <si>
    <t xml:space="preserve">580</t>
  </si>
  <si>
    <t xml:space="preserve">581</t>
  </si>
  <si>
    <t xml:space="preserve">582</t>
  </si>
  <si>
    <t xml:space="preserve">583</t>
  </si>
  <si>
    <t xml:space="preserve">584</t>
  </si>
  <si>
    <t xml:space="preserve">585</t>
  </si>
  <si>
    <t xml:space="preserve">586</t>
  </si>
  <si>
    <t xml:space="preserve">587</t>
  </si>
  <si>
    <t xml:space="preserve">588</t>
  </si>
  <si>
    <t xml:space="preserve">589</t>
  </si>
  <si>
    <t xml:space="preserve">590</t>
  </si>
  <si>
    <t xml:space="preserve">591</t>
  </si>
  <si>
    <t xml:space="preserve">592</t>
  </si>
  <si>
    <t xml:space="preserve">593</t>
  </si>
  <si>
    <t xml:space="preserve">594</t>
  </si>
  <si>
    <t xml:space="preserve">595</t>
  </si>
  <si>
    <t xml:space="preserve">596</t>
  </si>
  <si>
    <t xml:space="preserve">597</t>
  </si>
  <si>
    <t xml:space="preserve">598</t>
  </si>
  <si>
    <t xml:space="preserve">599</t>
  </si>
  <si>
    <t xml:space="preserve">600</t>
  </si>
  <si>
    <t xml:space="preserve">601</t>
  </si>
  <si>
    <t xml:space="preserve">602</t>
  </si>
  <si>
    <t xml:space="preserve">603</t>
  </si>
  <si>
    <t xml:space="preserve">604</t>
  </si>
  <si>
    <t xml:space="preserve">605</t>
  </si>
  <si>
    <t xml:space="preserve">606</t>
  </si>
  <si>
    <t xml:space="preserve">607</t>
  </si>
  <si>
    <t xml:space="preserve">608</t>
  </si>
  <si>
    <t xml:space="preserve">609</t>
  </si>
  <si>
    <t xml:space="preserve">610</t>
  </si>
  <si>
    <t xml:space="preserve">611</t>
  </si>
  <si>
    <t xml:space="preserve">612</t>
  </si>
  <si>
    <t xml:space="preserve">613</t>
  </si>
  <si>
    <t xml:space="preserve">614</t>
  </si>
  <si>
    <t xml:space="preserve">615</t>
  </si>
  <si>
    <t xml:space="preserve">616</t>
  </si>
  <si>
    <t xml:space="preserve">617</t>
  </si>
  <si>
    <t xml:space="preserve">618</t>
  </si>
  <si>
    <t xml:space="preserve">619</t>
  </si>
  <si>
    <t xml:space="preserve">620</t>
  </si>
  <si>
    <t xml:space="preserve">621</t>
  </si>
  <si>
    <t xml:space="preserve">622</t>
  </si>
  <si>
    <t xml:space="preserve">623</t>
  </si>
  <si>
    <t xml:space="preserve">624</t>
  </si>
  <si>
    <t xml:space="preserve">625</t>
  </si>
  <si>
    <t xml:space="preserve">626</t>
  </si>
  <si>
    <t xml:space="preserve">627</t>
  </si>
  <si>
    <t xml:space="preserve">628</t>
  </si>
  <si>
    <t xml:space="preserve">629</t>
  </si>
  <si>
    <t xml:space="preserve">630</t>
  </si>
  <si>
    <t xml:space="preserve">631</t>
  </si>
  <si>
    <t xml:space="preserve">632</t>
  </si>
  <si>
    <t xml:space="preserve">633</t>
  </si>
  <si>
    <t xml:space="preserve">634</t>
  </si>
  <si>
    <t xml:space="preserve">635</t>
  </si>
  <si>
    <t xml:space="preserve">636</t>
  </si>
  <si>
    <t xml:space="preserve">637</t>
  </si>
  <si>
    <t xml:space="preserve">638</t>
  </si>
  <si>
    <t xml:space="preserve">639</t>
  </si>
  <si>
    <t xml:space="preserve">640</t>
  </si>
  <si>
    <t xml:space="preserve">641</t>
  </si>
  <si>
    <t xml:space="preserve">642</t>
  </si>
  <si>
    <t xml:space="preserve">643</t>
  </si>
  <si>
    <t xml:space="preserve">644</t>
  </si>
  <si>
    <t xml:space="preserve">645</t>
  </si>
  <si>
    <t xml:space="preserve">646</t>
  </si>
  <si>
    <t xml:space="preserve">647</t>
  </si>
  <si>
    <t xml:space="preserve">648</t>
  </si>
  <si>
    <t xml:space="preserve">649</t>
  </si>
  <si>
    <t xml:space="preserve">650</t>
  </si>
  <si>
    <t xml:space="preserve">651</t>
  </si>
  <si>
    <t xml:space="preserve">652</t>
  </si>
  <si>
    <t xml:space="preserve">653</t>
  </si>
  <si>
    <t xml:space="preserve">654</t>
  </si>
  <si>
    <t xml:space="preserve">655</t>
  </si>
  <si>
    <t xml:space="preserve">656</t>
  </si>
  <si>
    <t xml:space="preserve">657</t>
  </si>
  <si>
    <t xml:space="preserve">658</t>
  </si>
  <si>
    <t xml:space="preserve">659</t>
  </si>
  <si>
    <t xml:space="preserve">660</t>
  </si>
  <si>
    <t xml:space="preserve">661</t>
  </si>
  <si>
    <t xml:space="preserve">662</t>
  </si>
  <si>
    <t xml:space="preserve">663</t>
  </si>
  <si>
    <t xml:space="preserve">664</t>
  </si>
  <si>
    <t xml:space="preserve">665</t>
  </si>
  <si>
    <t xml:space="preserve">666</t>
  </si>
  <si>
    <t xml:space="preserve">667</t>
  </si>
  <si>
    <t xml:space="preserve">668</t>
  </si>
  <si>
    <t xml:space="preserve">669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</si>
  <si>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</si>
  <si>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</si>
  <si>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</si>
  <si>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</si>
  <si>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</si>
  <si>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</si>
  <si>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</si>
  <si>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</si>
  <si>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</si>
  <si>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679</t>
  </si>
  <si>
    <t xml:space="preserve">680</t>
  </si>
  <si>
    <t xml:space="preserve">681</t>
  </si>
  <si>
    <t xml:space="preserve">682</t>
  </si>
  <si>
    <t xml:space="preserve">683</t>
  </si>
  <si>
    <t xml:space="preserve">684</t>
  </si>
  <si>
    <t xml:space="preserve">685</t>
  </si>
  <si>
    <t xml:space="preserve">686</t>
  </si>
  <si>
    <t xml:space="preserve">687</t>
  </si>
  <si>
    <t xml:space="preserve">688</t>
  </si>
  <si>
    <t xml:space="preserve">689</t>
  </si>
  <si>
    <t xml:space="preserve">690</t>
  </si>
  <si>
    <t xml:space="preserve">691</t>
  </si>
  <si>
    <t xml:space="preserve">692</t>
  </si>
  <si>
    <t xml:space="preserve">693</t>
  </si>
  <si>
    <t xml:space="preserve">694</t>
  </si>
  <si>
    <t xml:space="preserve">695</t>
  </si>
  <si>
    <t xml:space="preserve">696</t>
  </si>
  <si>
    <t xml:space="preserve">697</t>
  </si>
  <si>
    <t xml:space="preserve">698</t>
  </si>
  <si>
    <t xml:space="preserve">699</t>
  </si>
  <si>
    <t xml:space="preserve">700</t>
  </si>
  <si>
    <t xml:space="preserve">701</t>
  </si>
  <si>
    <t xml:space="preserve">702</t>
  </si>
  <si>
    <t xml:space="preserve">703</t>
  </si>
  <si>
    <t xml:space="preserve">704</t>
  </si>
  <si>
    <t xml:space="preserve">705</t>
  </si>
  <si>
    <t xml:space="preserve">706</t>
  </si>
  <si>
    <t xml:space="preserve">707</t>
  </si>
  <si>
    <t xml:space="preserve">708</t>
  </si>
  <si>
    <t xml:space="preserve">709</t>
  </si>
  <si>
    <t xml:space="preserve">710</t>
  </si>
  <si>
    <t xml:space="preserve">711</t>
  </si>
  <si>
    <t xml:space="preserve">712</t>
  </si>
  <si>
    <t xml:space="preserve">713</t>
  </si>
  <si>
    <t xml:space="preserve">714</t>
  </si>
  <si>
    <t xml:space="preserve">715</t>
  </si>
  <si>
    <t xml:space="preserve">716</t>
  </si>
  <si>
    <t xml:space="preserve">717</t>
  </si>
  <si>
    <t xml:space="preserve">718</t>
  </si>
  <si>
    <t xml:space="preserve">719</t>
  </si>
  <si>
    <t xml:space="preserve">720</t>
  </si>
  <si>
    <t xml:space="preserve">721</t>
  </si>
  <si>
    <t xml:space="preserve">722</t>
  </si>
  <si>
    <t xml:space="preserve">723</t>
  </si>
  <si>
    <t xml:space="preserve">724</t>
  </si>
  <si>
    <t xml:space="preserve">725</t>
  </si>
  <si>
    <t xml:space="preserve">726</t>
  </si>
  <si>
    <t xml:space="preserve">727</t>
  </si>
  <si>
    <t xml:space="preserve">728</t>
  </si>
  <si>
    <t xml:space="preserve">729</t>
  </si>
  <si>
    <t xml:space="preserve">730</t>
  </si>
  <si>
    <t xml:space="preserve">731</t>
  </si>
  <si>
    <t xml:space="preserve">732</t>
  </si>
  <si>
    <t xml:space="preserve">733</t>
  </si>
  <si>
    <t xml:space="preserve">734</t>
  </si>
  <si>
    <t xml:space="preserve">735</t>
  </si>
  <si>
    <t xml:space="preserve">736</t>
  </si>
  <si>
    <t xml:space="preserve">737</t>
  </si>
  <si>
    <t xml:space="preserve">738</t>
  </si>
  <si>
    <t xml:space="preserve">739</t>
  </si>
  <si>
    <t xml:space="preserve">740</t>
  </si>
  <si>
    <t xml:space="preserve">741</t>
  </si>
  <si>
    <t xml:space="preserve">742</t>
  </si>
  <si>
    <t xml:space="preserve">743</t>
  </si>
  <si>
    <t xml:space="preserve">744</t>
  </si>
  <si>
    <t xml:space="preserve">745</t>
  </si>
  <si>
    <t xml:space="preserve">746</t>
  </si>
  <si>
    <t xml:space="preserve">747</t>
  </si>
  <si>
    <t xml:space="preserve">748</t>
  </si>
  <si>
    <t xml:space="preserve">749</t>
  </si>
  <si>
    <t xml:space="preserve">750</t>
  </si>
  <si>
    <t xml:space="preserve">751</t>
  </si>
  <si>
    <t xml:space="preserve">752</t>
  </si>
  <si>
    <t xml:space="preserve">753</t>
  </si>
  <si>
    <t xml:space="preserve">754</t>
  </si>
  <si>
    <t xml:space="preserve">755</t>
  </si>
  <si>
    <t xml:space="preserve">756</t>
  </si>
  <si>
    <t xml:space="preserve">757</t>
  </si>
  <si>
    <t xml:space="preserve">758</t>
  </si>
  <si>
    <t xml:space="preserve">759</t>
  </si>
  <si>
    <t xml:space="preserve">760</t>
  </si>
  <si>
    <t xml:space="preserve">761</t>
  </si>
  <si>
    <t xml:space="preserve">762</t>
  </si>
  <si>
    <t xml:space="preserve">763</t>
  </si>
  <si>
    <t xml:space="preserve">764</t>
  </si>
  <si>
    <t xml:space="preserve">765</t>
  </si>
  <si>
    <t xml:space="preserve">766</t>
  </si>
  <si>
    <t xml:space="preserve">767</t>
  </si>
  <si>
    <t xml:space="preserve">768</t>
  </si>
  <si>
    <t xml:space="preserve">769</t>
  </si>
  <si>
    <t xml:space="preserve">770</t>
  </si>
  <si>
    <t xml:space="preserve">771</t>
  </si>
  <si>
    <t xml:space="preserve">772</t>
  </si>
  <si>
    <t xml:space="preserve">773</t>
  </si>
  <si>
    <t xml:space="preserve">774</t>
  </si>
  <si>
    <t xml:space="preserve">775</t>
  </si>
  <si>
    <t xml:space="preserve">776</t>
  </si>
  <si>
    <t xml:space="preserve">777</t>
  </si>
  <si>
    <t xml:space="preserve">778</t>
  </si>
  <si>
    <t xml:space="preserve">779</t>
  </si>
  <si>
    <t xml:space="preserve">780</t>
  </si>
  <si>
    <t xml:space="preserve">781</t>
  </si>
  <si>
    <t xml:space="preserve">782</t>
  </si>
  <si>
    <t xml:space="preserve">783</t>
  </si>
  <si>
    <t xml:space="preserve">784</t>
  </si>
  <si>
    <t xml:space="preserve">785</t>
  </si>
  <si>
    <t xml:space="preserve">786</t>
  </si>
  <si>
    <t xml:space="preserve">787</t>
  </si>
  <si>
    <t xml:space="preserve">788</t>
  </si>
  <si>
    <t xml:space="preserve">789</t>
  </si>
  <si>
    <t xml:space="preserve">790</t>
  </si>
  <si>
    <t xml:space="preserve">791</t>
  </si>
  <si>
    <t xml:space="preserve">792</t>
  </si>
  <si>
    <t xml:space="preserve">793</t>
  </si>
  <si>
    <t xml:space="preserve">794</t>
  </si>
  <si>
    <t xml:space="preserve">795</t>
  </si>
  <si>
    <t xml:space="preserve">796</t>
  </si>
  <si>
    <t xml:space="preserve">797</t>
  </si>
  <si>
    <t xml:space="preserve">798</t>
  </si>
  <si>
    <t xml:space="preserve">799</t>
  </si>
  <si>
    <t xml:space="preserve">800</t>
  </si>
  <si>
    <t xml:space="preserve">801</t>
  </si>
  <si>
    <t xml:space="preserve">802</t>
  </si>
  <si>
    <t xml:space="preserve">803</t>
  </si>
  <si>
    <t xml:space="preserve">804</t>
  </si>
  <si>
    <t xml:space="preserve">805</t>
  </si>
  <si>
    <t xml:space="preserve">806</t>
  </si>
  <si>
    <t xml:space="preserve">807</t>
  </si>
  <si>
    <t xml:space="preserve">808</t>
  </si>
  <si>
    <t xml:space="preserve">809</t>
  </si>
  <si>
    <t xml:space="preserve">810</t>
  </si>
  <si>
    <t xml:space="preserve">811</t>
  </si>
  <si>
    <t xml:space="preserve">812</t>
  </si>
  <si>
    <t xml:space="preserve">813</t>
  </si>
  <si>
    <t xml:space="preserve">814</t>
  </si>
  <si>
    <t xml:space="preserve">815</t>
  </si>
  <si>
    <t xml:space="preserve">816</t>
  </si>
  <si>
    <t xml:space="preserve">817</t>
  </si>
  <si>
    <t xml:space="preserve">818</t>
  </si>
  <si>
    <t xml:space="preserve">819</t>
  </si>
  <si>
    <t xml:space="preserve">820</t>
  </si>
  <si>
    <t xml:space="preserve">821</t>
  </si>
  <si>
    <t xml:space="preserve">822</t>
  </si>
  <si>
    <t xml:space="preserve">823</t>
  </si>
  <si>
    <t xml:space="preserve">824</t>
  </si>
  <si>
    <t xml:space="preserve">825</t>
  </si>
  <si>
    <t xml:space="preserve">826</t>
  </si>
  <si>
    <t xml:space="preserve">827</t>
  </si>
  <si>
    <t xml:space="preserve">828</t>
  </si>
  <si>
    <t xml:space="preserve">829</t>
  </si>
  <si>
    <t xml:space="preserve">830</t>
  </si>
  <si>
    <t xml:space="preserve">831</t>
  </si>
  <si>
    <t xml:space="preserve">832</t>
  </si>
  <si>
    <t xml:space="preserve">833</t>
  </si>
  <si>
    <t xml:space="preserve">834</t>
  </si>
  <si>
    <t xml:space="preserve">835</t>
  </si>
  <si>
    <t xml:space="preserve">836</t>
  </si>
  <si>
    <t xml:space="preserve">837</t>
  </si>
  <si>
    <t xml:space="preserve">838</t>
  </si>
  <si>
    <t xml:space="preserve">839</t>
  </si>
  <si>
    <t xml:space="preserve">840</t>
  </si>
  <si>
    <t xml:space="preserve">841</t>
  </si>
  <si>
    <t xml:space="preserve">842</t>
  </si>
  <si>
    <t xml:space="preserve">843</t>
  </si>
  <si>
    <t xml:space="preserve">844</t>
  </si>
  <si>
    <t xml:space="preserve">845</t>
  </si>
  <si>
    <t xml:space="preserve">846</t>
  </si>
  <si>
    <t xml:space="preserve">847</t>
  </si>
  <si>
    <t xml:space="preserve">848</t>
  </si>
  <si>
    <t xml:space="preserve">849</t>
  </si>
  <si>
    <t xml:space="preserve">850</t>
  </si>
  <si>
    <t xml:space="preserve">851</t>
  </si>
  <si>
    <t xml:space="preserve">852</t>
  </si>
  <si>
    <t xml:space="preserve">853</t>
  </si>
  <si>
    <t xml:space="preserve">854</t>
  </si>
  <si>
    <t xml:space="preserve">855</t>
  </si>
  <si>
    <t xml:space="preserve">856</t>
  </si>
  <si>
    <t xml:space="preserve">857</t>
  </si>
  <si>
    <t xml:space="preserve">858</t>
  </si>
  <si>
    <t xml:space="preserve">859</t>
  </si>
  <si>
    <t xml:space="preserve">860</t>
  </si>
  <si>
    <t xml:space="preserve">861</t>
  </si>
  <si>
    <t xml:space="preserve">862</t>
  </si>
  <si>
    <t xml:space="preserve">863</t>
  </si>
  <si>
    <t xml:space="preserve">864</t>
  </si>
  <si>
    <t xml:space="preserve">865</t>
  </si>
  <si>
    <t xml:space="preserve">866</t>
  </si>
  <si>
    <t xml:space="preserve">867</t>
  </si>
  <si>
    <t xml:space="preserve">868</t>
  </si>
  <si>
    <t xml:space="preserve">869</t>
  </si>
  <si>
    <t xml:space="preserve">870</t>
  </si>
  <si>
    <t xml:space="preserve">871</t>
  </si>
  <si>
    <t xml:space="preserve">872</t>
  </si>
  <si>
    <t xml:space="preserve">873</t>
  </si>
  <si>
    <t xml:space="preserve">874</t>
  </si>
  <si>
    <t xml:space="preserve">875</t>
  </si>
  <si>
    <t xml:space="preserve">876</t>
  </si>
  <si>
    <t xml:space="preserve">877</t>
  </si>
  <si>
    <t xml:space="preserve">878</t>
  </si>
  <si>
    <t xml:space="preserve">879</t>
  </si>
  <si>
    <t xml:space="preserve">880</t>
  </si>
  <si>
    <t xml:space="preserve">881</t>
  </si>
  <si>
    <t xml:space="preserve">882</t>
  </si>
  <si>
    <t xml:space="preserve">883</t>
  </si>
  <si>
    <t xml:space="preserve">884</t>
  </si>
  <si>
    <t xml:space="preserve">885</t>
  </si>
  <si>
    <t xml:space="preserve">886</t>
  </si>
  <si>
    <t xml:space="preserve">887</t>
  </si>
  <si>
    <t xml:space="preserve">888</t>
  </si>
  <si>
    <t xml:space="preserve">889</t>
  </si>
  <si>
    <t xml:space="preserve">890</t>
  </si>
  <si>
    <t xml:space="preserve">891</t>
  </si>
  <si>
    <t xml:space="preserve">892</t>
  </si>
  <si>
    <t xml:space="preserve">893</t>
  </si>
  <si>
    <t xml:space="preserve">894</t>
  </si>
  <si>
    <t xml:space="preserve">895</t>
  </si>
  <si>
    <t xml:space="preserve">896</t>
  </si>
  <si>
    <t xml:space="preserve">897</t>
  </si>
  <si>
    <t xml:space="preserve">898</t>
  </si>
  <si>
    <t xml:space="preserve">899</t>
  </si>
  <si>
    <t xml:space="preserve">900</t>
  </si>
  <si>
    <t xml:space="preserve">901</t>
  </si>
  <si>
    <t xml:space="preserve">902</t>
  </si>
  <si>
    <t xml:space="preserve">903</t>
  </si>
  <si>
    <t xml:space="preserve">904</t>
  </si>
  <si>
    <t xml:space="preserve">905</t>
  </si>
  <si>
    <t xml:space="preserve">906</t>
  </si>
  <si>
    <t xml:space="preserve">907</t>
  </si>
  <si>
    <t xml:space="preserve">908</t>
  </si>
  <si>
    <t xml:space="preserve">909</t>
  </si>
  <si>
    <t xml:space="preserve">910</t>
  </si>
  <si>
    <t xml:space="preserve">911</t>
  </si>
  <si>
    <t xml:space="preserve">912</t>
  </si>
  <si>
    <t xml:space="preserve">913</t>
  </si>
  <si>
    <t xml:space="preserve">914</t>
  </si>
  <si>
    <t xml:space="preserve">915</t>
  </si>
  <si>
    <t xml:space="preserve">916</t>
  </si>
  <si>
    <t xml:space="preserve">917</t>
  </si>
  <si>
    <t xml:space="preserve">918</t>
  </si>
  <si>
    <t xml:space="preserve">919</t>
  </si>
  <si>
    <t xml:space="preserve">920</t>
  </si>
  <si>
    <t xml:space="preserve">921</t>
  </si>
  <si>
    <t xml:space="preserve">922</t>
  </si>
  <si>
    <t xml:space="preserve">923</t>
  </si>
  <si>
    <t xml:space="preserve">924</t>
  </si>
  <si>
    <t xml:space="preserve">925</t>
  </si>
  <si>
    <t xml:space="preserve">926</t>
  </si>
  <si>
    <t xml:space="preserve">927</t>
  </si>
  <si>
    <t xml:space="preserve">928</t>
  </si>
  <si>
    <t xml:space="preserve">929</t>
  </si>
  <si>
    <t xml:space="preserve">930</t>
  </si>
  <si>
    <t xml:space="preserve">931</t>
  </si>
  <si>
    <t xml:space="preserve">932</t>
  </si>
  <si>
    <t xml:space="preserve">933</t>
  </si>
  <si>
    <t xml:space="preserve">934</t>
  </si>
  <si>
    <t xml:space="preserve">935</t>
  </si>
  <si>
    <t xml:space="preserve">936</t>
  </si>
  <si>
    <t xml:space="preserve">937</t>
  </si>
  <si>
    <t xml:space="preserve">938</t>
  </si>
  <si>
    <t xml:space="preserve">939</t>
  </si>
  <si>
    <t xml:space="preserve">940</t>
  </si>
  <si>
    <t xml:space="preserve">941</t>
  </si>
  <si>
    <t xml:space="preserve">942</t>
  </si>
  <si>
    <t xml:space="preserve">943</t>
  </si>
  <si>
    <t xml:space="preserve">944</t>
  </si>
  <si>
    <t xml:space="preserve">945</t>
  </si>
  <si>
    <t xml:space="preserve">946</t>
  </si>
  <si>
    <t xml:space="preserve">947</t>
  </si>
  <si>
    <t xml:space="preserve">948</t>
  </si>
  <si>
    <t xml:space="preserve">949</t>
  </si>
  <si>
    <t xml:space="preserve">950</t>
  </si>
  <si>
    <t xml:space="preserve">951</t>
  </si>
  <si>
    <t xml:space="preserve">952</t>
  </si>
  <si>
    <t xml:space="preserve">953</t>
  </si>
  <si>
    <t xml:space="preserve">954</t>
  </si>
  <si>
    <t xml:space="preserve">955</t>
  </si>
  <si>
    <t xml:space="preserve">956</t>
  </si>
  <si>
    <t xml:space="preserve">957</t>
  </si>
  <si>
    <t xml:space="preserve">958</t>
  </si>
  <si>
    <t xml:space="preserve">959</t>
  </si>
  <si>
    <t xml:space="preserve">960</t>
  </si>
  <si>
    <t xml:space="preserve">961</t>
  </si>
  <si>
    <t xml:space="preserve">962</t>
  </si>
  <si>
    <t xml:space="preserve">963</t>
  </si>
  <si>
    <t xml:space="preserve">964</t>
  </si>
  <si>
    <t xml:space="preserve">965</t>
  </si>
  <si>
    <t xml:space="preserve">966</t>
  </si>
  <si>
    <t xml:space="preserve">967</t>
  </si>
  <si>
    <t xml:space="preserve">968</t>
  </si>
  <si>
    <t xml:space="preserve">969</t>
  </si>
  <si>
    <t xml:space="preserve">970</t>
  </si>
  <si>
    <t xml:space="preserve">971</t>
  </si>
  <si>
    <t xml:space="preserve">972</t>
  </si>
  <si>
    <t xml:space="preserve">973</t>
  </si>
  <si>
    <t xml:space="preserve">974</t>
  </si>
  <si>
    <t xml:space="preserve">975</t>
  </si>
  <si>
    <t xml:space="preserve">976</t>
  </si>
  <si>
    <t xml:space="preserve">977</t>
  </si>
  <si>
    <t xml:space="preserve">978</t>
  </si>
  <si>
    <t xml:space="preserve">979</t>
  </si>
  <si>
    <t xml:space="preserve">980</t>
  </si>
  <si>
    <t xml:space="preserve">981</t>
  </si>
  <si>
    <t xml:space="preserve">982</t>
  </si>
  <si>
    <t xml:space="preserve">983</t>
  </si>
  <si>
    <t xml:space="preserve">984</t>
  </si>
  <si>
    <t xml:space="preserve">985</t>
  </si>
  <si>
    <t xml:space="preserve">986</t>
  </si>
  <si>
    <t xml:space="preserve">987</t>
  </si>
  <si>
    <t xml:space="preserve">988</t>
  </si>
  <si>
    <t xml:space="preserve">989</t>
  </si>
  <si>
    <t xml:space="preserve">990</t>
  </si>
  <si>
    <t xml:space="preserve">991</t>
  </si>
  <si>
    <t xml:space="preserve">992</t>
  </si>
  <si>
    <t xml:space="preserve">993</t>
  </si>
  <si>
    <t xml:space="preserve">994</t>
  </si>
  <si>
    <t xml:space="preserve">995</t>
  </si>
  <si>
    <t xml:space="preserve">996</t>
  </si>
  <si>
    <t xml:space="preserve">997</t>
  </si>
  <si>
    <t xml:space="preserve">998</t>
  </si>
  <si>
    <t xml:space="preserve">999</t>
  </si>
  <si>
    <t xml:space="preserve">1000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</si>
  <si>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</si>
  <si>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</si>
  <si>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</si>
  <si>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</si>
  <si>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</si>
  <si>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1006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</si>
  <si>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</si>
  <si>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</si>
  <si>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</si>
  <si>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</si>
  <si>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</si>
  <si>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</si>
  <si>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</si>
  <si>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</si>
  <si>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</si>
  <si>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1016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</si>
  <si>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</si>
  <si>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</si>
  <si>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</si>
  <si>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</si>
  <si>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</si>
  <si>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</si>
  <si>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</si>
  <si>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</si>
  <si>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</si>
  <si>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</si>
  <si>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1027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</si>
  <si>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</si>
  <si>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</si>
  <si>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</si>
  <si>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</si>
  <si>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</si>
  <si>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</si>
  <si>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</si>
  <si>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</si>
  <si>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</si>
  <si>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</si>
  <si>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</si>
  <si>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1039</t>
  </si>
  <si>
    <t xml:space="preserve">1040</t>
  </si>
  <si>
    <t xml:space="preserve">SELLER DATA QUALITY SCORECARD  Best Buy Marketplace</t>
  </si>
  <si>
    <t xml:space="preserve">Scores derived from Audit Engine | Scoring Model: 100pts base  deductions per issue type | Threshold: 90 = Good, 75-89 = Needs Work, &lt;75 = At Risk</t>
  </si>
  <si>
    <t xml:space="preserve">Total_Listings</t>
  </si>
  <si>
    <t xml:space="preserve">Clean_Listings</t>
  </si>
  <si>
    <t xml:space="preserve">Issues_Found</t>
  </si>
  <si>
    <t xml:space="preserve">Completeness_%</t>
  </si>
  <si>
    <t xml:space="preserve">Critical_Issues</t>
  </si>
  <si>
    <t xml:space="preserve">Score_/100</t>
  </si>
  <si>
    <t xml:space="preserve">Health_Status</t>
  </si>
  <si>
    <t xml:space="preserve">Action</t>
  </si>
  <si>
    <t xml:space="preserve">NEEDS WORK</t>
  </si>
  <si>
    <t xml:space="preserve">30-Day Improvement Plan</t>
  </si>
  <si>
    <t xml:space="preserve">MARKETPLACE DATA QUALITY DASHBOARD  Issue Analysis &amp; Trends</t>
  </si>
  <si>
    <t xml:space="preserve">Total SKUs</t>
  </si>
  <si>
    <t xml:space="preserve">Clean Records</t>
  </si>
  <si>
    <t xml:space="preserve">Records w/ Issues</t>
  </si>
  <si>
    <t xml:space="preserve">Critical Issues</t>
  </si>
  <si>
    <t xml:space="preserve">Data Health Score</t>
  </si>
  <si>
    <t xml:space="preserve">Avg Issues/Seller</t>
  </si>
  <si>
    <t xml:space="preserve">79.7%</t>
  </si>
  <si>
    <t xml:space="preserve">Issue Type Breakdown</t>
  </si>
  <si>
    <t xml:space="preserve">Category Health Summary</t>
  </si>
  <si>
    <t xml:space="preserve">Issue Type</t>
  </si>
  <si>
    <t xml:space="preserve">Count</t>
  </si>
  <si>
    <t xml:space="preserve">% of Total</t>
  </si>
  <si>
    <t xml:space="preserve">Recommended Action</t>
  </si>
  <si>
    <t xml:space="preserve">Total</t>
  </si>
  <si>
    <t xml:space="preserve">Clean</t>
  </si>
  <si>
    <t xml:space="preserve">Issue %</t>
  </si>
  <si>
    <t xml:space="preserve">Health</t>
  </si>
  <si>
    <t xml:space="preserve">MISSING TITLE</t>
  </si>
  <si>
    <t xml:space="preserve">Critical</t>
  </si>
  <si>
    <t xml:space="preserve">Remove listing  title mandatory per BB Standard Terms 3.2</t>
  </si>
  <si>
    <t xml:space="preserve">FAIR</t>
  </si>
  <si>
    <t xml:space="preserve">MISSING UPC</t>
  </si>
  <si>
    <t xml:space="preserve">Seller must provide GTIN/UPC per BBY PDM requirements</t>
  </si>
  <si>
    <t xml:space="preserve">MISSING PRIMARY IMAGE URL</t>
  </si>
  <si>
    <t xml:space="preserve">Images req. min 1000x1000px  listing auto-suppressed</t>
  </si>
  <si>
    <t xml:space="preserve">MISSING BRAND</t>
  </si>
  <si>
    <t xml:space="preserve">Brand required; request via BB Seller Hub brand registry</t>
  </si>
  <si>
    <t xml:space="preserve">MISSING DESCRIPTION</t>
  </si>
  <si>
    <t xml:space="preserve">High</t>
  </si>
  <si>
    <t xml:space="preserve">Description missing  impacts search ranking &amp; conversion</t>
  </si>
  <si>
    <t xml:space="preserve">GTIN UPC MISMATCH</t>
  </si>
  <si>
    <t xml:space="preserve">GTIN must = '0' + UPC (GS1 standard); triggers inventory error</t>
  </si>
  <si>
    <t xml:space="preserve">DUPLICATE SKU</t>
  </si>
  <si>
    <t xml:space="preserve">Duplicate SKU across sellers violates exclusivity policy</t>
  </si>
  <si>
    <t xml:space="preserve">PRICE ANOMALY</t>
  </si>
  <si>
    <t xml:space="preserve">Medium</t>
  </si>
  <si>
    <t xml:space="preserve">Price &gt;3x category ceiling  likely data entry error</t>
  </si>
  <si>
    <t xml:space="preserve">CATEGORY MISMATCH</t>
  </si>
  <si>
    <t xml:space="preserve">Wrong category reduces discoverability; affects commissions</t>
  </si>
  <si>
    <t xml:space="preserve">STALE LISTING</t>
  </si>
  <si>
    <t xml:space="preserve">Low</t>
  </si>
  <si>
    <t xml:space="preserve">Not updated &gt;180 days; zero stock  suppress or archive</t>
  </si>
  <si>
    <t xml:space="preserve">TITLE TOO LONG</t>
  </si>
  <si>
    <t xml:space="preserve">Exceeds 126-char BB limit  truncated in search results</t>
  </si>
  <si>
    <t xml:space="preserve">LAMBDA CUSTOM FUNCTION LIBRARY  Best Buy Marketplace DQ Audit</t>
  </si>
  <si>
    <t xml:space="preserve">These named LAMBDA functions are defined in Excel Name Manager (Formulas  Name Manager). Once defined, call them like native Excel functions anywhere in the workbook. Requires Excel 365 / Excel 2021+.</t>
  </si>
  <si>
    <t xml:space="preserve">Function Name</t>
  </si>
  <si>
    <t xml:space="preserve">Formula (paste into Name Manager)</t>
  </si>
  <si>
    <t xml:space="preserve">Business Logic Description</t>
  </si>
  <si>
    <t xml:space="preserve">Usage Example</t>
  </si>
  <si>
    <t xml:space="preserve">CALC_DQ_SCORE</t>
  </si>
  <si>
    <t xml:space="preserve">'=lambda(total, issues, critical, MAX(0, 100 - (issues/total*60) - (critical/total*40)))</t>
  </si>
  <si>
    <t xml:space="preserve">Calculates a 0-100 data quality score per seller. Weights: 60pts for general issues, 40pts for critical missing-field issues.</t>
  </si>
  <si>
    <t xml:space="preserve">'=calc_dq_score(C4, E4, G4)</t>
  </si>
  <si>
    <t xml:space="preserve">CHECK_GTIN_UPC</t>
  </si>
  <si>
    <t xml:space="preserve">'=lambda(upc, gtin, IF(AND(upc&lt;&gt;"",gtin&lt;&gt;""), IF("0"&amp;upc=gtin,"PASS","FAIL - Mismatch"), "SKIP"))</t>
  </si>
  <si>
    <t xml:space="preserve">Validates that GTIN = "0" + UPC per GS1 standard. Returns PASS, FAIL - Mismatch, or SKIP if either field is empty.</t>
  </si>
  <si>
    <t xml:space="preserve">'=check_gtin_upc(G4, H4)</t>
  </si>
  <si>
    <t xml:space="preserve">FLAG_STALE_LISTING</t>
  </si>
  <si>
    <t xml:space="preserve">'=lambda(last_updated_str, threshold_days, IF(last_updated_str="","FAIL - No Date", IF(TODAY()-DATEVALUE(last_updated_str)&gt;threshold_days,"STALE","CURRENT")))</t>
  </si>
  <si>
    <t xml:space="preserve">Flags listings not updated within threshold_days (default: 180). Connects to Best Buy PDM active listing policy.</t>
  </si>
  <si>
    <t xml:space="preserve">'=flag_stale_listing(K4, 180)</t>
  </si>
  <si>
    <t xml:space="preserve">TITLE_AUDIT</t>
  </si>
  <si>
    <t xml:space="preserve">'=lambda(title, IF(title="","FAIL - Missing", IF(LEN(title)&gt;126,"FAIL - Exceeds 126 chars ("&amp;LEN(title)&amp;")", "PASS")))</t>
  </si>
  <si>
    <t xml:space="preserve">Validates product title: checks presence and enforces Best Buy's 126-character limit per ChannelEngine marketplace spec.</t>
  </si>
  <si>
    <t xml:space="preserve">'=title_audit(I4)</t>
  </si>
  <si>
    <t xml:space="preserve">PRICE_FLAG</t>
  </si>
  <si>
    <t xml:space="preserve">'=lambda(price, cat_ceiling, IF(price&lt;=0,"FAIL - Zero Price",IF(price&gt;cat_ceiling*3,"FLAG - Anomaly ("&amp;price&amp;" &gt; "&amp;cat_ceiling*3&amp;")","PASS")))</t>
  </si>
  <si>
    <t xml:space="preserve">Flags prices that are zero or exceed 3x the category ceiling price. Category ceilings defined in Reference table.</t>
  </si>
  <si>
    <t xml:space="preserve">'=price_flag(J4, 2499)</t>
  </si>
  <si>
    <t xml:space="preserve">SEVERITY_LABEL</t>
  </si>
  <si>
    <t xml:space="preserve">'=lambda(issue_count, IF(issue_count=0," CLEAN",IF(issue_count=1," MINOR",IF(issue_count&lt;=3," MODERATE"," CRITICAL"))))</t>
  </si>
  <si>
    <t xml:space="preserve">Maps total issue count to a 4-tier severity label. Used in Audit Engine col U and Seller Scorecard for RAG status.</t>
  </si>
  <si>
    <t xml:space="preserve">'=severity_label(T4)</t>
  </si>
  <si>
    <t xml:space="preserve">ACTION_REQUIRED</t>
  </si>
  <si>
    <t xml:space="preserve">'=lambda(severity, IF(severity=" CLEAN","None",IF(severity=" MINOR","Seller Notify",IF(severity=" MODERATE","Listing Suspended","Immediate Removal"))))</t>
  </si>
  <si>
    <t xml:space="preserve">Maps severity label to a recommended governance action aligned with Best Buy Marketplace Program Policies (Apr 2025).</t>
  </si>
  <si>
    <t xml:space="preserve">'=action_required(U4)</t>
  </si>
  <si>
    <t xml:space="preserve">COMPLETENESS_PCT</t>
  </si>
  <si>
    <t xml:space="preserve">'=lambda(present, total, IF(total=0,0,present/total))</t>
  </si>
  <si>
    <t xml:space="preserve">Calculates completeness percentage. Use with cell number format 0.0% to display as percent. Safe against divide-by-zero.</t>
  </si>
  <si>
    <t xml:space="preserve">'=completeness_pct(D4, C4)</t>
  </si>
  <si>
    <t xml:space="preserve">HOW TO REGISTER THESE FUNCTIONS IN EXCEL:</t>
  </si>
  <si>
    <t xml:space="preserve">1. Open Excel  Formulas tab  Name Manager  New</t>
  </si>
  <si>
    <t xml:space="preserve">2. Enter the Function Name (column A above) in the 'Name' field</t>
  </si>
  <si>
    <t xml:space="preserve">3. Paste the Formula (column B above) into the 'Refers to' field</t>
  </si>
  <si>
    <t xml:space="preserve">4. Click OK  the function is now available workbook-wide, just like SUM() or VLOOKUP()</t>
  </si>
  <si>
    <t xml:space="preserve">5. Call it in any cell using the name, e.g.:  =CALC_DQ_SCORE(C4, E4, G4)</t>
  </si>
  <si>
    <t xml:space="preserve">Note: Requires Excel for Microsoft 365 or Excel 2021+. Not available in Excel 2019 or earlier.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</si>
</sst>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4A4A6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46B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C6282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783F04"/>
      <name val="Calibri"/>
      <family val="0"/>
      <charset val="1"/>
    </font>
    <font>
      <sz val="9"/>
      <color rgb="FF4A4A6A"/>
      <name val="Arial"/>
      <family val="0"/>
      <charset val="1"/>
    </font>
    <font>
      <b val="true"/>
      <sz val="20"/>
      <color rgb="FF0046BE"/>
      <name val="Arial"/>
      <family val="0"/>
      <charset val="1"/>
    </font>
    <font>
      <b val="true"/>
      <sz val="20"/>
      <color rgb="FFC62828"/>
      <name val="Arial"/>
      <family val="0"/>
      <charset val="1"/>
    </font>
    <font>
      <b val="true"/>
      <sz val="9"/>
      <color rgb="FFE65100"/>
      <name val="Arial"/>
      <family val="0"/>
      <charset val="1"/>
    </font>
    <font>
      <b val="true"/>
      <sz val="9"/>
      <color rgb="FF6D4C00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10"/>
      <color rgb="FF0046BE"/>
      <name val="Courier New"/>
      <family val="0"/>
      <charset val="1"/>
    </font>
    <font>
      <sz val="9"/>
      <color rgb="FF1A1A2E"/>
      <name val="Courier New"/>
      <family val="0"/>
      <charset val="1"/>
    </font>
    <font>
      <sz val="9"/>
      <color rgb="FF1B5E20"/>
      <name val="Courier New"/>
      <family val="0"/>
      <charset val="1"/>
    </font>
    <font>
      <sz val="10"/>
      <color rgb="FF0046BE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046BE"/>
        <bgColor rgb="FF2F5496"/>
      </patternFill>
    </fill>
    <fill>
      <patternFill patternType="solid">
        <fgColor rgb="FF4A4A6A"/>
        <bgColor rgb="FF2F5496"/>
      </patternFill>
    </fill>
    <fill>
      <patternFill patternType="solid">
        <fgColor rgb="FFE6F0FF"/>
        <bgColor rgb="FFE8F5E9"/>
      </patternFill>
    </fill>
    <fill>
      <patternFill patternType="solid">
        <fgColor rgb="FFC62828"/>
        <bgColor rgb="FF993366"/>
      </patternFill>
    </fill>
    <fill>
      <patternFill patternType="solid">
        <fgColor rgb="FFE65100"/>
        <bgColor rgb="FFC62828"/>
      </patternFill>
    </fill>
    <fill>
      <patternFill patternType="solid">
        <fgColor rgb="FFFFEBEE"/>
        <bgColor rgb="FFFFF3E0"/>
      </patternFill>
    </fill>
    <fill>
      <patternFill patternType="solid">
        <fgColor rgb="FFFFF3E0"/>
        <bgColor rgb="FFFFEBEE"/>
      </patternFill>
    </fill>
    <fill>
      <patternFill patternType="solid">
        <fgColor rgb="FFFFF9C4"/>
        <bgColor rgb="FFFFF3E0"/>
      </patternFill>
    </fill>
    <fill>
      <patternFill patternType="solid">
        <fgColor rgb="FF1A1A2E"/>
        <bgColor rgb="FF003300"/>
      </patternFill>
    </fill>
    <fill>
      <patternFill patternType="solid">
        <fgColor rgb="FFFCE5CD"/>
        <bgColor rgb="FFFFEBEE"/>
      </patternFill>
    </fill>
    <fill>
      <patternFill patternType="solid">
        <fgColor rgb="FFFFFDE7"/>
        <bgColor rgb="FFFFF3E0"/>
      </patternFill>
    </fill>
    <fill>
      <patternFill patternType="solid">
        <fgColor rgb="FFE8F5E9"/>
        <bgColor rgb="FFE6F0FF"/>
      </patternFill>
    </fill>
    <fill>
      <patternFill patternType="solid">
        <fgColor rgb="FFFFFFFF"/>
        <bgColor rgb="FFFFFDE7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0046BE"/>
      </left>
      <right style="thin">
        <color rgb="FF0046BE"/>
      </right>
      <top style="thin">
        <color rgb="FF0046BE"/>
      </top>
      <bottom style="thin">
        <color rgb="FF0046BE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1A1A2E"/>
      </left>
      <right style="thin">
        <color rgb="FF1A1A2E"/>
      </right>
      <top style="thin">
        <color rgb="FF1A1A2E"/>
      </top>
      <bottom style="thin">
        <color rgb="FF1A1A2E"/>
      </bottom>
      <diagonal/>
    </border>
    <border diagonalUp="false" diagonalDown="false">
      <left style="thin">
        <color rgb="FF4A4A6A"/>
      </left>
      <right style="thin">
        <color rgb="FF4A4A6A"/>
      </right>
      <top style="thin">
        <color rgb="FF4A4A6A"/>
      </top>
      <bottom style="thin">
        <color rgb="FF4A4A6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1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1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46B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2E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1B5E20"/>
      <rgbColor rgb="FF000080"/>
      <rgbColor rgb="FF6D4C00"/>
      <rgbColor rgb="FF800080"/>
      <rgbColor rgb="FF008080"/>
      <rgbColor rgb="FFCCCCCC"/>
      <rgbColor rgb="FF808080"/>
      <rgbColor rgb="FF9999FF"/>
      <rgbColor rgb="FFC62828"/>
      <rgbColor rgb="FFFFF9C4"/>
      <rgbColor rgb="FFE6F0FF"/>
      <rgbColor rgb="FF660066"/>
      <rgbColor rgb="FFFF8080"/>
      <rgbColor rgb="FF0046BE"/>
      <rgbColor rgb="FFFFEB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FFDE7"/>
      <rgbColor rgb="FFFFF3E0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E65100"/>
      <rgbColor rgb="FF4A4A6A"/>
      <rgbColor rgb="FF969696"/>
      <rgbColor rgb="FF1F3864"/>
      <rgbColor rgb="FF339966"/>
      <rgbColor rgb="FF003300"/>
      <rgbColor rgb="FF274E13"/>
      <rgbColor rgb="FF783F04"/>
      <rgbColor rgb="FF993366"/>
      <rgbColor rgb="FF2F5496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8" min="2" style="1" width="15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9.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51.75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</row>
    <row r="7" customFormat="false" ht="19.5" hidden="false" customHeight="true" outlineLevel="0" collapsed="false">
      <c r="A7" s="4" t="s">
        <v>4</v>
      </c>
      <c r="B7" s="4"/>
      <c r="C7" s="4"/>
      <c r="D7" s="4"/>
      <c r="E7" s="4"/>
      <c r="F7" s="4"/>
      <c r="G7" s="4"/>
      <c r="H7" s="4"/>
    </row>
    <row r="8" customFormat="false" ht="21.75" hidden="false" customHeight="true" outlineLevel="0" collapsed="false">
      <c r="A8" s="6" t="s">
        <v>5</v>
      </c>
      <c r="B8" s="7" t="s">
        <v>6</v>
      </c>
      <c r="C8" s="7"/>
      <c r="D8" s="7"/>
      <c r="E8" s="7"/>
      <c r="F8" s="7"/>
      <c r="G8" s="7"/>
      <c r="H8" s="7"/>
    </row>
    <row r="9" customFormat="false" ht="21.75" hidden="false" customHeight="true" outlineLevel="0" collapsed="false">
      <c r="A9" s="6" t="s">
        <v>7</v>
      </c>
      <c r="B9" s="7" t="s">
        <v>8</v>
      </c>
      <c r="C9" s="7"/>
      <c r="D9" s="7"/>
      <c r="E9" s="7"/>
      <c r="F9" s="7"/>
      <c r="G9" s="7"/>
      <c r="H9" s="7"/>
    </row>
    <row r="10" customFormat="false" ht="21.75" hidden="false" customHeight="true" outlineLevel="0" collapsed="false">
      <c r="A10" s="6" t="s">
        <v>9</v>
      </c>
      <c r="B10" s="7" t="s">
        <v>10</v>
      </c>
      <c r="C10" s="7"/>
      <c r="D10" s="7"/>
      <c r="E10" s="7"/>
      <c r="F10" s="7"/>
      <c r="G10" s="7"/>
      <c r="H10" s="7"/>
    </row>
    <row r="11" customFormat="false" ht="21.75" hidden="false" customHeight="true" outlineLevel="0" collapsed="false">
      <c r="A11" s="6" t="s">
        <v>11</v>
      </c>
      <c r="B11" s="7" t="s">
        <v>12</v>
      </c>
      <c r="C11" s="7"/>
      <c r="D11" s="7"/>
      <c r="E11" s="7"/>
      <c r="F11" s="7"/>
      <c r="G11" s="7"/>
      <c r="H11" s="7"/>
    </row>
    <row r="12" customFormat="false" ht="21.75" hidden="false" customHeight="true" outlineLevel="0" collapsed="false">
      <c r="A12" s="6" t="s">
        <v>13</v>
      </c>
      <c r="B12" s="7" t="s">
        <v>14</v>
      </c>
      <c r="C12" s="7"/>
      <c r="D12" s="7"/>
      <c r="E12" s="7"/>
      <c r="F12" s="7"/>
      <c r="G12" s="7"/>
      <c r="H12" s="7"/>
    </row>
    <row r="13" customFormat="false" ht="21.75" hidden="false" customHeight="true" outlineLevel="0" collapsed="false">
      <c r="A13" s="6" t="s">
        <v>15</v>
      </c>
      <c r="B13" s="7" t="s">
        <v>16</v>
      </c>
      <c r="C13" s="7"/>
      <c r="D13" s="7"/>
      <c r="E13" s="7"/>
      <c r="F13" s="7"/>
      <c r="G13" s="7"/>
      <c r="H13" s="7"/>
    </row>
    <row r="15" customFormat="false" ht="19.5" hidden="false" customHeight="true" outlineLevel="0" collapsed="false">
      <c r="A15" s="8" t="s">
        <v>17</v>
      </c>
      <c r="B15" s="8"/>
      <c r="C15" s="8"/>
      <c r="D15" s="8"/>
      <c r="E15" s="8"/>
      <c r="F15" s="8"/>
      <c r="G15" s="8"/>
      <c r="H15" s="8"/>
    </row>
    <row r="16" customFormat="false" ht="39.75" hidden="false" customHeight="true" outlineLevel="0" collapsed="false">
      <c r="A16" s="9" t="s">
        <v>18</v>
      </c>
      <c r="B16" s="10" t="s">
        <v>19</v>
      </c>
      <c r="C16" s="10"/>
      <c r="D16" s="10"/>
      <c r="E16" s="10"/>
      <c r="F16" s="10"/>
      <c r="G16" s="10"/>
      <c r="H16" s="10"/>
    </row>
    <row r="17" customFormat="false" ht="39.75" hidden="false" customHeight="true" outlineLevel="0" collapsed="false">
      <c r="A17" s="11" t="s">
        <v>20</v>
      </c>
      <c r="B17" s="10" t="s">
        <v>21</v>
      </c>
      <c r="C17" s="10"/>
      <c r="D17" s="10"/>
      <c r="E17" s="10"/>
      <c r="F17" s="10"/>
      <c r="G17" s="10"/>
      <c r="H17" s="10"/>
    </row>
    <row r="18" customFormat="false" ht="39.75" hidden="false" customHeight="true" outlineLevel="0" collapsed="false">
      <c r="A18" s="11" t="s">
        <v>22</v>
      </c>
      <c r="B18" s="10" t="s">
        <v>23</v>
      </c>
      <c r="C18" s="10"/>
      <c r="D18" s="10"/>
      <c r="E18" s="10"/>
      <c r="F18" s="10"/>
      <c r="G18" s="10"/>
      <c r="H18" s="10"/>
    </row>
    <row r="19" customFormat="false" ht="39.75" hidden="false" customHeight="true" outlineLevel="0" collapsed="false">
      <c r="A19" s="11" t="s">
        <v>24</v>
      </c>
      <c r="B19" s="10" t="s">
        <v>25</v>
      </c>
      <c r="C19" s="10"/>
      <c r="D19" s="10"/>
      <c r="E19" s="10"/>
      <c r="F19" s="10"/>
      <c r="G19" s="10"/>
      <c r="H19" s="10"/>
    </row>
  </sheetData>
  <mergeCells count="16">
    <mergeCell ref="A1:H1"/>
    <mergeCell ref="A2:H2"/>
    <mergeCell ref="A4:H4"/>
    <mergeCell ref="A5:H5"/>
    <mergeCell ref="A7:H7"/>
    <mergeCell ref="B8:H8"/>
    <mergeCell ref="B9:H9"/>
    <mergeCell ref="B10:H10"/>
    <mergeCell ref="B11:H11"/>
    <mergeCell ref="B12:H12"/>
    <mergeCell ref="B13:H13"/>
    <mergeCell ref="A15:H15"/>
    <mergeCell ref="B16:H16"/>
    <mergeCell ref="B17:H17"/>
    <mergeCell ref="B18:H18"/>
    <mergeCell ref="B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U10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45"/>
    <col collapsed="false" customWidth="true" hidden="false" outlineLevel="0" max="12" min="12" style="1" width="35"/>
    <col collapsed="false" customWidth="true" hidden="false" outlineLevel="0" max="14" min="13" style="1" width="12"/>
    <col collapsed="false" customWidth="true" hidden="false" outlineLevel="0" max="15" min="15" style="1" width="14"/>
    <col collapsed="false" customWidth="true" hidden="false" outlineLevel="0" max="16" min="16" style="1" width="40"/>
    <col collapsed="false" customWidth="true" hidden="false" outlineLevel="0" max="17" min="17" style="1" width="45"/>
    <col collapsed="false" customWidth="true" hidden="false" outlineLevel="0" max="19" min="18" style="1" width="14"/>
    <col collapsed="false" customWidth="true" hidden="false" outlineLevel="0" max="20" min="20" style="1" width="10"/>
    <col collapsed="false" customWidth="true" hidden="false" outlineLevel="0" max="21" min="21" style="1" width="20"/>
  </cols>
  <sheetData>
    <row r="1" customFormat="false" ht="30" hidden="false" customHeight="true" outlineLevel="0" collapsed="false">
      <c r="A1" s="12" t="s">
        <v>26</v>
      </c>
      <c r="B1" s="12" t="s">
        <v>27</v>
      </c>
      <c r="C1" s="12" t="s">
        <v>28</v>
      </c>
      <c r="D1" s="12" t="s">
        <v>29</v>
      </c>
      <c r="E1" s="12" t="s">
        <v>30</v>
      </c>
      <c r="F1" s="12" t="s">
        <v>31</v>
      </c>
      <c r="G1" s="12" t="s">
        <v>32</v>
      </c>
      <c r="H1" s="12" t="s">
        <v>33</v>
      </c>
      <c r="I1" s="12" t="s">
        <v>34</v>
      </c>
      <c r="J1" s="12" t="s">
        <v>35</v>
      </c>
      <c r="K1" s="12" t="s">
        <v>36</v>
      </c>
      <c r="L1" s="12" t="s">
        <v>37</v>
      </c>
      <c r="M1" s="12" t="s">
        <v>38</v>
      </c>
      <c r="N1" s="12" t="s">
        <v>39</v>
      </c>
      <c r="O1" s="12" t="s">
        <v>40</v>
      </c>
      <c r="P1" s="12" t="s">
        <v>41</v>
      </c>
      <c r="Q1" s="12" t="s">
        <v>42</v>
      </c>
      <c r="R1" s="12" t="s">
        <v>43</v>
      </c>
      <c r="S1" s="12" t="s">
        <v>44</v>
      </c>
      <c r="T1" s="12" t="s">
        <v>45</v>
      </c>
      <c r="U1" s="12" t="s">
        <v>46</v>
      </c>
    </row>
    <row r="2" customFormat="false" ht="18" hidden="false" customHeight="true" outlineLevel="0" collapsed="false">
      <c r="A2" s="13" t="n">
        <v>1</v>
      </c>
      <c r="B2" s="13" t="s">
        <v>47</v>
      </c>
      <c r="C2" s="13" t="s">
        <v>48</v>
      </c>
      <c r="D2" s="13" t="s">
        <v>49</v>
      </c>
      <c r="E2" s="13" t="s">
        <v>50</v>
      </c>
      <c r="F2" s="13" t="s">
        <v>51</v>
      </c>
      <c r="G2" s="13" t="s">
        <v>52</v>
      </c>
      <c r="H2" s="13" t="s">
        <v>53</v>
      </c>
      <c r="I2" s="13" t="s">
        <v>54</v>
      </c>
      <c r="J2" s="13" t="s">
        <v>55</v>
      </c>
      <c r="K2" s="13" t="s">
        <v>56</v>
      </c>
      <c r="L2" s="13" t="s">
        <v>57</v>
      </c>
      <c r="M2" s="13" t="n">
        <v>1222.55</v>
      </c>
      <c r="N2" s="13" t="n">
        <v>0.84</v>
      </c>
      <c r="O2" s="13" t="n">
        <v>281</v>
      </c>
      <c r="P2" s="13" t="s">
        <v>58</v>
      </c>
      <c r="Q2" s="13" t="s">
        <v>59</v>
      </c>
      <c r="R2" s="13" t="s">
        <v>60</v>
      </c>
      <c r="S2" s="13" t="s">
        <v>60</v>
      </c>
      <c r="T2" s="13" t="s">
        <v>61</v>
      </c>
      <c r="U2" s="13"/>
    </row>
    <row r="3" customFormat="false" ht="18" hidden="false" customHeight="true" outlineLevel="0" collapsed="false">
      <c r="A3" s="13" t="n">
        <v>2</v>
      </c>
      <c r="B3" s="13" t="s">
        <v>62</v>
      </c>
      <c r="C3" s="13" t="s">
        <v>63</v>
      </c>
      <c r="D3" s="13" t="s">
        <v>64</v>
      </c>
      <c r="E3" s="13" t="s">
        <v>65</v>
      </c>
      <c r="F3" s="13" t="s">
        <v>66</v>
      </c>
      <c r="G3" s="13" t="s">
        <v>67</v>
      </c>
      <c r="H3" s="13" t="s">
        <v>68</v>
      </c>
      <c r="I3" s="13" t="s">
        <v>69</v>
      </c>
      <c r="J3" s="13" t="s">
        <v>70</v>
      </c>
      <c r="K3" s="13" t="s">
        <v>71</v>
      </c>
      <c r="L3" s="13" t="s">
        <v>72</v>
      </c>
      <c r="M3" s="13" t="n">
        <v>176.12</v>
      </c>
      <c r="N3" s="13" t="n">
        <v>1.01</v>
      </c>
      <c r="O3" s="13" t="n">
        <v>164</v>
      </c>
      <c r="P3" s="13" t="s">
        <v>73</v>
      </c>
      <c r="Q3" s="13" t="s">
        <v>74</v>
      </c>
      <c r="R3" s="13" t="s">
        <v>75</v>
      </c>
      <c r="S3" s="13" t="s">
        <v>75</v>
      </c>
      <c r="T3" s="13" t="s">
        <v>61</v>
      </c>
      <c r="U3" s="13"/>
    </row>
    <row r="4" customFormat="false" ht="18" hidden="false" customHeight="true" outlineLevel="0" collapsed="false">
      <c r="A4" s="14" t="n">
        <v>3</v>
      </c>
      <c r="B4" s="14" t="s">
        <v>76</v>
      </c>
      <c r="C4" s="14" t="s">
        <v>77</v>
      </c>
      <c r="D4" s="14" t="s">
        <v>78</v>
      </c>
      <c r="E4" s="14" t="s">
        <v>79</v>
      </c>
      <c r="F4" s="14"/>
      <c r="G4" s="14" t="s">
        <v>80</v>
      </c>
      <c r="H4" s="14" t="s">
        <v>81</v>
      </c>
      <c r="I4" s="14" t="s">
        <v>82</v>
      </c>
      <c r="J4" s="14" t="s">
        <v>83</v>
      </c>
      <c r="K4" s="14" t="s">
        <v>84</v>
      </c>
      <c r="L4" s="14" t="s">
        <v>85</v>
      </c>
      <c r="M4" s="14" t="n">
        <v>1279.54</v>
      </c>
      <c r="N4" s="14" t="n">
        <v>2.62</v>
      </c>
      <c r="O4" s="14" t="n">
        <v>358</v>
      </c>
      <c r="P4" s="14" t="s">
        <v>86</v>
      </c>
      <c r="Q4" s="14" t="s">
        <v>87</v>
      </c>
      <c r="R4" s="14" t="s">
        <v>88</v>
      </c>
      <c r="S4" s="14" t="s">
        <v>88</v>
      </c>
      <c r="T4" s="14" t="s">
        <v>61</v>
      </c>
      <c r="U4" s="14" t="s">
        <v>89</v>
      </c>
    </row>
    <row r="5" customFormat="false" ht="18" hidden="false" customHeight="true" outlineLevel="0" collapsed="false">
      <c r="A5" s="13" t="n">
        <v>4</v>
      </c>
      <c r="B5" s="13" t="s">
        <v>90</v>
      </c>
      <c r="C5" s="13" t="s">
        <v>63</v>
      </c>
      <c r="D5" s="13" t="s">
        <v>64</v>
      </c>
      <c r="E5" s="13" t="s">
        <v>91</v>
      </c>
      <c r="F5" s="13" t="s">
        <v>92</v>
      </c>
      <c r="G5" s="13" t="s">
        <v>93</v>
      </c>
      <c r="H5" s="13" t="s">
        <v>94</v>
      </c>
      <c r="I5" s="13" t="s">
        <v>95</v>
      </c>
      <c r="J5" s="13" t="s">
        <v>96</v>
      </c>
      <c r="K5" s="13" t="s">
        <v>97</v>
      </c>
      <c r="L5" s="13" t="s">
        <v>98</v>
      </c>
      <c r="M5" s="13" t="n">
        <v>3504.35</v>
      </c>
      <c r="N5" s="13" t="n">
        <v>39.73</v>
      </c>
      <c r="O5" s="13" t="n">
        <v>495</v>
      </c>
      <c r="P5" s="13" t="s">
        <v>99</v>
      </c>
      <c r="Q5" s="13" t="s">
        <v>100</v>
      </c>
      <c r="R5" s="13" t="s">
        <v>101</v>
      </c>
      <c r="S5" s="13" t="s">
        <v>101</v>
      </c>
      <c r="T5" s="13" t="s">
        <v>61</v>
      </c>
      <c r="U5" s="13"/>
    </row>
    <row r="6" customFormat="false" ht="18" hidden="false" customHeight="true" outlineLevel="0" collapsed="false">
      <c r="A6" s="13" t="n">
        <v>5</v>
      </c>
      <c r="B6" s="13" t="s">
        <v>102</v>
      </c>
      <c r="C6" s="13" t="s">
        <v>77</v>
      </c>
      <c r="D6" s="13" t="s">
        <v>78</v>
      </c>
      <c r="E6" s="13" t="s">
        <v>65</v>
      </c>
      <c r="F6" s="13" t="s">
        <v>66</v>
      </c>
      <c r="G6" s="13" t="s">
        <v>103</v>
      </c>
      <c r="H6" s="13" t="s">
        <v>104</v>
      </c>
      <c r="I6" s="13" t="s">
        <v>105</v>
      </c>
      <c r="J6" s="13" t="s">
        <v>106</v>
      </c>
      <c r="K6" s="13" t="s">
        <v>107</v>
      </c>
      <c r="L6" s="13" t="s">
        <v>108</v>
      </c>
      <c r="M6" s="13" t="n">
        <v>109.17</v>
      </c>
      <c r="N6" s="13" t="n">
        <v>1.26</v>
      </c>
      <c r="O6" s="13" t="n">
        <v>307</v>
      </c>
      <c r="P6" s="13" t="s">
        <v>109</v>
      </c>
      <c r="Q6" s="13" t="s">
        <v>110</v>
      </c>
      <c r="R6" s="13" t="s">
        <v>111</v>
      </c>
      <c r="S6" s="13" t="s">
        <v>111</v>
      </c>
      <c r="T6" s="13" t="s">
        <v>61</v>
      </c>
      <c r="U6" s="13"/>
    </row>
    <row r="7" customFormat="false" ht="18" hidden="false" customHeight="true" outlineLevel="0" collapsed="false">
      <c r="A7" s="13" t="n">
        <v>6</v>
      </c>
      <c r="B7" s="13" t="s">
        <v>112</v>
      </c>
      <c r="C7" s="13" t="s">
        <v>113</v>
      </c>
      <c r="D7" s="13" t="s">
        <v>114</v>
      </c>
      <c r="E7" s="13" t="s">
        <v>50</v>
      </c>
      <c r="F7" s="13" t="s">
        <v>115</v>
      </c>
      <c r="G7" s="13" t="s">
        <v>52</v>
      </c>
      <c r="H7" s="13" t="s">
        <v>116</v>
      </c>
      <c r="I7" s="13" t="s">
        <v>117</v>
      </c>
      <c r="J7" s="13" t="s">
        <v>118</v>
      </c>
      <c r="K7" s="13" t="s">
        <v>119</v>
      </c>
      <c r="L7" s="13" t="s">
        <v>120</v>
      </c>
      <c r="M7" s="13" t="n">
        <v>644.99</v>
      </c>
      <c r="N7" s="13" t="n">
        <v>0.87</v>
      </c>
      <c r="O7" s="13" t="n">
        <v>471</v>
      </c>
      <c r="P7" s="13" t="s">
        <v>121</v>
      </c>
      <c r="Q7" s="13" t="s">
        <v>122</v>
      </c>
      <c r="R7" s="13" t="s">
        <v>123</v>
      </c>
      <c r="S7" s="13" t="s">
        <v>123</v>
      </c>
      <c r="T7" s="13" t="s">
        <v>61</v>
      </c>
      <c r="U7" s="13"/>
    </row>
    <row r="8" customFormat="false" ht="18" hidden="false" customHeight="true" outlineLevel="0" collapsed="false">
      <c r="A8" s="13" t="n">
        <v>7</v>
      </c>
      <c r="B8" s="13" t="s">
        <v>124</v>
      </c>
      <c r="C8" s="13" t="s">
        <v>125</v>
      </c>
      <c r="D8" s="13" t="s">
        <v>126</v>
      </c>
      <c r="E8" s="13" t="s">
        <v>79</v>
      </c>
      <c r="F8" s="13" t="s">
        <v>127</v>
      </c>
      <c r="G8" s="13" t="s">
        <v>128</v>
      </c>
      <c r="H8" s="13" t="s">
        <v>129</v>
      </c>
      <c r="I8" s="13" t="s">
        <v>130</v>
      </c>
      <c r="J8" s="13" t="s">
        <v>131</v>
      </c>
      <c r="K8" s="13" t="s">
        <v>132</v>
      </c>
      <c r="L8" s="13" t="s">
        <v>133</v>
      </c>
      <c r="M8" s="13" t="n">
        <v>1378.52</v>
      </c>
      <c r="N8" s="13" t="n">
        <v>2.75</v>
      </c>
      <c r="O8" s="13" t="n">
        <v>245</v>
      </c>
      <c r="P8" s="13" t="s">
        <v>134</v>
      </c>
      <c r="Q8" s="13" t="s">
        <v>135</v>
      </c>
      <c r="R8" s="13" t="s">
        <v>136</v>
      </c>
      <c r="S8" s="13" t="s">
        <v>136</v>
      </c>
      <c r="T8" s="13" t="s">
        <v>61</v>
      </c>
      <c r="U8" s="13"/>
    </row>
    <row r="9" customFormat="false" ht="18" hidden="false" customHeight="true" outlineLevel="0" collapsed="false">
      <c r="A9" s="13" t="n">
        <v>8</v>
      </c>
      <c r="B9" s="13" t="s">
        <v>137</v>
      </c>
      <c r="C9" s="13" t="s">
        <v>113</v>
      </c>
      <c r="D9" s="13" t="s">
        <v>114</v>
      </c>
      <c r="E9" s="13" t="s">
        <v>91</v>
      </c>
      <c r="F9" s="13" t="s">
        <v>138</v>
      </c>
      <c r="G9" s="13" t="s">
        <v>139</v>
      </c>
      <c r="H9" s="13" t="s">
        <v>140</v>
      </c>
      <c r="I9" s="13" t="s">
        <v>141</v>
      </c>
      <c r="J9" s="13" t="s">
        <v>142</v>
      </c>
      <c r="K9" s="13" t="s">
        <v>143</v>
      </c>
      <c r="L9" s="13" t="s">
        <v>144</v>
      </c>
      <c r="M9" s="13" t="n">
        <v>2571.68</v>
      </c>
      <c r="N9" s="13" t="n">
        <v>26.45</v>
      </c>
      <c r="O9" s="13" t="n">
        <v>298</v>
      </c>
      <c r="P9" s="13" t="s">
        <v>145</v>
      </c>
      <c r="Q9" s="13" t="s">
        <v>146</v>
      </c>
      <c r="R9" s="13" t="s">
        <v>147</v>
      </c>
      <c r="S9" s="13" t="s">
        <v>147</v>
      </c>
      <c r="T9" s="13" t="s">
        <v>61</v>
      </c>
      <c r="U9" s="13"/>
    </row>
    <row r="10" customFormat="false" ht="18" hidden="false" customHeight="true" outlineLevel="0" collapsed="false">
      <c r="A10" s="13" t="n">
        <v>9</v>
      </c>
      <c r="B10" s="13" t="s">
        <v>148</v>
      </c>
      <c r="C10" s="13" t="s">
        <v>125</v>
      </c>
      <c r="D10" s="13" t="s">
        <v>126</v>
      </c>
      <c r="E10" s="13" t="s">
        <v>65</v>
      </c>
      <c r="F10" s="13" t="s">
        <v>115</v>
      </c>
      <c r="G10" s="13" t="s">
        <v>149</v>
      </c>
      <c r="H10" s="13" t="s">
        <v>150</v>
      </c>
      <c r="I10" s="13" t="s">
        <v>151</v>
      </c>
      <c r="J10" s="13" t="s">
        <v>152</v>
      </c>
      <c r="K10" s="13" t="s">
        <v>153</v>
      </c>
      <c r="L10" s="13" t="s">
        <v>154</v>
      </c>
      <c r="M10" s="13" t="n">
        <v>114.95</v>
      </c>
      <c r="N10" s="13" t="n">
        <v>1.17</v>
      </c>
      <c r="O10" s="13" t="n">
        <v>261</v>
      </c>
      <c r="P10" s="13" t="s">
        <v>155</v>
      </c>
      <c r="Q10" s="13" t="s">
        <v>156</v>
      </c>
      <c r="R10" s="13" t="s">
        <v>157</v>
      </c>
      <c r="S10" s="13" t="s">
        <v>157</v>
      </c>
      <c r="T10" s="13" t="s">
        <v>61</v>
      </c>
      <c r="U10" s="13"/>
    </row>
    <row r="11" customFormat="false" ht="18" hidden="false" customHeight="true" outlineLevel="0" collapsed="false">
      <c r="A11" s="13" t="n">
        <v>10</v>
      </c>
      <c r="B11" s="13" t="s">
        <v>158</v>
      </c>
      <c r="C11" s="13" t="s">
        <v>159</v>
      </c>
      <c r="D11" s="13" t="s">
        <v>160</v>
      </c>
      <c r="E11" s="13" t="s">
        <v>161</v>
      </c>
      <c r="F11" s="13" t="s">
        <v>162</v>
      </c>
      <c r="G11" s="13" t="s">
        <v>163</v>
      </c>
      <c r="H11" s="13" t="s">
        <v>164</v>
      </c>
      <c r="I11" s="13" t="s">
        <v>165</v>
      </c>
      <c r="J11" s="13" t="s">
        <v>166</v>
      </c>
      <c r="K11" s="13" t="s">
        <v>167</v>
      </c>
      <c r="L11" s="13" t="s">
        <v>168</v>
      </c>
      <c r="M11" s="13" t="n">
        <v>368.82</v>
      </c>
      <c r="N11" s="13" t="n">
        <v>0.4</v>
      </c>
      <c r="O11" s="13" t="n">
        <v>399</v>
      </c>
      <c r="P11" s="13" t="s">
        <v>169</v>
      </c>
      <c r="Q11" s="13" t="s">
        <v>170</v>
      </c>
      <c r="R11" s="13" t="s">
        <v>171</v>
      </c>
      <c r="S11" s="13" t="s">
        <v>171</v>
      </c>
      <c r="T11" s="13" t="s">
        <v>61</v>
      </c>
      <c r="U11" s="13"/>
    </row>
    <row r="12" customFormat="false" ht="18" hidden="false" customHeight="true" outlineLevel="0" collapsed="false">
      <c r="A12" s="13" t="n">
        <v>11</v>
      </c>
      <c r="B12" s="13" t="s">
        <v>172</v>
      </c>
      <c r="C12" s="13" t="s">
        <v>173</v>
      </c>
      <c r="D12" s="13" t="s">
        <v>174</v>
      </c>
      <c r="E12" s="13" t="s">
        <v>161</v>
      </c>
      <c r="F12" s="13" t="s">
        <v>51</v>
      </c>
      <c r="G12" s="13" t="s">
        <v>175</v>
      </c>
      <c r="H12" s="13" t="s">
        <v>176</v>
      </c>
      <c r="I12" s="13" t="s">
        <v>177</v>
      </c>
      <c r="J12" s="13" t="s">
        <v>178</v>
      </c>
      <c r="K12" s="13" t="s">
        <v>179</v>
      </c>
      <c r="L12" s="13" t="s">
        <v>180</v>
      </c>
      <c r="M12" s="13" t="n">
        <v>354.48</v>
      </c>
      <c r="N12" s="13" t="n">
        <v>0.23</v>
      </c>
      <c r="O12" s="13" t="n">
        <v>387</v>
      </c>
      <c r="P12" s="13" t="s">
        <v>181</v>
      </c>
      <c r="Q12" s="13" t="s">
        <v>182</v>
      </c>
      <c r="R12" s="13" t="s">
        <v>183</v>
      </c>
      <c r="S12" s="13" t="s">
        <v>183</v>
      </c>
      <c r="T12" s="13" t="s">
        <v>61</v>
      </c>
      <c r="U12" s="13"/>
    </row>
    <row r="13" customFormat="false" ht="18" hidden="false" customHeight="true" outlineLevel="0" collapsed="false">
      <c r="A13" s="13" t="n">
        <v>12</v>
      </c>
      <c r="B13" s="13" t="s">
        <v>184</v>
      </c>
      <c r="C13" s="13" t="s">
        <v>173</v>
      </c>
      <c r="D13" s="13" t="s">
        <v>174</v>
      </c>
      <c r="E13" s="13" t="s">
        <v>91</v>
      </c>
      <c r="F13" s="13" t="s">
        <v>185</v>
      </c>
      <c r="G13" s="13" t="s">
        <v>186</v>
      </c>
      <c r="H13" s="13" t="s">
        <v>187</v>
      </c>
      <c r="I13" s="13" t="s">
        <v>188</v>
      </c>
      <c r="J13" s="13" t="s">
        <v>189</v>
      </c>
      <c r="K13" s="13" t="s">
        <v>190</v>
      </c>
      <c r="L13" s="13" t="s">
        <v>191</v>
      </c>
      <c r="M13" s="13" t="n">
        <v>2129.62</v>
      </c>
      <c r="N13" s="13" t="n">
        <v>42.82</v>
      </c>
      <c r="O13" s="13" t="n">
        <v>21</v>
      </c>
      <c r="P13" s="13" t="s">
        <v>192</v>
      </c>
      <c r="Q13" s="13" t="s">
        <v>193</v>
      </c>
      <c r="R13" s="13" t="s">
        <v>194</v>
      </c>
      <c r="S13" s="13" t="s">
        <v>194</v>
      </c>
      <c r="T13" s="13" t="s">
        <v>61</v>
      </c>
      <c r="U13" s="13"/>
    </row>
    <row r="14" customFormat="false" ht="18" hidden="false" customHeight="true" outlineLevel="0" collapsed="false">
      <c r="A14" s="13" t="n">
        <v>13</v>
      </c>
      <c r="B14" s="13" t="s">
        <v>195</v>
      </c>
      <c r="C14" s="13" t="s">
        <v>63</v>
      </c>
      <c r="D14" s="13" t="s">
        <v>64</v>
      </c>
      <c r="E14" s="13" t="s">
        <v>79</v>
      </c>
      <c r="F14" s="13" t="s">
        <v>196</v>
      </c>
      <c r="G14" s="13" t="s">
        <v>197</v>
      </c>
      <c r="H14" s="13" t="s">
        <v>198</v>
      </c>
      <c r="I14" s="13" t="s">
        <v>199</v>
      </c>
      <c r="J14" s="13" t="s">
        <v>200</v>
      </c>
      <c r="K14" s="13" t="s">
        <v>201</v>
      </c>
      <c r="L14" s="13" t="s">
        <v>202</v>
      </c>
      <c r="M14" s="13" t="n">
        <v>2396.23</v>
      </c>
      <c r="N14" s="13" t="n">
        <v>2.4</v>
      </c>
      <c r="O14" s="13" t="n">
        <v>127</v>
      </c>
      <c r="P14" s="13" t="s">
        <v>203</v>
      </c>
      <c r="Q14" s="13" t="s">
        <v>204</v>
      </c>
      <c r="R14" s="13" t="s">
        <v>205</v>
      </c>
      <c r="S14" s="13" t="s">
        <v>205</v>
      </c>
      <c r="T14" s="13" t="s">
        <v>61</v>
      </c>
      <c r="U14" s="13"/>
    </row>
    <row r="15" customFormat="false" ht="18" hidden="false" customHeight="true" outlineLevel="0" collapsed="false">
      <c r="A15" s="13" t="n">
        <v>14</v>
      </c>
      <c r="B15" s="13" t="s">
        <v>206</v>
      </c>
      <c r="C15" s="13" t="s">
        <v>48</v>
      </c>
      <c r="D15" s="13" t="s">
        <v>49</v>
      </c>
      <c r="E15" s="13" t="s">
        <v>161</v>
      </c>
      <c r="F15" s="13" t="s">
        <v>51</v>
      </c>
      <c r="G15" s="13" t="s">
        <v>207</v>
      </c>
      <c r="H15" s="13" t="s">
        <v>208</v>
      </c>
      <c r="I15" s="13" t="s">
        <v>209</v>
      </c>
      <c r="J15" s="13" t="s">
        <v>210</v>
      </c>
      <c r="K15" s="13" t="s">
        <v>211</v>
      </c>
      <c r="L15" s="13" t="s">
        <v>212</v>
      </c>
      <c r="M15" s="13" t="n">
        <v>169.37</v>
      </c>
      <c r="N15" s="13" t="n">
        <v>0.33</v>
      </c>
      <c r="O15" s="13" t="n">
        <v>327</v>
      </c>
      <c r="P15" s="13" t="s">
        <v>213</v>
      </c>
      <c r="Q15" s="13" t="s">
        <v>214</v>
      </c>
      <c r="R15" s="13" t="s">
        <v>215</v>
      </c>
      <c r="S15" s="13" t="s">
        <v>215</v>
      </c>
      <c r="T15" s="13" t="s">
        <v>61</v>
      </c>
      <c r="U15" s="13"/>
    </row>
    <row r="16" customFormat="false" ht="18" hidden="false" customHeight="true" outlineLevel="0" collapsed="false">
      <c r="A16" s="13" t="n">
        <v>15</v>
      </c>
      <c r="B16" s="13" t="s">
        <v>216</v>
      </c>
      <c r="C16" s="13" t="s">
        <v>48</v>
      </c>
      <c r="D16" s="13" t="s">
        <v>49</v>
      </c>
      <c r="E16" s="13" t="s">
        <v>50</v>
      </c>
      <c r="F16" s="13" t="s">
        <v>127</v>
      </c>
      <c r="G16" s="13" t="s">
        <v>217</v>
      </c>
      <c r="H16" s="13" t="s">
        <v>218</v>
      </c>
      <c r="I16" s="13" t="s">
        <v>219</v>
      </c>
      <c r="J16" s="13" t="s">
        <v>220</v>
      </c>
      <c r="K16" s="13" t="s">
        <v>221</v>
      </c>
      <c r="L16" s="13" t="s">
        <v>222</v>
      </c>
      <c r="M16" s="13" t="n">
        <v>253.91</v>
      </c>
      <c r="N16" s="13" t="n">
        <v>0.35</v>
      </c>
      <c r="O16" s="13" t="n">
        <v>221</v>
      </c>
      <c r="P16" s="13" t="s">
        <v>223</v>
      </c>
      <c r="Q16" s="13" t="s">
        <v>224</v>
      </c>
      <c r="R16" s="13" t="s">
        <v>225</v>
      </c>
      <c r="S16" s="13" t="s">
        <v>225</v>
      </c>
      <c r="T16" s="13" t="s">
        <v>61</v>
      </c>
      <c r="U16" s="13"/>
    </row>
    <row r="17" customFormat="false" ht="18" hidden="false" customHeight="true" outlineLevel="0" collapsed="false">
      <c r="A17" s="13" t="n">
        <v>16</v>
      </c>
      <c r="B17" s="13" t="s">
        <v>226</v>
      </c>
      <c r="C17" s="13" t="s">
        <v>159</v>
      </c>
      <c r="D17" s="13" t="s">
        <v>160</v>
      </c>
      <c r="E17" s="13" t="s">
        <v>65</v>
      </c>
      <c r="F17" s="13" t="s">
        <v>227</v>
      </c>
      <c r="G17" s="13" t="s">
        <v>67</v>
      </c>
      <c r="H17" s="13" t="s">
        <v>228</v>
      </c>
      <c r="I17" s="13" t="s">
        <v>229</v>
      </c>
      <c r="J17" s="13" t="s">
        <v>230</v>
      </c>
      <c r="K17" s="13" t="s">
        <v>231</v>
      </c>
      <c r="L17" s="13" t="s">
        <v>232</v>
      </c>
      <c r="M17" s="13" t="n">
        <v>289.81</v>
      </c>
      <c r="N17" s="13" t="n">
        <v>0.79</v>
      </c>
      <c r="O17" s="13" t="n">
        <v>71</v>
      </c>
      <c r="P17" s="13" t="s">
        <v>233</v>
      </c>
      <c r="Q17" s="13" t="s">
        <v>234</v>
      </c>
      <c r="R17" s="13" t="s">
        <v>235</v>
      </c>
      <c r="S17" s="13" t="s">
        <v>235</v>
      </c>
      <c r="T17" s="13" t="s">
        <v>61</v>
      </c>
      <c r="U17" s="13"/>
    </row>
    <row r="18" customFormat="false" ht="18" hidden="false" customHeight="true" outlineLevel="0" collapsed="false">
      <c r="A18" s="15" t="n">
        <v>17</v>
      </c>
      <c r="B18" s="15" t="s">
        <v>236</v>
      </c>
      <c r="C18" s="15" t="s">
        <v>159</v>
      </c>
      <c r="D18" s="15" t="s">
        <v>160</v>
      </c>
      <c r="E18" s="15" t="s">
        <v>50</v>
      </c>
      <c r="F18" s="15" t="s">
        <v>127</v>
      </c>
      <c r="G18" s="15" t="s">
        <v>217</v>
      </c>
      <c r="H18" s="15" t="s">
        <v>237</v>
      </c>
      <c r="I18" s="15" t="s">
        <v>238</v>
      </c>
      <c r="J18" s="15" t="s">
        <v>239</v>
      </c>
      <c r="K18" s="15" t="s">
        <v>240</v>
      </c>
      <c r="L18" s="15" t="s">
        <v>222</v>
      </c>
      <c r="M18" s="15" t="n">
        <v>348.05</v>
      </c>
      <c r="N18" s="15" t="n">
        <v>0.7</v>
      </c>
      <c r="O18" s="15" t="n">
        <v>378</v>
      </c>
      <c r="P18" s="15" t="s">
        <v>223</v>
      </c>
      <c r="Q18" s="15" t="s">
        <v>241</v>
      </c>
      <c r="R18" s="15" t="s">
        <v>242</v>
      </c>
      <c r="S18" s="15" t="s">
        <v>242</v>
      </c>
      <c r="T18" s="15" t="s">
        <v>61</v>
      </c>
      <c r="U18" s="15" t="s">
        <v>243</v>
      </c>
    </row>
    <row r="19" customFormat="false" ht="18" hidden="false" customHeight="true" outlineLevel="0" collapsed="false">
      <c r="A19" s="13" t="n">
        <v>18</v>
      </c>
      <c r="B19" s="13" t="s">
        <v>244</v>
      </c>
      <c r="C19" s="13" t="s">
        <v>113</v>
      </c>
      <c r="D19" s="13" t="s">
        <v>114</v>
      </c>
      <c r="E19" s="13" t="s">
        <v>65</v>
      </c>
      <c r="F19" s="13" t="s">
        <v>245</v>
      </c>
      <c r="G19" s="13" t="s">
        <v>149</v>
      </c>
      <c r="H19" s="13" t="s">
        <v>246</v>
      </c>
      <c r="I19" s="13" t="s">
        <v>247</v>
      </c>
      <c r="J19" s="13" t="s">
        <v>248</v>
      </c>
      <c r="K19" s="13" t="s">
        <v>249</v>
      </c>
      <c r="L19" s="13" t="s">
        <v>250</v>
      </c>
      <c r="M19" s="13" t="n">
        <v>492.05</v>
      </c>
      <c r="N19" s="13" t="n">
        <v>1.3</v>
      </c>
      <c r="O19" s="13" t="n">
        <v>443</v>
      </c>
      <c r="P19" s="13" t="s">
        <v>251</v>
      </c>
      <c r="Q19" s="13" t="s">
        <v>252</v>
      </c>
      <c r="R19" s="13" t="s">
        <v>253</v>
      </c>
      <c r="S19" s="13" t="s">
        <v>253</v>
      </c>
      <c r="T19" s="13" t="s">
        <v>61</v>
      </c>
      <c r="U19" s="13"/>
    </row>
    <row r="20" customFormat="false" ht="18" hidden="false" customHeight="true" outlineLevel="0" collapsed="false">
      <c r="A20" s="13" t="n">
        <v>19</v>
      </c>
      <c r="B20" s="13" t="s">
        <v>254</v>
      </c>
      <c r="C20" s="13" t="s">
        <v>255</v>
      </c>
      <c r="D20" s="13" t="s">
        <v>256</v>
      </c>
      <c r="E20" s="13" t="s">
        <v>161</v>
      </c>
      <c r="F20" s="13" t="s">
        <v>162</v>
      </c>
      <c r="G20" s="13" t="s">
        <v>257</v>
      </c>
      <c r="H20" s="13" t="s">
        <v>258</v>
      </c>
      <c r="I20" s="13" t="s">
        <v>259</v>
      </c>
      <c r="J20" s="13" t="s">
        <v>260</v>
      </c>
      <c r="K20" s="13" t="s">
        <v>261</v>
      </c>
      <c r="L20" s="13" t="s">
        <v>262</v>
      </c>
      <c r="M20" s="13" t="n">
        <v>515.19</v>
      </c>
      <c r="N20" s="13" t="n">
        <v>0.36</v>
      </c>
      <c r="O20" s="13" t="n">
        <v>326</v>
      </c>
      <c r="P20" s="13" t="s">
        <v>263</v>
      </c>
      <c r="Q20" s="13" t="s">
        <v>264</v>
      </c>
      <c r="R20" s="13" t="s">
        <v>265</v>
      </c>
      <c r="S20" s="13" t="s">
        <v>265</v>
      </c>
      <c r="T20" s="13" t="s">
        <v>61</v>
      </c>
      <c r="U20" s="13"/>
    </row>
    <row r="21" customFormat="false" ht="18" hidden="false" customHeight="true" outlineLevel="0" collapsed="false">
      <c r="A21" s="14" t="n">
        <v>20</v>
      </c>
      <c r="B21" s="14" t="s">
        <v>266</v>
      </c>
      <c r="C21" s="14" t="s">
        <v>48</v>
      </c>
      <c r="D21" s="14" t="s">
        <v>49</v>
      </c>
      <c r="E21" s="14" t="s">
        <v>50</v>
      </c>
      <c r="F21" s="14" t="s">
        <v>51</v>
      </c>
      <c r="G21" s="14" t="s">
        <v>52</v>
      </c>
      <c r="H21" s="14" t="s">
        <v>267</v>
      </c>
      <c r="I21" s="14"/>
      <c r="J21" s="14" t="s">
        <v>268</v>
      </c>
      <c r="K21" s="14" t="s">
        <v>269</v>
      </c>
      <c r="L21" s="14" t="s">
        <v>57</v>
      </c>
      <c r="M21" s="14" t="n">
        <v>924.13</v>
      </c>
      <c r="N21" s="14" t="n">
        <v>0.52</v>
      </c>
      <c r="O21" s="14" t="n">
        <v>335</v>
      </c>
      <c r="P21" s="14" t="s">
        <v>58</v>
      </c>
      <c r="Q21" s="14" t="s">
        <v>270</v>
      </c>
      <c r="R21" s="14" t="s">
        <v>271</v>
      </c>
      <c r="S21" s="14" t="s">
        <v>271</v>
      </c>
      <c r="T21" s="14" t="s">
        <v>61</v>
      </c>
      <c r="U21" s="14" t="s">
        <v>272</v>
      </c>
    </row>
    <row r="22" customFormat="false" ht="18" hidden="false" customHeight="true" outlineLevel="0" collapsed="false">
      <c r="A22" s="15" t="n">
        <v>21</v>
      </c>
      <c r="B22" s="15" t="s">
        <v>273</v>
      </c>
      <c r="C22" s="15" t="s">
        <v>113</v>
      </c>
      <c r="D22" s="15" t="s">
        <v>114</v>
      </c>
      <c r="E22" s="15" t="s">
        <v>65</v>
      </c>
      <c r="F22" s="15" t="s">
        <v>227</v>
      </c>
      <c r="G22" s="15" t="s">
        <v>274</v>
      </c>
      <c r="H22" s="15" t="s">
        <v>275</v>
      </c>
      <c r="I22" s="15" t="s">
        <v>276</v>
      </c>
      <c r="J22" s="15" t="s">
        <v>277</v>
      </c>
      <c r="K22" s="15" t="s">
        <v>278</v>
      </c>
      <c r="L22" s="15" t="s">
        <v>279</v>
      </c>
      <c r="M22" s="15" t="n">
        <v>48.28</v>
      </c>
      <c r="N22" s="15" t="n">
        <v>0.6</v>
      </c>
      <c r="O22" s="15" t="n">
        <v>101</v>
      </c>
      <c r="P22" s="15" t="s">
        <v>280</v>
      </c>
      <c r="Q22" s="15" t="s">
        <v>281</v>
      </c>
      <c r="R22" s="15" t="s">
        <v>282</v>
      </c>
      <c r="S22" s="15" t="s">
        <v>282</v>
      </c>
      <c r="T22" s="15" t="s">
        <v>61</v>
      </c>
      <c r="U22" s="15" t="s">
        <v>283</v>
      </c>
    </row>
    <row r="23" customFormat="false" ht="18" hidden="false" customHeight="true" outlineLevel="0" collapsed="false">
      <c r="A23" s="13" t="n">
        <v>22</v>
      </c>
      <c r="B23" s="13" t="s">
        <v>284</v>
      </c>
      <c r="C23" s="13" t="s">
        <v>113</v>
      </c>
      <c r="D23" s="13" t="s">
        <v>114</v>
      </c>
      <c r="E23" s="13" t="s">
        <v>161</v>
      </c>
      <c r="F23" s="13" t="s">
        <v>51</v>
      </c>
      <c r="G23" s="13" t="s">
        <v>285</v>
      </c>
      <c r="H23" s="13" t="s">
        <v>286</v>
      </c>
      <c r="I23" s="13" t="s">
        <v>287</v>
      </c>
      <c r="J23" s="13" t="s">
        <v>288</v>
      </c>
      <c r="K23" s="13" t="s">
        <v>289</v>
      </c>
      <c r="L23" s="13" t="s">
        <v>290</v>
      </c>
      <c r="M23" s="13" t="n">
        <v>145.08</v>
      </c>
      <c r="N23" s="13" t="n">
        <v>0.35</v>
      </c>
      <c r="O23" s="13" t="n">
        <v>89</v>
      </c>
      <c r="P23" s="13" t="s">
        <v>291</v>
      </c>
      <c r="Q23" s="13" t="s">
        <v>292</v>
      </c>
      <c r="R23" s="13" t="s">
        <v>293</v>
      </c>
      <c r="S23" s="13" t="s">
        <v>293</v>
      </c>
      <c r="T23" s="13" t="s">
        <v>61</v>
      </c>
      <c r="U23" s="13"/>
    </row>
    <row r="24" customFormat="false" ht="18" hidden="false" customHeight="true" outlineLevel="0" collapsed="false">
      <c r="A24" s="13" t="n">
        <v>23</v>
      </c>
      <c r="B24" s="13" t="s">
        <v>294</v>
      </c>
      <c r="C24" s="13" t="s">
        <v>125</v>
      </c>
      <c r="D24" s="13" t="s">
        <v>126</v>
      </c>
      <c r="E24" s="13" t="s">
        <v>161</v>
      </c>
      <c r="F24" s="13" t="s">
        <v>295</v>
      </c>
      <c r="G24" s="13" t="s">
        <v>296</v>
      </c>
      <c r="H24" s="13" t="s">
        <v>297</v>
      </c>
      <c r="I24" s="13" t="s">
        <v>298</v>
      </c>
      <c r="J24" s="13" t="s">
        <v>299</v>
      </c>
      <c r="K24" s="13" t="s">
        <v>300</v>
      </c>
      <c r="L24" s="13" t="s">
        <v>301</v>
      </c>
      <c r="M24" s="13" t="n">
        <v>320.12</v>
      </c>
      <c r="N24" s="13" t="n">
        <v>0.44</v>
      </c>
      <c r="O24" s="13" t="n">
        <v>118</v>
      </c>
      <c r="P24" s="13" t="s">
        <v>302</v>
      </c>
      <c r="Q24" s="13" t="s">
        <v>303</v>
      </c>
      <c r="R24" s="13" t="s">
        <v>304</v>
      </c>
      <c r="S24" s="13" t="s">
        <v>304</v>
      </c>
      <c r="T24" s="13" t="s">
        <v>61</v>
      </c>
      <c r="U24" s="13"/>
    </row>
    <row r="25" customFormat="false" ht="18" hidden="false" customHeight="true" outlineLevel="0" collapsed="false">
      <c r="A25" s="13" t="n">
        <v>24</v>
      </c>
      <c r="B25" s="13" t="s">
        <v>305</v>
      </c>
      <c r="C25" s="13" t="s">
        <v>125</v>
      </c>
      <c r="D25" s="13" t="s">
        <v>126</v>
      </c>
      <c r="E25" s="13" t="s">
        <v>161</v>
      </c>
      <c r="F25" s="13" t="s">
        <v>306</v>
      </c>
      <c r="G25" s="13" t="s">
        <v>296</v>
      </c>
      <c r="H25" s="13" t="s">
        <v>307</v>
      </c>
      <c r="I25" s="13" t="s">
        <v>308</v>
      </c>
      <c r="J25" s="13" t="s">
        <v>309</v>
      </c>
      <c r="K25" s="13" t="s">
        <v>310</v>
      </c>
      <c r="L25" s="13" t="s">
        <v>311</v>
      </c>
      <c r="M25" s="13" t="n">
        <v>430.19</v>
      </c>
      <c r="N25" s="13" t="n">
        <v>0.44</v>
      </c>
      <c r="O25" s="13" t="n">
        <v>421</v>
      </c>
      <c r="P25" s="13" t="s">
        <v>312</v>
      </c>
      <c r="Q25" s="13" t="s">
        <v>313</v>
      </c>
      <c r="R25" s="13" t="s">
        <v>314</v>
      </c>
      <c r="S25" s="13" t="s">
        <v>314</v>
      </c>
      <c r="T25" s="13" t="s">
        <v>61</v>
      </c>
      <c r="U25" s="13"/>
    </row>
    <row r="26" customFormat="false" ht="18" hidden="false" customHeight="true" outlineLevel="0" collapsed="false">
      <c r="A26" s="16" t="n">
        <v>25</v>
      </c>
      <c r="B26" s="16" t="s">
        <v>315</v>
      </c>
      <c r="C26" s="16" t="s">
        <v>125</v>
      </c>
      <c r="D26" s="16" t="s">
        <v>126</v>
      </c>
      <c r="E26" s="16" t="s">
        <v>161</v>
      </c>
      <c r="F26" s="16" t="s">
        <v>306</v>
      </c>
      <c r="G26" s="16" t="s">
        <v>257</v>
      </c>
      <c r="H26" s="16" t="s">
        <v>316</v>
      </c>
      <c r="I26" s="16" t="s">
        <v>317</v>
      </c>
      <c r="J26" s="16" t="s">
        <v>318</v>
      </c>
      <c r="K26" s="16" t="s">
        <v>319</v>
      </c>
      <c r="L26" s="16" t="s">
        <v>320</v>
      </c>
      <c r="M26" s="16" t="n">
        <v>164.35</v>
      </c>
      <c r="N26" s="16" t="n">
        <v>0.33</v>
      </c>
      <c r="O26" s="16" t="n">
        <v>0</v>
      </c>
      <c r="P26" s="16" t="s">
        <v>321</v>
      </c>
      <c r="Q26" s="16" t="s">
        <v>322</v>
      </c>
      <c r="R26" s="16" t="s">
        <v>323</v>
      </c>
      <c r="S26" s="16" t="s">
        <v>324</v>
      </c>
      <c r="T26" s="16" t="s">
        <v>61</v>
      </c>
      <c r="U26" s="16" t="s">
        <v>325</v>
      </c>
    </row>
    <row r="27" customFormat="false" ht="18" hidden="false" customHeight="true" outlineLevel="0" collapsed="false">
      <c r="A27" s="13" t="n">
        <v>26</v>
      </c>
      <c r="B27" s="13" t="s">
        <v>326</v>
      </c>
      <c r="C27" s="13" t="s">
        <v>255</v>
      </c>
      <c r="D27" s="13" t="s">
        <v>256</v>
      </c>
      <c r="E27" s="13" t="s">
        <v>91</v>
      </c>
      <c r="F27" s="13" t="s">
        <v>185</v>
      </c>
      <c r="G27" s="13" t="s">
        <v>186</v>
      </c>
      <c r="H27" s="13" t="s">
        <v>327</v>
      </c>
      <c r="I27" s="13" t="s">
        <v>328</v>
      </c>
      <c r="J27" s="13" t="s">
        <v>329</v>
      </c>
      <c r="K27" s="13" t="s">
        <v>330</v>
      </c>
      <c r="L27" s="13" t="s">
        <v>191</v>
      </c>
      <c r="M27" s="13" t="n">
        <v>1945.54</v>
      </c>
      <c r="N27" s="13" t="n">
        <v>30.06</v>
      </c>
      <c r="O27" s="13" t="n">
        <v>424</v>
      </c>
      <c r="P27" s="13" t="s">
        <v>192</v>
      </c>
      <c r="Q27" s="13" t="s">
        <v>331</v>
      </c>
      <c r="R27" s="13" t="s">
        <v>332</v>
      </c>
      <c r="S27" s="13" t="s">
        <v>332</v>
      </c>
      <c r="T27" s="13" t="s">
        <v>61</v>
      </c>
      <c r="U27" s="13"/>
    </row>
    <row r="28" customFormat="false" ht="18" hidden="false" customHeight="true" outlineLevel="0" collapsed="false">
      <c r="A28" s="15" t="n">
        <v>27</v>
      </c>
      <c r="B28" s="15" t="s">
        <v>333</v>
      </c>
      <c r="C28" s="15" t="s">
        <v>77</v>
      </c>
      <c r="D28" s="15" t="s">
        <v>78</v>
      </c>
      <c r="E28" s="15" t="s">
        <v>161</v>
      </c>
      <c r="F28" s="15" t="s">
        <v>162</v>
      </c>
      <c r="G28" s="15" t="s">
        <v>334</v>
      </c>
      <c r="H28" s="15" t="s">
        <v>335</v>
      </c>
      <c r="I28" s="15" t="s">
        <v>336</v>
      </c>
      <c r="J28" s="15" t="s">
        <v>337</v>
      </c>
      <c r="K28" s="15" t="s">
        <v>338</v>
      </c>
      <c r="L28" s="15" t="s">
        <v>339</v>
      </c>
      <c r="M28" s="15" t="n">
        <v>3839.84</v>
      </c>
      <c r="N28" s="15" t="n">
        <v>0.43</v>
      </c>
      <c r="O28" s="15" t="n">
        <v>468</v>
      </c>
      <c r="P28" s="15" t="s">
        <v>340</v>
      </c>
      <c r="Q28" s="15" t="s">
        <v>341</v>
      </c>
      <c r="R28" s="15" t="s">
        <v>342</v>
      </c>
      <c r="S28" s="15" t="s">
        <v>342</v>
      </c>
      <c r="T28" s="15" t="s">
        <v>61</v>
      </c>
      <c r="U28" s="15" t="s">
        <v>343</v>
      </c>
    </row>
    <row r="29" customFormat="false" ht="18" hidden="false" customHeight="true" outlineLevel="0" collapsed="false">
      <c r="A29" s="13" t="n">
        <v>28</v>
      </c>
      <c r="B29" s="13" t="s">
        <v>344</v>
      </c>
      <c r="C29" s="13" t="s">
        <v>159</v>
      </c>
      <c r="D29" s="13" t="s">
        <v>160</v>
      </c>
      <c r="E29" s="13" t="s">
        <v>161</v>
      </c>
      <c r="F29" s="13" t="s">
        <v>51</v>
      </c>
      <c r="G29" s="13" t="s">
        <v>207</v>
      </c>
      <c r="H29" s="13" t="s">
        <v>345</v>
      </c>
      <c r="I29" s="13" t="s">
        <v>346</v>
      </c>
      <c r="J29" s="13" t="s">
        <v>347</v>
      </c>
      <c r="K29" s="13" t="s">
        <v>348</v>
      </c>
      <c r="L29" s="13" t="s">
        <v>212</v>
      </c>
      <c r="M29" s="13" t="n">
        <v>102.69</v>
      </c>
      <c r="N29" s="13" t="n">
        <v>0.37</v>
      </c>
      <c r="O29" s="13" t="n">
        <v>397</v>
      </c>
      <c r="P29" s="13" t="s">
        <v>213</v>
      </c>
      <c r="Q29" s="13" t="s">
        <v>349</v>
      </c>
      <c r="R29" s="13" t="s">
        <v>350</v>
      </c>
      <c r="S29" s="13" t="s">
        <v>350</v>
      </c>
      <c r="T29" s="13" t="s">
        <v>61</v>
      </c>
      <c r="U29" s="13"/>
    </row>
    <row r="30" customFormat="false" ht="18" hidden="false" customHeight="true" outlineLevel="0" collapsed="false">
      <c r="A30" s="13" t="n">
        <v>29</v>
      </c>
      <c r="B30" s="13" t="s">
        <v>351</v>
      </c>
      <c r="C30" s="13" t="s">
        <v>255</v>
      </c>
      <c r="D30" s="13" t="s">
        <v>256</v>
      </c>
      <c r="E30" s="13" t="s">
        <v>50</v>
      </c>
      <c r="F30" s="13" t="s">
        <v>51</v>
      </c>
      <c r="G30" s="13" t="s">
        <v>352</v>
      </c>
      <c r="H30" s="13" t="s">
        <v>353</v>
      </c>
      <c r="I30" s="13" t="s">
        <v>354</v>
      </c>
      <c r="J30" s="13" t="s">
        <v>355</v>
      </c>
      <c r="K30" s="13" t="s">
        <v>356</v>
      </c>
      <c r="L30" s="13" t="s">
        <v>357</v>
      </c>
      <c r="M30" s="13" t="n">
        <v>447.47</v>
      </c>
      <c r="N30" s="13" t="n">
        <v>0.6</v>
      </c>
      <c r="O30" s="13" t="n">
        <v>116</v>
      </c>
      <c r="P30" s="13" t="s">
        <v>358</v>
      </c>
      <c r="Q30" s="13" t="s">
        <v>359</v>
      </c>
      <c r="R30" s="13" t="s">
        <v>360</v>
      </c>
      <c r="S30" s="13" t="s">
        <v>360</v>
      </c>
      <c r="T30" s="13" t="s">
        <v>61</v>
      </c>
      <c r="U30" s="13"/>
    </row>
    <row r="31" customFormat="false" ht="18" hidden="false" customHeight="true" outlineLevel="0" collapsed="false">
      <c r="A31" s="13" t="n">
        <v>30</v>
      </c>
      <c r="B31" s="13" t="s">
        <v>361</v>
      </c>
      <c r="C31" s="13" t="s">
        <v>125</v>
      </c>
      <c r="D31" s="13" t="s">
        <v>126</v>
      </c>
      <c r="E31" s="13" t="s">
        <v>50</v>
      </c>
      <c r="F31" s="13" t="s">
        <v>115</v>
      </c>
      <c r="G31" s="13" t="s">
        <v>217</v>
      </c>
      <c r="H31" s="13" t="s">
        <v>362</v>
      </c>
      <c r="I31" s="13" t="s">
        <v>363</v>
      </c>
      <c r="J31" s="13" t="s">
        <v>364</v>
      </c>
      <c r="K31" s="13" t="s">
        <v>365</v>
      </c>
      <c r="L31" s="13" t="s">
        <v>366</v>
      </c>
      <c r="M31" s="13" t="n">
        <v>718.58</v>
      </c>
      <c r="N31" s="13" t="n">
        <v>0.35</v>
      </c>
      <c r="O31" s="13" t="n">
        <v>385</v>
      </c>
      <c r="P31" s="13" t="s">
        <v>367</v>
      </c>
      <c r="Q31" s="13" t="s">
        <v>368</v>
      </c>
      <c r="R31" s="13" t="s">
        <v>369</v>
      </c>
      <c r="S31" s="13" t="s">
        <v>369</v>
      </c>
      <c r="T31" s="13" t="s">
        <v>61</v>
      </c>
      <c r="U31" s="13"/>
    </row>
    <row r="32" customFormat="false" ht="18" hidden="false" customHeight="true" outlineLevel="0" collapsed="false">
      <c r="A32" s="13" t="n">
        <v>31</v>
      </c>
      <c r="B32" s="13" t="s">
        <v>370</v>
      </c>
      <c r="C32" s="13" t="s">
        <v>77</v>
      </c>
      <c r="D32" s="13" t="s">
        <v>78</v>
      </c>
      <c r="E32" s="13" t="s">
        <v>65</v>
      </c>
      <c r="F32" s="13" t="s">
        <v>371</v>
      </c>
      <c r="G32" s="13" t="s">
        <v>372</v>
      </c>
      <c r="H32" s="13" t="s">
        <v>373</v>
      </c>
      <c r="I32" s="13" t="s">
        <v>374</v>
      </c>
      <c r="J32" s="13" t="s">
        <v>375</v>
      </c>
      <c r="K32" s="13" t="s">
        <v>376</v>
      </c>
      <c r="L32" s="13" t="s">
        <v>377</v>
      </c>
      <c r="M32" s="13" t="n">
        <v>284.1</v>
      </c>
      <c r="N32" s="13" t="n">
        <v>0.63</v>
      </c>
      <c r="O32" s="13" t="n">
        <v>432</v>
      </c>
      <c r="P32" s="13" t="s">
        <v>378</v>
      </c>
      <c r="Q32" s="13" t="s">
        <v>379</v>
      </c>
      <c r="R32" s="13" t="s">
        <v>380</v>
      </c>
      <c r="S32" s="13" t="s">
        <v>380</v>
      </c>
      <c r="T32" s="13" t="s">
        <v>61</v>
      </c>
      <c r="U32" s="13"/>
    </row>
    <row r="33" customFormat="false" ht="18" hidden="false" customHeight="true" outlineLevel="0" collapsed="false">
      <c r="A33" s="13" t="n">
        <v>32</v>
      </c>
      <c r="B33" s="13" t="s">
        <v>381</v>
      </c>
      <c r="C33" s="13" t="s">
        <v>173</v>
      </c>
      <c r="D33" s="13" t="s">
        <v>174</v>
      </c>
      <c r="E33" s="13" t="s">
        <v>50</v>
      </c>
      <c r="F33" s="13" t="s">
        <v>138</v>
      </c>
      <c r="G33" s="13" t="s">
        <v>352</v>
      </c>
      <c r="H33" s="13" t="s">
        <v>382</v>
      </c>
      <c r="I33" s="13" t="s">
        <v>383</v>
      </c>
      <c r="J33" s="13" t="s">
        <v>384</v>
      </c>
      <c r="K33" s="13" t="s">
        <v>385</v>
      </c>
      <c r="L33" s="13" t="s">
        <v>386</v>
      </c>
      <c r="M33" s="13" t="n">
        <v>654.88</v>
      </c>
      <c r="N33" s="13" t="n">
        <v>0.44</v>
      </c>
      <c r="O33" s="13" t="n">
        <v>263</v>
      </c>
      <c r="P33" s="13" t="s">
        <v>387</v>
      </c>
      <c r="Q33" s="13" t="s">
        <v>388</v>
      </c>
      <c r="R33" s="13" t="s">
        <v>157</v>
      </c>
      <c r="S33" s="13" t="s">
        <v>157</v>
      </c>
      <c r="T33" s="13" t="s">
        <v>61</v>
      </c>
      <c r="U33" s="13"/>
    </row>
    <row r="34" customFormat="false" ht="18" hidden="false" customHeight="true" outlineLevel="0" collapsed="false">
      <c r="A34" s="16" t="n">
        <v>33</v>
      </c>
      <c r="B34" s="16" t="s">
        <v>389</v>
      </c>
      <c r="C34" s="16" t="s">
        <v>159</v>
      </c>
      <c r="D34" s="16" t="s">
        <v>160</v>
      </c>
      <c r="E34" s="16" t="s">
        <v>65</v>
      </c>
      <c r="F34" s="16" t="s">
        <v>390</v>
      </c>
      <c r="G34" s="16" t="s">
        <v>391</v>
      </c>
      <c r="H34" s="16" t="s">
        <v>392</v>
      </c>
      <c r="I34" s="16" t="s">
        <v>393</v>
      </c>
      <c r="J34" s="16" t="s">
        <v>394</v>
      </c>
      <c r="K34" s="16" t="s">
        <v>395</v>
      </c>
      <c r="L34" s="16" t="s">
        <v>396</v>
      </c>
      <c r="M34" s="16" t="n">
        <v>362.4</v>
      </c>
      <c r="N34" s="16" t="n">
        <v>0.69</v>
      </c>
      <c r="O34" s="16" t="n">
        <v>0</v>
      </c>
      <c r="P34" s="16" t="s">
        <v>397</v>
      </c>
      <c r="Q34" s="16" t="s">
        <v>398</v>
      </c>
      <c r="R34" s="16" t="s">
        <v>399</v>
      </c>
      <c r="S34" s="16" t="s">
        <v>400</v>
      </c>
      <c r="T34" s="16" t="s">
        <v>61</v>
      </c>
      <c r="U34" s="16" t="s">
        <v>325</v>
      </c>
    </row>
    <row r="35" customFormat="false" ht="18" hidden="false" customHeight="true" outlineLevel="0" collapsed="false">
      <c r="A35" s="16" t="n">
        <v>34</v>
      </c>
      <c r="B35" s="16" t="s">
        <v>401</v>
      </c>
      <c r="C35" s="16" t="s">
        <v>173</v>
      </c>
      <c r="D35" s="16" t="s">
        <v>174</v>
      </c>
      <c r="E35" s="16" t="s">
        <v>50</v>
      </c>
      <c r="F35" s="16" t="s">
        <v>115</v>
      </c>
      <c r="G35" s="16" t="s">
        <v>217</v>
      </c>
      <c r="H35" s="16" t="s">
        <v>402</v>
      </c>
      <c r="I35" s="16" t="s">
        <v>403</v>
      </c>
      <c r="J35" s="16" t="s">
        <v>404</v>
      </c>
      <c r="K35" s="16" t="s">
        <v>405</v>
      </c>
      <c r="L35" s="16" t="s">
        <v>366</v>
      </c>
      <c r="M35" s="16" t="n">
        <v>1093.17</v>
      </c>
      <c r="N35" s="16" t="n">
        <v>0.61</v>
      </c>
      <c r="O35" s="16" t="n">
        <v>0</v>
      </c>
      <c r="P35" s="16" t="s">
        <v>367</v>
      </c>
      <c r="Q35" s="16" t="s">
        <v>406</v>
      </c>
      <c r="R35" s="16" t="s">
        <v>407</v>
      </c>
      <c r="S35" s="16" t="s">
        <v>408</v>
      </c>
      <c r="T35" s="16" t="s">
        <v>61</v>
      </c>
      <c r="U35" s="16" t="s">
        <v>325</v>
      </c>
    </row>
    <row r="36" customFormat="false" ht="18" hidden="false" customHeight="true" outlineLevel="0" collapsed="false">
      <c r="A36" s="13" t="n">
        <v>35</v>
      </c>
      <c r="B36" s="13" t="s">
        <v>409</v>
      </c>
      <c r="C36" s="13" t="s">
        <v>255</v>
      </c>
      <c r="D36" s="13" t="s">
        <v>256</v>
      </c>
      <c r="E36" s="13" t="s">
        <v>161</v>
      </c>
      <c r="F36" s="13" t="s">
        <v>162</v>
      </c>
      <c r="G36" s="13" t="s">
        <v>296</v>
      </c>
      <c r="H36" s="13" t="s">
        <v>410</v>
      </c>
      <c r="I36" s="13" t="s">
        <v>411</v>
      </c>
      <c r="J36" s="13" t="s">
        <v>412</v>
      </c>
      <c r="K36" s="13" t="s">
        <v>413</v>
      </c>
      <c r="L36" s="13" t="s">
        <v>414</v>
      </c>
      <c r="M36" s="13" t="n">
        <v>32.47</v>
      </c>
      <c r="N36" s="13" t="n">
        <v>0.41</v>
      </c>
      <c r="O36" s="13" t="n">
        <v>13</v>
      </c>
      <c r="P36" s="13" t="s">
        <v>415</v>
      </c>
      <c r="Q36" s="13" t="s">
        <v>416</v>
      </c>
      <c r="R36" s="13" t="s">
        <v>417</v>
      </c>
      <c r="S36" s="13" t="s">
        <v>417</v>
      </c>
      <c r="T36" s="13" t="s">
        <v>61</v>
      </c>
      <c r="U36" s="13"/>
    </row>
    <row r="37" customFormat="false" ht="18" hidden="false" customHeight="true" outlineLevel="0" collapsed="false">
      <c r="A37" s="13" t="n">
        <v>36</v>
      </c>
      <c r="B37" s="13" t="s">
        <v>418</v>
      </c>
      <c r="C37" s="13" t="s">
        <v>113</v>
      </c>
      <c r="D37" s="13" t="s">
        <v>114</v>
      </c>
      <c r="E37" s="13" t="s">
        <v>91</v>
      </c>
      <c r="F37" s="13" t="s">
        <v>419</v>
      </c>
      <c r="G37" s="13" t="s">
        <v>420</v>
      </c>
      <c r="H37" s="13" t="s">
        <v>421</v>
      </c>
      <c r="I37" s="13" t="s">
        <v>422</v>
      </c>
      <c r="J37" s="13" t="s">
        <v>423</v>
      </c>
      <c r="K37" s="13" t="s">
        <v>424</v>
      </c>
      <c r="L37" s="13" t="s">
        <v>425</v>
      </c>
      <c r="M37" s="13" t="n">
        <v>3715.17</v>
      </c>
      <c r="N37" s="13" t="n">
        <v>8.21</v>
      </c>
      <c r="O37" s="13" t="n">
        <v>123</v>
      </c>
      <c r="P37" s="13" t="s">
        <v>426</v>
      </c>
      <c r="Q37" s="13" t="s">
        <v>427</v>
      </c>
      <c r="R37" s="13" t="s">
        <v>123</v>
      </c>
      <c r="S37" s="13" t="s">
        <v>123</v>
      </c>
      <c r="T37" s="13" t="s">
        <v>61</v>
      </c>
      <c r="U37" s="13"/>
    </row>
    <row r="38" customFormat="false" ht="18" hidden="false" customHeight="true" outlineLevel="0" collapsed="false">
      <c r="A38" s="13" t="n">
        <v>37</v>
      </c>
      <c r="B38" s="13" t="s">
        <v>428</v>
      </c>
      <c r="C38" s="13" t="s">
        <v>255</v>
      </c>
      <c r="D38" s="13" t="s">
        <v>256</v>
      </c>
      <c r="E38" s="13" t="s">
        <v>161</v>
      </c>
      <c r="F38" s="13" t="s">
        <v>429</v>
      </c>
      <c r="G38" s="13" t="s">
        <v>207</v>
      </c>
      <c r="H38" s="13" t="s">
        <v>430</v>
      </c>
      <c r="I38" s="13" t="s">
        <v>431</v>
      </c>
      <c r="J38" s="13" t="s">
        <v>432</v>
      </c>
      <c r="K38" s="13" t="s">
        <v>433</v>
      </c>
      <c r="L38" s="13" t="s">
        <v>434</v>
      </c>
      <c r="M38" s="13" t="n">
        <v>73.73</v>
      </c>
      <c r="N38" s="13" t="n">
        <v>0.21</v>
      </c>
      <c r="O38" s="13" t="n">
        <v>491</v>
      </c>
      <c r="P38" s="13" t="s">
        <v>435</v>
      </c>
      <c r="Q38" s="13" t="s">
        <v>436</v>
      </c>
      <c r="R38" s="13" t="s">
        <v>225</v>
      </c>
      <c r="S38" s="13" t="s">
        <v>225</v>
      </c>
      <c r="T38" s="13" t="s">
        <v>61</v>
      </c>
      <c r="U38" s="13"/>
    </row>
    <row r="39" customFormat="false" ht="18" hidden="false" customHeight="true" outlineLevel="0" collapsed="false">
      <c r="A39" s="13" t="n">
        <v>38</v>
      </c>
      <c r="B39" s="13" t="s">
        <v>437</v>
      </c>
      <c r="C39" s="13" t="s">
        <v>48</v>
      </c>
      <c r="D39" s="13" t="s">
        <v>49</v>
      </c>
      <c r="E39" s="13" t="s">
        <v>65</v>
      </c>
      <c r="F39" s="13" t="s">
        <v>438</v>
      </c>
      <c r="G39" s="13" t="s">
        <v>274</v>
      </c>
      <c r="H39" s="13" t="s">
        <v>439</v>
      </c>
      <c r="I39" s="13" t="s">
        <v>440</v>
      </c>
      <c r="J39" s="13" t="s">
        <v>441</v>
      </c>
      <c r="K39" s="13" t="s">
        <v>442</v>
      </c>
      <c r="L39" s="13" t="s">
        <v>443</v>
      </c>
      <c r="M39" s="13" t="n">
        <v>115.92</v>
      </c>
      <c r="N39" s="13" t="n">
        <v>0.11</v>
      </c>
      <c r="O39" s="13" t="n">
        <v>90</v>
      </c>
      <c r="P39" s="13" t="s">
        <v>444</v>
      </c>
      <c r="Q39" s="13" t="s">
        <v>156</v>
      </c>
      <c r="R39" s="13" t="s">
        <v>445</v>
      </c>
      <c r="S39" s="13" t="s">
        <v>445</v>
      </c>
      <c r="T39" s="13" t="s">
        <v>61</v>
      </c>
      <c r="U39" s="13"/>
    </row>
    <row r="40" customFormat="false" ht="18" hidden="false" customHeight="true" outlineLevel="0" collapsed="false">
      <c r="A40" s="15" t="n">
        <v>39</v>
      </c>
      <c r="B40" s="15" t="s">
        <v>446</v>
      </c>
      <c r="C40" s="15" t="s">
        <v>63</v>
      </c>
      <c r="D40" s="15" t="s">
        <v>64</v>
      </c>
      <c r="E40" s="15" t="s">
        <v>91</v>
      </c>
      <c r="F40" s="15" t="s">
        <v>127</v>
      </c>
      <c r="G40" s="15" t="s">
        <v>217</v>
      </c>
      <c r="H40" s="15" t="s">
        <v>447</v>
      </c>
      <c r="I40" s="15" t="s">
        <v>448</v>
      </c>
      <c r="J40" s="15" t="s">
        <v>449</v>
      </c>
      <c r="K40" s="15" t="s">
        <v>450</v>
      </c>
      <c r="L40" s="15" t="s">
        <v>222</v>
      </c>
      <c r="M40" s="15" t="n">
        <v>1014.11</v>
      </c>
      <c r="N40" s="15" t="n">
        <v>0.65</v>
      </c>
      <c r="O40" s="15" t="n">
        <v>412</v>
      </c>
      <c r="P40" s="15" t="s">
        <v>223</v>
      </c>
      <c r="Q40" s="15" t="s">
        <v>451</v>
      </c>
      <c r="R40" s="15" t="s">
        <v>452</v>
      </c>
      <c r="S40" s="15" t="s">
        <v>452</v>
      </c>
      <c r="T40" s="15" t="s">
        <v>61</v>
      </c>
      <c r="U40" s="15" t="s">
        <v>453</v>
      </c>
    </row>
    <row r="41" customFormat="false" ht="18" hidden="false" customHeight="true" outlineLevel="0" collapsed="false">
      <c r="A41" s="16" t="n">
        <v>40</v>
      </c>
      <c r="B41" s="16" t="s">
        <v>454</v>
      </c>
      <c r="C41" s="16" t="s">
        <v>125</v>
      </c>
      <c r="D41" s="16" t="s">
        <v>126</v>
      </c>
      <c r="E41" s="16" t="s">
        <v>161</v>
      </c>
      <c r="F41" s="16" t="s">
        <v>429</v>
      </c>
      <c r="G41" s="16" t="s">
        <v>175</v>
      </c>
      <c r="H41" s="16" t="s">
        <v>455</v>
      </c>
      <c r="I41" s="16" t="s">
        <v>456</v>
      </c>
      <c r="J41" s="16" t="s">
        <v>457</v>
      </c>
      <c r="K41" s="16" t="s">
        <v>458</v>
      </c>
      <c r="L41" s="16" t="s">
        <v>459</v>
      </c>
      <c r="M41" s="16" t="n">
        <v>488.58</v>
      </c>
      <c r="N41" s="16" t="n">
        <v>0.26</v>
      </c>
      <c r="O41" s="16" t="n">
        <v>0</v>
      </c>
      <c r="P41" s="16" t="s">
        <v>460</v>
      </c>
      <c r="Q41" s="16" t="s">
        <v>461</v>
      </c>
      <c r="R41" s="16" t="s">
        <v>462</v>
      </c>
      <c r="S41" s="16" t="s">
        <v>463</v>
      </c>
      <c r="T41" s="16" t="s">
        <v>61</v>
      </c>
      <c r="U41" s="16" t="s">
        <v>325</v>
      </c>
    </row>
    <row r="42" customFormat="false" ht="18" hidden="false" customHeight="true" outlineLevel="0" collapsed="false">
      <c r="A42" s="13" t="n">
        <v>41</v>
      </c>
      <c r="B42" s="13" t="s">
        <v>464</v>
      </c>
      <c r="C42" s="13" t="s">
        <v>77</v>
      </c>
      <c r="D42" s="13" t="s">
        <v>78</v>
      </c>
      <c r="E42" s="13" t="s">
        <v>79</v>
      </c>
      <c r="F42" s="13" t="s">
        <v>465</v>
      </c>
      <c r="G42" s="13" t="s">
        <v>80</v>
      </c>
      <c r="H42" s="13" t="s">
        <v>466</v>
      </c>
      <c r="I42" s="13" t="s">
        <v>467</v>
      </c>
      <c r="J42" s="13" t="s">
        <v>468</v>
      </c>
      <c r="K42" s="13" t="s">
        <v>469</v>
      </c>
      <c r="L42" s="13" t="s">
        <v>470</v>
      </c>
      <c r="M42" s="13" t="n">
        <v>1026.09</v>
      </c>
      <c r="N42" s="13" t="n">
        <v>1.82</v>
      </c>
      <c r="O42" s="13" t="n">
        <v>456</v>
      </c>
      <c r="P42" s="13" t="s">
        <v>471</v>
      </c>
      <c r="Q42" s="13" t="s">
        <v>472</v>
      </c>
      <c r="R42" s="13" t="s">
        <v>473</v>
      </c>
      <c r="S42" s="13" t="s">
        <v>473</v>
      </c>
      <c r="T42" s="13" t="s">
        <v>61</v>
      </c>
      <c r="U42" s="13"/>
    </row>
    <row r="43" customFormat="false" ht="18" hidden="false" customHeight="true" outlineLevel="0" collapsed="false">
      <c r="A43" s="13" t="n">
        <v>42</v>
      </c>
      <c r="B43" s="13" t="s">
        <v>474</v>
      </c>
      <c r="C43" s="13" t="s">
        <v>173</v>
      </c>
      <c r="D43" s="13" t="s">
        <v>174</v>
      </c>
      <c r="E43" s="13" t="s">
        <v>91</v>
      </c>
      <c r="F43" s="13" t="s">
        <v>138</v>
      </c>
      <c r="G43" s="13" t="s">
        <v>186</v>
      </c>
      <c r="H43" s="13" t="s">
        <v>475</v>
      </c>
      <c r="I43" s="13" t="s">
        <v>476</v>
      </c>
      <c r="J43" s="13" t="s">
        <v>477</v>
      </c>
      <c r="K43" s="13" t="s">
        <v>478</v>
      </c>
      <c r="L43" s="13" t="s">
        <v>479</v>
      </c>
      <c r="M43" s="13" t="n">
        <v>3369.2</v>
      </c>
      <c r="N43" s="13" t="n">
        <v>30.56</v>
      </c>
      <c r="O43" s="13" t="n">
        <v>250</v>
      </c>
      <c r="P43" s="13" t="s">
        <v>480</v>
      </c>
      <c r="Q43" s="13" t="s">
        <v>481</v>
      </c>
      <c r="R43" s="13" t="s">
        <v>482</v>
      </c>
      <c r="S43" s="13" t="s">
        <v>482</v>
      </c>
      <c r="T43" s="13" t="s">
        <v>61</v>
      </c>
      <c r="U43" s="13"/>
    </row>
    <row r="44" customFormat="false" ht="18" hidden="false" customHeight="true" outlineLevel="0" collapsed="false">
      <c r="A44" s="13" t="n">
        <v>43</v>
      </c>
      <c r="B44" s="13" t="s">
        <v>483</v>
      </c>
      <c r="C44" s="13" t="s">
        <v>48</v>
      </c>
      <c r="D44" s="13" t="s">
        <v>49</v>
      </c>
      <c r="E44" s="13" t="s">
        <v>161</v>
      </c>
      <c r="F44" s="13" t="s">
        <v>429</v>
      </c>
      <c r="G44" s="13" t="s">
        <v>334</v>
      </c>
      <c r="H44" s="13" t="s">
        <v>484</v>
      </c>
      <c r="I44" s="13" t="s">
        <v>485</v>
      </c>
      <c r="J44" s="13" t="s">
        <v>486</v>
      </c>
      <c r="K44" s="13" t="s">
        <v>487</v>
      </c>
      <c r="L44" s="13" t="s">
        <v>488</v>
      </c>
      <c r="M44" s="13" t="n">
        <v>311.46</v>
      </c>
      <c r="N44" s="13" t="n">
        <v>0.25</v>
      </c>
      <c r="O44" s="13" t="n">
        <v>458</v>
      </c>
      <c r="P44" s="13" t="s">
        <v>489</v>
      </c>
      <c r="Q44" s="13" t="s">
        <v>490</v>
      </c>
      <c r="R44" s="13" t="s">
        <v>491</v>
      </c>
      <c r="S44" s="13" t="s">
        <v>491</v>
      </c>
      <c r="T44" s="13" t="s">
        <v>61</v>
      </c>
      <c r="U44" s="13"/>
    </row>
    <row r="45" customFormat="false" ht="18" hidden="false" customHeight="true" outlineLevel="0" collapsed="false">
      <c r="A45" s="16" t="n">
        <v>44</v>
      </c>
      <c r="B45" s="16" t="s">
        <v>492</v>
      </c>
      <c r="C45" s="16" t="s">
        <v>173</v>
      </c>
      <c r="D45" s="16" t="s">
        <v>174</v>
      </c>
      <c r="E45" s="16" t="s">
        <v>65</v>
      </c>
      <c r="F45" s="16" t="s">
        <v>115</v>
      </c>
      <c r="G45" s="16" t="s">
        <v>274</v>
      </c>
      <c r="H45" s="16" t="s">
        <v>493</v>
      </c>
      <c r="I45" s="16" t="s">
        <v>494</v>
      </c>
      <c r="J45" s="16" t="s">
        <v>495</v>
      </c>
      <c r="K45" s="16" t="s">
        <v>496</v>
      </c>
      <c r="L45" s="16" t="s">
        <v>497</v>
      </c>
      <c r="M45" s="16" t="n">
        <v>485.23</v>
      </c>
      <c r="N45" s="16" t="n">
        <v>0.93</v>
      </c>
      <c r="O45" s="16" t="n">
        <v>0</v>
      </c>
      <c r="P45" s="16" t="s">
        <v>498</v>
      </c>
      <c r="Q45" s="16" t="s">
        <v>499</v>
      </c>
      <c r="R45" s="16" t="s">
        <v>500</v>
      </c>
      <c r="S45" s="16" t="s">
        <v>501</v>
      </c>
      <c r="T45" s="16" t="s">
        <v>61</v>
      </c>
      <c r="U45" s="16" t="s">
        <v>325</v>
      </c>
    </row>
    <row r="46" customFormat="false" ht="18" hidden="false" customHeight="true" outlineLevel="0" collapsed="false">
      <c r="A46" s="15" t="n">
        <v>45</v>
      </c>
      <c r="B46" s="15" t="s">
        <v>502</v>
      </c>
      <c r="C46" s="15" t="s">
        <v>173</v>
      </c>
      <c r="D46" s="15" t="s">
        <v>174</v>
      </c>
      <c r="E46" s="15" t="s">
        <v>79</v>
      </c>
      <c r="F46" s="15" t="s">
        <v>503</v>
      </c>
      <c r="G46" s="15" t="s">
        <v>352</v>
      </c>
      <c r="H46" s="15" t="s">
        <v>504</v>
      </c>
      <c r="I46" s="15" t="s">
        <v>505</v>
      </c>
      <c r="J46" s="15" t="s">
        <v>506</v>
      </c>
      <c r="K46" s="15" t="s">
        <v>507</v>
      </c>
      <c r="L46" s="15" t="s">
        <v>508</v>
      </c>
      <c r="M46" s="15" t="n">
        <v>910.33</v>
      </c>
      <c r="N46" s="15" t="n">
        <v>0.86</v>
      </c>
      <c r="O46" s="15" t="n">
        <v>358</v>
      </c>
      <c r="P46" s="15" t="s">
        <v>509</v>
      </c>
      <c r="Q46" s="15" t="s">
        <v>510</v>
      </c>
      <c r="R46" s="15" t="s">
        <v>511</v>
      </c>
      <c r="S46" s="15" t="s">
        <v>511</v>
      </c>
      <c r="T46" s="15" t="s">
        <v>61</v>
      </c>
      <c r="U46" s="15" t="s">
        <v>453</v>
      </c>
    </row>
    <row r="47" customFormat="false" ht="18" hidden="false" customHeight="true" outlineLevel="0" collapsed="false">
      <c r="A47" s="15" t="n">
        <v>46</v>
      </c>
      <c r="B47" s="15" t="s">
        <v>428</v>
      </c>
      <c r="C47" s="15" t="s">
        <v>159</v>
      </c>
      <c r="D47" s="15" t="s">
        <v>160</v>
      </c>
      <c r="E47" s="15" t="s">
        <v>161</v>
      </c>
      <c r="F47" s="15" t="s">
        <v>429</v>
      </c>
      <c r="G47" s="15" t="s">
        <v>207</v>
      </c>
      <c r="H47" s="15" t="s">
        <v>430</v>
      </c>
      <c r="I47" s="15" t="s">
        <v>431</v>
      </c>
      <c r="J47" s="15" t="s">
        <v>432</v>
      </c>
      <c r="K47" s="15" t="s">
        <v>433</v>
      </c>
      <c r="L47" s="15" t="s">
        <v>434</v>
      </c>
      <c r="M47" s="15" t="n">
        <v>78.11</v>
      </c>
      <c r="N47" s="15" t="n">
        <v>0.21</v>
      </c>
      <c r="O47" s="15" t="n">
        <v>491</v>
      </c>
      <c r="P47" s="15" t="s">
        <v>435</v>
      </c>
      <c r="Q47" s="15" t="s">
        <v>436</v>
      </c>
      <c r="R47" s="15" t="s">
        <v>225</v>
      </c>
      <c r="S47" s="15" t="s">
        <v>225</v>
      </c>
      <c r="T47" s="15" t="s">
        <v>61</v>
      </c>
      <c r="U47" s="15" t="s">
        <v>283</v>
      </c>
    </row>
    <row r="48" customFormat="false" ht="18" hidden="false" customHeight="true" outlineLevel="0" collapsed="false">
      <c r="A48" s="13" t="n">
        <v>47</v>
      </c>
      <c r="B48" s="13" t="s">
        <v>512</v>
      </c>
      <c r="C48" s="13" t="s">
        <v>255</v>
      </c>
      <c r="D48" s="13" t="s">
        <v>256</v>
      </c>
      <c r="E48" s="13" t="s">
        <v>79</v>
      </c>
      <c r="F48" s="13" t="s">
        <v>513</v>
      </c>
      <c r="G48" s="13" t="s">
        <v>514</v>
      </c>
      <c r="H48" s="13" t="s">
        <v>515</v>
      </c>
      <c r="I48" s="13" t="s">
        <v>516</v>
      </c>
      <c r="J48" s="13" t="s">
        <v>517</v>
      </c>
      <c r="K48" s="13" t="s">
        <v>518</v>
      </c>
      <c r="L48" s="13" t="s">
        <v>519</v>
      </c>
      <c r="M48" s="13" t="n">
        <v>798.29</v>
      </c>
      <c r="N48" s="13" t="n">
        <v>1.53</v>
      </c>
      <c r="O48" s="13" t="n">
        <v>423</v>
      </c>
      <c r="P48" s="13" t="s">
        <v>520</v>
      </c>
      <c r="Q48" s="13" t="s">
        <v>521</v>
      </c>
      <c r="R48" s="13" t="s">
        <v>522</v>
      </c>
      <c r="S48" s="13" t="s">
        <v>522</v>
      </c>
      <c r="T48" s="13" t="s">
        <v>61</v>
      </c>
      <c r="U48" s="13"/>
    </row>
    <row r="49" customFormat="false" ht="18" hidden="false" customHeight="true" outlineLevel="0" collapsed="false">
      <c r="A49" s="13" t="n">
        <v>48</v>
      </c>
      <c r="B49" s="13" t="s">
        <v>523</v>
      </c>
      <c r="C49" s="13" t="s">
        <v>125</v>
      </c>
      <c r="D49" s="13" t="s">
        <v>126</v>
      </c>
      <c r="E49" s="13" t="s">
        <v>91</v>
      </c>
      <c r="F49" s="13" t="s">
        <v>185</v>
      </c>
      <c r="G49" s="13" t="s">
        <v>93</v>
      </c>
      <c r="H49" s="13" t="s">
        <v>524</v>
      </c>
      <c r="I49" s="13" t="s">
        <v>525</v>
      </c>
      <c r="J49" s="13" t="s">
        <v>526</v>
      </c>
      <c r="K49" s="13" t="s">
        <v>527</v>
      </c>
      <c r="L49" s="13" t="s">
        <v>528</v>
      </c>
      <c r="M49" s="13" t="n">
        <v>858.19</v>
      </c>
      <c r="N49" s="13" t="n">
        <v>18.58</v>
      </c>
      <c r="O49" s="13" t="n">
        <v>427</v>
      </c>
      <c r="P49" s="13" t="s">
        <v>529</v>
      </c>
      <c r="Q49" s="13" t="s">
        <v>530</v>
      </c>
      <c r="R49" s="13" t="s">
        <v>531</v>
      </c>
      <c r="S49" s="13" t="s">
        <v>531</v>
      </c>
      <c r="T49" s="13" t="s">
        <v>61</v>
      </c>
      <c r="U49" s="13"/>
    </row>
    <row r="50" customFormat="false" ht="18" hidden="false" customHeight="true" outlineLevel="0" collapsed="false">
      <c r="A50" s="13" t="n">
        <v>49</v>
      </c>
      <c r="B50" s="13" t="s">
        <v>532</v>
      </c>
      <c r="C50" s="13" t="s">
        <v>255</v>
      </c>
      <c r="D50" s="13" t="s">
        <v>256</v>
      </c>
      <c r="E50" s="13" t="s">
        <v>91</v>
      </c>
      <c r="F50" s="13" t="s">
        <v>138</v>
      </c>
      <c r="G50" s="13" t="s">
        <v>533</v>
      </c>
      <c r="H50" s="13" t="s">
        <v>534</v>
      </c>
      <c r="I50" s="13" t="s">
        <v>535</v>
      </c>
      <c r="J50" s="13" t="s">
        <v>536</v>
      </c>
      <c r="K50" s="13" t="s">
        <v>537</v>
      </c>
      <c r="L50" s="13" t="s">
        <v>538</v>
      </c>
      <c r="M50" s="13" t="n">
        <v>2504.37</v>
      </c>
      <c r="N50" s="13" t="n">
        <v>34.01</v>
      </c>
      <c r="O50" s="13" t="n">
        <v>121</v>
      </c>
      <c r="P50" s="13" t="s">
        <v>539</v>
      </c>
      <c r="Q50" s="13" t="s">
        <v>540</v>
      </c>
      <c r="R50" s="13" t="s">
        <v>541</v>
      </c>
      <c r="S50" s="13" t="s">
        <v>541</v>
      </c>
      <c r="T50" s="13" t="s">
        <v>61</v>
      </c>
      <c r="U50" s="13"/>
    </row>
    <row r="51" customFormat="false" ht="18" hidden="false" customHeight="true" outlineLevel="0" collapsed="false">
      <c r="A51" s="15" t="n">
        <v>50</v>
      </c>
      <c r="B51" s="15" t="s">
        <v>542</v>
      </c>
      <c r="C51" s="15" t="s">
        <v>77</v>
      </c>
      <c r="D51" s="15" t="s">
        <v>78</v>
      </c>
      <c r="E51" s="15" t="s">
        <v>79</v>
      </c>
      <c r="F51" s="15" t="s">
        <v>51</v>
      </c>
      <c r="G51" s="15" t="s">
        <v>128</v>
      </c>
      <c r="H51" s="15" t="s">
        <v>543</v>
      </c>
      <c r="I51" s="15" t="s">
        <v>544</v>
      </c>
      <c r="J51" s="15" t="s">
        <v>545</v>
      </c>
      <c r="K51" s="15" t="s">
        <v>546</v>
      </c>
      <c r="L51" s="15" t="s">
        <v>547</v>
      </c>
      <c r="M51" s="15" t="n">
        <v>1525.42</v>
      </c>
      <c r="N51" s="15" t="n">
        <v>1.83</v>
      </c>
      <c r="O51" s="15" t="n">
        <v>324</v>
      </c>
      <c r="P51" s="15" t="s">
        <v>548</v>
      </c>
      <c r="Q51" s="15" t="s">
        <v>549</v>
      </c>
      <c r="R51" s="15" t="s">
        <v>407</v>
      </c>
      <c r="S51" s="15" t="s">
        <v>407</v>
      </c>
      <c r="T51" s="15" t="s">
        <v>61</v>
      </c>
      <c r="U51" s="15" t="s">
        <v>243</v>
      </c>
    </row>
    <row r="52" customFormat="false" ht="18" hidden="false" customHeight="true" outlineLevel="0" collapsed="false">
      <c r="A52" s="13" t="n">
        <v>51</v>
      </c>
      <c r="B52" s="13" t="s">
        <v>550</v>
      </c>
      <c r="C52" s="13" t="s">
        <v>125</v>
      </c>
      <c r="D52" s="13" t="s">
        <v>126</v>
      </c>
      <c r="E52" s="13" t="s">
        <v>65</v>
      </c>
      <c r="F52" s="13" t="s">
        <v>66</v>
      </c>
      <c r="G52" s="13" t="s">
        <v>67</v>
      </c>
      <c r="H52" s="13" t="s">
        <v>551</v>
      </c>
      <c r="I52" s="13" t="s">
        <v>552</v>
      </c>
      <c r="J52" s="13" t="s">
        <v>553</v>
      </c>
      <c r="K52" s="13" t="s">
        <v>71</v>
      </c>
      <c r="L52" s="13" t="s">
        <v>72</v>
      </c>
      <c r="M52" s="13" t="n">
        <v>222.95</v>
      </c>
      <c r="N52" s="13" t="n">
        <v>1</v>
      </c>
      <c r="O52" s="13" t="n">
        <v>262</v>
      </c>
      <c r="P52" s="13" t="s">
        <v>73</v>
      </c>
      <c r="Q52" s="13" t="s">
        <v>110</v>
      </c>
      <c r="R52" s="13" t="s">
        <v>554</v>
      </c>
      <c r="S52" s="13" t="s">
        <v>554</v>
      </c>
      <c r="T52" s="13" t="s">
        <v>61</v>
      </c>
      <c r="U52" s="13"/>
    </row>
    <row r="53" customFormat="false" ht="18" hidden="false" customHeight="true" outlineLevel="0" collapsed="false">
      <c r="A53" s="13" t="n">
        <v>52</v>
      </c>
      <c r="B53" s="13" t="s">
        <v>555</v>
      </c>
      <c r="C53" s="13" t="s">
        <v>48</v>
      </c>
      <c r="D53" s="13" t="s">
        <v>49</v>
      </c>
      <c r="E53" s="13" t="s">
        <v>91</v>
      </c>
      <c r="F53" s="13" t="s">
        <v>138</v>
      </c>
      <c r="G53" s="13" t="s">
        <v>139</v>
      </c>
      <c r="H53" s="13" t="s">
        <v>556</v>
      </c>
      <c r="I53" s="13" t="s">
        <v>557</v>
      </c>
      <c r="J53" s="13" t="s">
        <v>558</v>
      </c>
      <c r="K53" s="13" t="s">
        <v>559</v>
      </c>
      <c r="L53" s="13" t="s">
        <v>144</v>
      </c>
      <c r="M53" s="13" t="n">
        <v>503.82</v>
      </c>
      <c r="N53" s="13" t="n">
        <v>46.34</v>
      </c>
      <c r="O53" s="13" t="n">
        <v>495</v>
      </c>
      <c r="P53" s="13" t="s">
        <v>145</v>
      </c>
      <c r="Q53" s="13" t="s">
        <v>560</v>
      </c>
      <c r="R53" s="13" t="s">
        <v>101</v>
      </c>
      <c r="S53" s="13" t="s">
        <v>101</v>
      </c>
      <c r="T53" s="13" t="s">
        <v>61</v>
      </c>
      <c r="U53" s="13"/>
    </row>
    <row r="54" customFormat="false" ht="18" hidden="false" customHeight="true" outlineLevel="0" collapsed="false">
      <c r="A54" s="13" t="n">
        <v>53</v>
      </c>
      <c r="B54" s="13" t="s">
        <v>561</v>
      </c>
      <c r="C54" s="13" t="s">
        <v>77</v>
      </c>
      <c r="D54" s="13" t="s">
        <v>78</v>
      </c>
      <c r="E54" s="13" t="s">
        <v>79</v>
      </c>
      <c r="F54" s="13" t="s">
        <v>513</v>
      </c>
      <c r="G54" s="13" t="s">
        <v>562</v>
      </c>
      <c r="H54" s="13" t="s">
        <v>563</v>
      </c>
      <c r="I54" s="13" t="s">
        <v>564</v>
      </c>
      <c r="J54" s="13" t="s">
        <v>565</v>
      </c>
      <c r="K54" s="13" t="s">
        <v>566</v>
      </c>
      <c r="L54" s="13" t="s">
        <v>567</v>
      </c>
      <c r="M54" s="13" t="n">
        <v>2467.96</v>
      </c>
      <c r="N54" s="13" t="n">
        <v>2.54</v>
      </c>
      <c r="O54" s="13" t="n">
        <v>202</v>
      </c>
      <c r="P54" s="13" t="s">
        <v>568</v>
      </c>
      <c r="Q54" s="13" t="s">
        <v>569</v>
      </c>
      <c r="R54" s="13" t="s">
        <v>570</v>
      </c>
      <c r="S54" s="13" t="s">
        <v>570</v>
      </c>
      <c r="T54" s="13" t="s">
        <v>61</v>
      </c>
      <c r="U54" s="13"/>
    </row>
    <row r="55" customFormat="false" ht="18" hidden="false" customHeight="true" outlineLevel="0" collapsed="false">
      <c r="A55" s="13" t="n">
        <v>54</v>
      </c>
      <c r="B55" s="13" t="s">
        <v>571</v>
      </c>
      <c r="C55" s="13" t="s">
        <v>48</v>
      </c>
      <c r="D55" s="13" t="s">
        <v>49</v>
      </c>
      <c r="E55" s="13" t="s">
        <v>65</v>
      </c>
      <c r="F55" s="13" t="s">
        <v>438</v>
      </c>
      <c r="G55" s="13" t="s">
        <v>274</v>
      </c>
      <c r="H55" s="13" t="s">
        <v>572</v>
      </c>
      <c r="I55" s="13" t="s">
        <v>573</v>
      </c>
      <c r="J55" s="13" t="s">
        <v>574</v>
      </c>
      <c r="K55" s="13" t="s">
        <v>442</v>
      </c>
      <c r="L55" s="13" t="s">
        <v>443</v>
      </c>
      <c r="M55" s="13" t="n">
        <v>63.32</v>
      </c>
      <c r="N55" s="13" t="n">
        <v>1.01</v>
      </c>
      <c r="O55" s="13" t="n">
        <v>173</v>
      </c>
      <c r="P55" s="13" t="s">
        <v>444</v>
      </c>
      <c r="Q55" s="13" t="s">
        <v>575</v>
      </c>
      <c r="R55" s="13" t="s">
        <v>576</v>
      </c>
      <c r="S55" s="13" t="s">
        <v>576</v>
      </c>
      <c r="T55" s="13" t="s">
        <v>61</v>
      </c>
      <c r="U55" s="13"/>
    </row>
    <row r="56" customFormat="false" ht="18" hidden="false" customHeight="true" outlineLevel="0" collapsed="false">
      <c r="A56" s="13" t="n">
        <v>55</v>
      </c>
      <c r="B56" s="13" t="s">
        <v>577</v>
      </c>
      <c r="C56" s="13" t="s">
        <v>159</v>
      </c>
      <c r="D56" s="13" t="s">
        <v>160</v>
      </c>
      <c r="E56" s="13" t="s">
        <v>50</v>
      </c>
      <c r="F56" s="13" t="s">
        <v>127</v>
      </c>
      <c r="G56" s="13" t="s">
        <v>352</v>
      </c>
      <c r="H56" s="13" t="s">
        <v>578</v>
      </c>
      <c r="I56" s="13" t="s">
        <v>579</v>
      </c>
      <c r="J56" s="13" t="s">
        <v>580</v>
      </c>
      <c r="K56" s="13" t="s">
        <v>581</v>
      </c>
      <c r="L56" s="13" t="s">
        <v>582</v>
      </c>
      <c r="M56" s="13" t="n">
        <v>371.69</v>
      </c>
      <c r="N56" s="13" t="n">
        <v>0.56</v>
      </c>
      <c r="O56" s="13" t="n">
        <v>29</v>
      </c>
      <c r="P56" s="13" t="s">
        <v>583</v>
      </c>
      <c r="Q56" s="13" t="s">
        <v>584</v>
      </c>
      <c r="R56" s="13" t="s">
        <v>585</v>
      </c>
      <c r="S56" s="13" t="s">
        <v>585</v>
      </c>
      <c r="T56" s="13" t="s">
        <v>61</v>
      </c>
      <c r="U56" s="13"/>
    </row>
    <row r="57" customFormat="false" ht="18" hidden="false" customHeight="true" outlineLevel="0" collapsed="false">
      <c r="A57" s="13" t="n">
        <v>56</v>
      </c>
      <c r="B57" s="13" t="s">
        <v>586</v>
      </c>
      <c r="C57" s="13" t="s">
        <v>113</v>
      </c>
      <c r="D57" s="13" t="s">
        <v>114</v>
      </c>
      <c r="E57" s="13" t="s">
        <v>91</v>
      </c>
      <c r="F57" s="13" t="s">
        <v>587</v>
      </c>
      <c r="G57" s="13" t="s">
        <v>420</v>
      </c>
      <c r="H57" s="13" t="s">
        <v>588</v>
      </c>
      <c r="I57" s="13" t="s">
        <v>589</v>
      </c>
      <c r="J57" s="13" t="s">
        <v>590</v>
      </c>
      <c r="K57" s="13" t="s">
        <v>591</v>
      </c>
      <c r="L57" s="13" t="s">
        <v>592</v>
      </c>
      <c r="M57" s="13" t="n">
        <v>3756.02</v>
      </c>
      <c r="N57" s="13" t="n">
        <v>51.63</v>
      </c>
      <c r="O57" s="13" t="n">
        <v>88</v>
      </c>
      <c r="P57" s="13" t="s">
        <v>593</v>
      </c>
      <c r="Q57" s="13" t="s">
        <v>594</v>
      </c>
      <c r="R57" s="13" t="s">
        <v>595</v>
      </c>
      <c r="S57" s="13" t="s">
        <v>595</v>
      </c>
      <c r="T57" s="13" t="s">
        <v>61</v>
      </c>
      <c r="U57" s="13"/>
    </row>
    <row r="58" customFormat="false" ht="18" hidden="false" customHeight="true" outlineLevel="0" collapsed="false">
      <c r="A58" s="13" t="n">
        <v>57</v>
      </c>
      <c r="B58" s="13" t="s">
        <v>596</v>
      </c>
      <c r="C58" s="13" t="s">
        <v>113</v>
      </c>
      <c r="D58" s="13" t="s">
        <v>114</v>
      </c>
      <c r="E58" s="13" t="s">
        <v>79</v>
      </c>
      <c r="F58" s="13" t="s">
        <v>196</v>
      </c>
      <c r="G58" s="13" t="s">
        <v>128</v>
      </c>
      <c r="H58" s="13" t="s">
        <v>597</v>
      </c>
      <c r="I58" s="13" t="s">
        <v>598</v>
      </c>
      <c r="J58" s="13" t="s">
        <v>599</v>
      </c>
      <c r="K58" s="13" t="s">
        <v>600</v>
      </c>
      <c r="L58" s="13" t="s">
        <v>601</v>
      </c>
      <c r="M58" s="13" t="n">
        <v>2145.09</v>
      </c>
      <c r="N58" s="13" t="n">
        <v>2.57</v>
      </c>
      <c r="O58" s="13" t="n">
        <v>401</v>
      </c>
      <c r="P58" s="13" t="s">
        <v>602</v>
      </c>
      <c r="Q58" s="13" t="s">
        <v>603</v>
      </c>
      <c r="R58" s="13" t="s">
        <v>604</v>
      </c>
      <c r="S58" s="13" t="s">
        <v>604</v>
      </c>
      <c r="T58" s="13" t="s">
        <v>61</v>
      </c>
      <c r="U58" s="13"/>
    </row>
    <row r="59" customFormat="false" ht="18" hidden="false" customHeight="true" outlineLevel="0" collapsed="false">
      <c r="A59" s="13" t="n">
        <v>58</v>
      </c>
      <c r="B59" s="13" t="s">
        <v>605</v>
      </c>
      <c r="C59" s="13" t="s">
        <v>255</v>
      </c>
      <c r="D59" s="13" t="s">
        <v>256</v>
      </c>
      <c r="E59" s="13" t="s">
        <v>91</v>
      </c>
      <c r="F59" s="13" t="s">
        <v>138</v>
      </c>
      <c r="G59" s="13" t="s">
        <v>139</v>
      </c>
      <c r="H59" s="13" t="s">
        <v>606</v>
      </c>
      <c r="I59" s="13" t="s">
        <v>607</v>
      </c>
      <c r="J59" s="13" t="s">
        <v>608</v>
      </c>
      <c r="K59" s="13" t="s">
        <v>609</v>
      </c>
      <c r="L59" s="13" t="s">
        <v>144</v>
      </c>
      <c r="M59" s="13" t="n">
        <v>3893.45</v>
      </c>
      <c r="N59" s="13" t="n">
        <v>38.32</v>
      </c>
      <c r="O59" s="13" t="n">
        <v>124</v>
      </c>
      <c r="P59" s="13" t="s">
        <v>145</v>
      </c>
      <c r="Q59" s="13" t="s">
        <v>610</v>
      </c>
      <c r="R59" s="13" t="s">
        <v>611</v>
      </c>
      <c r="S59" s="13" t="s">
        <v>611</v>
      </c>
      <c r="T59" s="13" t="s">
        <v>61</v>
      </c>
      <c r="U59" s="13"/>
    </row>
    <row r="60" customFormat="false" ht="18" hidden="false" customHeight="true" outlineLevel="0" collapsed="false">
      <c r="A60" s="15" t="n">
        <v>59</v>
      </c>
      <c r="B60" s="15" t="s">
        <v>612</v>
      </c>
      <c r="C60" s="15" t="s">
        <v>255</v>
      </c>
      <c r="D60" s="15" t="s">
        <v>256</v>
      </c>
      <c r="E60" s="15" t="s">
        <v>79</v>
      </c>
      <c r="F60" s="15" t="s">
        <v>513</v>
      </c>
      <c r="G60" s="15" t="s">
        <v>80</v>
      </c>
      <c r="H60" s="15" t="s">
        <v>613</v>
      </c>
      <c r="I60" s="15" t="s">
        <v>614</v>
      </c>
      <c r="J60" s="15" t="s">
        <v>615</v>
      </c>
      <c r="K60" s="15" t="s">
        <v>616</v>
      </c>
      <c r="L60" s="15" t="s">
        <v>617</v>
      </c>
      <c r="M60" s="15" t="n">
        <v>1549.68</v>
      </c>
      <c r="N60" s="15" t="n">
        <v>1.74</v>
      </c>
      <c r="O60" s="15" t="n">
        <v>347</v>
      </c>
      <c r="P60" s="15" t="s">
        <v>618</v>
      </c>
      <c r="Q60" s="15" t="s">
        <v>619</v>
      </c>
      <c r="R60" s="15" t="s">
        <v>522</v>
      </c>
      <c r="S60" s="15" t="s">
        <v>522</v>
      </c>
      <c r="T60" s="15" t="s">
        <v>61</v>
      </c>
      <c r="U60" s="15" t="s">
        <v>243</v>
      </c>
    </row>
    <row r="61" customFormat="false" ht="18" hidden="false" customHeight="true" outlineLevel="0" collapsed="false">
      <c r="A61" s="14" t="n">
        <v>60</v>
      </c>
      <c r="B61" s="14" t="s">
        <v>620</v>
      </c>
      <c r="C61" s="14" t="s">
        <v>255</v>
      </c>
      <c r="D61" s="14" t="s">
        <v>256</v>
      </c>
      <c r="E61" s="14" t="s">
        <v>91</v>
      </c>
      <c r="F61" s="14" t="s">
        <v>419</v>
      </c>
      <c r="G61" s="14" t="s">
        <v>93</v>
      </c>
      <c r="H61" s="14" t="s">
        <v>621</v>
      </c>
      <c r="I61" s="14"/>
      <c r="J61" s="14" t="s">
        <v>622</v>
      </c>
      <c r="K61" s="14" t="s">
        <v>623</v>
      </c>
      <c r="L61" s="14" t="s">
        <v>624</v>
      </c>
      <c r="M61" s="14" t="n">
        <v>3578.74</v>
      </c>
      <c r="N61" s="14" t="n">
        <v>15.08</v>
      </c>
      <c r="O61" s="14" t="n">
        <v>38</v>
      </c>
      <c r="P61" s="14" t="s">
        <v>625</v>
      </c>
      <c r="Q61" s="14" t="s">
        <v>626</v>
      </c>
      <c r="R61" s="14" t="s">
        <v>627</v>
      </c>
      <c r="S61" s="14" t="s">
        <v>627</v>
      </c>
      <c r="T61" s="14" t="s">
        <v>61</v>
      </c>
      <c r="U61" s="14" t="s">
        <v>272</v>
      </c>
    </row>
    <row r="62" customFormat="false" ht="18" hidden="false" customHeight="true" outlineLevel="0" collapsed="false">
      <c r="A62" s="13" t="n">
        <v>61</v>
      </c>
      <c r="B62" s="13" t="s">
        <v>628</v>
      </c>
      <c r="C62" s="13" t="s">
        <v>63</v>
      </c>
      <c r="D62" s="13" t="s">
        <v>64</v>
      </c>
      <c r="E62" s="13" t="s">
        <v>161</v>
      </c>
      <c r="F62" s="13" t="s">
        <v>306</v>
      </c>
      <c r="G62" s="13" t="s">
        <v>175</v>
      </c>
      <c r="H62" s="13" t="s">
        <v>629</v>
      </c>
      <c r="I62" s="13" t="s">
        <v>630</v>
      </c>
      <c r="J62" s="13" t="s">
        <v>631</v>
      </c>
      <c r="K62" s="13" t="s">
        <v>632</v>
      </c>
      <c r="L62" s="13" t="s">
        <v>633</v>
      </c>
      <c r="M62" s="13" t="n">
        <v>469.77</v>
      </c>
      <c r="N62" s="13" t="n">
        <v>0.41</v>
      </c>
      <c r="O62" s="13" t="n">
        <v>31</v>
      </c>
      <c r="P62" s="13" t="s">
        <v>634</v>
      </c>
      <c r="Q62" s="13" t="s">
        <v>635</v>
      </c>
      <c r="R62" s="13" t="s">
        <v>417</v>
      </c>
      <c r="S62" s="13" t="s">
        <v>417</v>
      </c>
      <c r="T62" s="13" t="s">
        <v>61</v>
      </c>
      <c r="U62" s="13"/>
    </row>
    <row r="63" customFormat="false" ht="18" hidden="false" customHeight="true" outlineLevel="0" collapsed="false">
      <c r="A63" s="13" t="n">
        <v>62</v>
      </c>
      <c r="B63" s="13" t="s">
        <v>636</v>
      </c>
      <c r="C63" s="13" t="s">
        <v>125</v>
      </c>
      <c r="D63" s="13" t="s">
        <v>126</v>
      </c>
      <c r="E63" s="13" t="s">
        <v>161</v>
      </c>
      <c r="F63" s="13" t="s">
        <v>185</v>
      </c>
      <c r="G63" s="13" t="s">
        <v>257</v>
      </c>
      <c r="H63" s="13" t="s">
        <v>637</v>
      </c>
      <c r="I63" s="13" t="s">
        <v>638</v>
      </c>
      <c r="J63" s="13" t="s">
        <v>639</v>
      </c>
      <c r="K63" s="13" t="s">
        <v>640</v>
      </c>
      <c r="L63" s="13" t="s">
        <v>641</v>
      </c>
      <c r="M63" s="13" t="n">
        <v>299.27</v>
      </c>
      <c r="N63" s="13" t="n">
        <v>0.35</v>
      </c>
      <c r="O63" s="13" t="n">
        <v>113</v>
      </c>
      <c r="P63" s="13" t="s">
        <v>642</v>
      </c>
      <c r="Q63" s="13" t="s">
        <v>643</v>
      </c>
      <c r="R63" s="13" t="s">
        <v>644</v>
      </c>
      <c r="S63" s="13" t="s">
        <v>644</v>
      </c>
      <c r="T63" s="13" t="s">
        <v>61</v>
      </c>
      <c r="U63" s="13"/>
    </row>
    <row r="64" customFormat="false" ht="18" hidden="false" customHeight="true" outlineLevel="0" collapsed="false">
      <c r="A64" s="13" t="n">
        <v>63</v>
      </c>
      <c r="B64" s="13" t="s">
        <v>645</v>
      </c>
      <c r="C64" s="13" t="s">
        <v>113</v>
      </c>
      <c r="D64" s="13" t="s">
        <v>114</v>
      </c>
      <c r="E64" s="13" t="s">
        <v>65</v>
      </c>
      <c r="F64" s="13" t="s">
        <v>66</v>
      </c>
      <c r="G64" s="13" t="s">
        <v>372</v>
      </c>
      <c r="H64" s="13" t="s">
        <v>646</v>
      </c>
      <c r="I64" s="13" t="s">
        <v>647</v>
      </c>
      <c r="J64" s="13" t="s">
        <v>648</v>
      </c>
      <c r="K64" s="13" t="s">
        <v>649</v>
      </c>
      <c r="L64" s="13" t="s">
        <v>650</v>
      </c>
      <c r="M64" s="13" t="n">
        <v>280.27</v>
      </c>
      <c r="N64" s="13" t="n">
        <v>1.45</v>
      </c>
      <c r="O64" s="13" t="n">
        <v>41</v>
      </c>
      <c r="P64" s="13" t="s">
        <v>651</v>
      </c>
      <c r="Q64" s="13" t="s">
        <v>652</v>
      </c>
      <c r="R64" s="13" t="s">
        <v>653</v>
      </c>
      <c r="S64" s="13" t="s">
        <v>653</v>
      </c>
      <c r="T64" s="13" t="s">
        <v>61</v>
      </c>
      <c r="U64" s="13"/>
    </row>
    <row r="65" customFormat="false" ht="18" hidden="false" customHeight="true" outlineLevel="0" collapsed="false">
      <c r="A65" s="13" t="n">
        <v>64</v>
      </c>
      <c r="B65" s="13" t="s">
        <v>654</v>
      </c>
      <c r="C65" s="13" t="s">
        <v>113</v>
      </c>
      <c r="D65" s="13" t="s">
        <v>114</v>
      </c>
      <c r="E65" s="13" t="s">
        <v>161</v>
      </c>
      <c r="F65" s="13" t="s">
        <v>295</v>
      </c>
      <c r="G65" s="13" t="s">
        <v>334</v>
      </c>
      <c r="H65" s="13" t="s">
        <v>655</v>
      </c>
      <c r="I65" s="13" t="s">
        <v>656</v>
      </c>
      <c r="J65" s="13" t="s">
        <v>657</v>
      </c>
      <c r="K65" s="13" t="s">
        <v>658</v>
      </c>
      <c r="L65" s="13" t="s">
        <v>659</v>
      </c>
      <c r="M65" s="13" t="n">
        <v>232.33</v>
      </c>
      <c r="N65" s="13" t="n">
        <v>0.3</v>
      </c>
      <c r="O65" s="13" t="n">
        <v>141</v>
      </c>
      <c r="P65" s="13" t="s">
        <v>660</v>
      </c>
      <c r="Q65" s="13" t="s">
        <v>661</v>
      </c>
      <c r="R65" s="13" t="s">
        <v>662</v>
      </c>
      <c r="S65" s="13" t="s">
        <v>662</v>
      </c>
      <c r="T65" s="13" t="s">
        <v>61</v>
      </c>
      <c r="U65" s="13"/>
    </row>
    <row r="66" customFormat="false" ht="18" hidden="false" customHeight="true" outlineLevel="0" collapsed="false">
      <c r="A66" s="15" t="n">
        <v>65</v>
      </c>
      <c r="B66" s="15" t="s">
        <v>663</v>
      </c>
      <c r="C66" s="15" t="s">
        <v>48</v>
      </c>
      <c r="D66" s="15" t="s">
        <v>49</v>
      </c>
      <c r="E66" s="15" t="s">
        <v>161</v>
      </c>
      <c r="F66" s="15" t="s">
        <v>429</v>
      </c>
      <c r="G66" s="15" t="s">
        <v>163</v>
      </c>
      <c r="H66" s="15" t="s">
        <v>664</v>
      </c>
      <c r="I66" s="15" t="s">
        <v>665</v>
      </c>
      <c r="J66" s="15" t="s">
        <v>666</v>
      </c>
      <c r="K66" s="15" t="s">
        <v>667</v>
      </c>
      <c r="L66" s="15" t="s">
        <v>668</v>
      </c>
      <c r="M66" s="15" t="n">
        <v>331.43</v>
      </c>
      <c r="N66" s="15" t="n">
        <v>0.37</v>
      </c>
      <c r="O66" s="15" t="n">
        <v>31</v>
      </c>
      <c r="P66" s="15" t="s">
        <v>669</v>
      </c>
      <c r="Q66" s="15" t="s">
        <v>322</v>
      </c>
      <c r="R66" s="15" t="s">
        <v>670</v>
      </c>
      <c r="S66" s="15" t="s">
        <v>670</v>
      </c>
      <c r="T66" s="15" t="s">
        <v>61</v>
      </c>
      <c r="U66" s="15" t="s">
        <v>283</v>
      </c>
    </row>
    <row r="67" customFormat="false" ht="18" hidden="false" customHeight="true" outlineLevel="0" collapsed="false">
      <c r="A67" s="13" t="n">
        <v>66</v>
      </c>
      <c r="B67" s="13" t="s">
        <v>671</v>
      </c>
      <c r="C67" s="13" t="s">
        <v>113</v>
      </c>
      <c r="D67" s="13" t="s">
        <v>114</v>
      </c>
      <c r="E67" s="13" t="s">
        <v>161</v>
      </c>
      <c r="F67" s="13" t="s">
        <v>185</v>
      </c>
      <c r="G67" s="13" t="s">
        <v>175</v>
      </c>
      <c r="H67" s="13" t="s">
        <v>672</v>
      </c>
      <c r="I67" s="13" t="s">
        <v>673</v>
      </c>
      <c r="J67" s="13" t="s">
        <v>674</v>
      </c>
      <c r="K67" s="13" t="s">
        <v>675</v>
      </c>
      <c r="L67" s="13" t="s">
        <v>676</v>
      </c>
      <c r="M67" s="13" t="n">
        <v>489.01</v>
      </c>
      <c r="N67" s="13" t="n">
        <v>0.43</v>
      </c>
      <c r="O67" s="13" t="n">
        <v>212</v>
      </c>
      <c r="P67" s="13" t="s">
        <v>677</v>
      </c>
      <c r="Q67" s="13" t="s">
        <v>678</v>
      </c>
      <c r="R67" s="13" t="s">
        <v>452</v>
      </c>
      <c r="S67" s="13" t="s">
        <v>452</v>
      </c>
      <c r="T67" s="13" t="s">
        <v>61</v>
      </c>
      <c r="U67" s="13"/>
    </row>
    <row r="68" customFormat="false" ht="18" hidden="false" customHeight="true" outlineLevel="0" collapsed="false">
      <c r="A68" s="13" t="n">
        <v>67</v>
      </c>
      <c r="B68" s="13" t="s">
        <v>679</v>
      </c>
      <c r="C68" s="13" t="s">
        <v>125</v>
      </c>
      <c r="D68" s="13" t="s">
        <v>126</v>
      </c>
      <c r="E68" s="13" t="s">
        <v>65</v>
      </c>
      <c r="F68" s="13" t="s">
        <v>390</v>
      </c>
      <c r="G68" s="13" t="s">
        <v>372</v>
      </c>
      <c r="H68" s="13" t="s">
        <v>680</v>
      </c>
      <c r="I68" s="13" t="s">
        <v>681</v>
      </c>
      <c r="J68" s="13" t="s">
        <v>682</v>
      </c>
      <c r="K68" s="13" t="s">
        <v>683</v>
      </c>
      <c r="L68" s="13" t="s">
        <v>684</v>
      </c>
      <c r="M68" s="13" t="n">
        <v>221.82</v>
      </c>
      <c r="N68" s="13" t="n">
        <v>1.3</v>
      </c>
      <c r="O68" s="13" t="n">
        <v>466</v>
      </c>
      <c r="P68" s="13" t="s">
        <v>685</v>
      </c>
      <c r="Q68" s="13" t="s">
        <v>686</v>
      </c>
      <c r="R68" s="13" t="s">
        <v>687</v>
      </c>
      <c r="S68" s="13" t="s">
        <v>687</v>
      </c>
      <c r="T68" s="13" t="s">
        <v>61</v>
      </c>
      <c r="U68" s="13"/>
    </row>
    <row r="69" customFormat="false" ht="18" hidden="false" customHeight="true" outlineLevel="0" collapsed="false">
      <c r="A69" s="13" t="n">
        <v>68</v>
      </c>
      <c r="B69" s="13" t="s">
        <v>688</v>
      </c>
      <c r="C69" s="13" t="s">
        <v>173</v>
      </c>
      <c r="D69" s="13" t="s">
        <v>174</v>
      </c>
      <c r="E69" s="13" t="s">
        <v>50</v>
      </c>
      <c r="F69" s="13" t="s">
        <v>115</v>
      </c>
      <c r="G69" s="13" t="s">
        <v>689</v>
      </c>
      <c r="H69" s="13" t="s">
        <v>690</v>
      </c>
      <c r="I69" s="13" t="s">
        <v>691</v>
      </c>
      <c r="J69" s="13" t="s">
        <v>692</v>
      </c>
      <c r="K69" s="13" t="s">
        <v>693</v>
      </c>
      <c r="L69" s="13" t="s">
        <v>694</v>
      </c>
      <c r="M69" s="13" t="n">
        <v>464.74</v>
      </c>
      <c r="N69" s="13" t="n">
        <v>0.89</v>
      </c>
      <c r="O69" s="13" t="n">
        <v>485</v>
      </c>
      <c r="P69" s="13" t="s">
        <v>695</v>
      </c>
      <c r="Q69" s="13" t="s">
        <v>696</v>
      </c>
      <c r="R69" s="13" t="s">
        <v>697</v>
      </c>
      <c r="S69" s="13" t="s">
        <v>697</v>
      </c>
      <c r="T69" s="13" t="s">
        <v>61</v>
      </c>
      <c r="U69" s="13"/>
    </row>
    <row r="70" customFormat="false" ht="18" hidden="false" customHeight="true" outlineLevel="0" collapsed="false">
      <c r="A70" s="13" t="n">
        <v>69</v>
      </c>
      <c r="B70" s="13" t="s">
        <v>698</v>
      </c>
      <c r="C70" s="13" t="s">
        <v>173</v>
      </c>
      <c r="D70" s="13" t="s">
        <v>174</v>
      </c>
      <c r="E70" s="13" t="s">
        <v>50</v>
      </c>
      <c r="F70" s="13" t="s">
        <v>138</v>
      </c>
      <c r="G70" s="13" t="s">
        <v>352</v>
      </c>
      <c r="H70" s="13" t="s">
        <v>699</v>
      </c>
      <c r="I70" s="13" t="s">
        <v>700</v>
      </c>
      <c r="J70" s="13" t="s">
        <v>701</v>
      </c>
      <c r="K70" s="13" t="s">
        <v>702</v>
      </c>
      <c r="L70" s="13" t="s">
        <v>386</v>
      </c>
      <c r="M70" s="13" t="n">
        <v>1133.76</v>
      </c>
      <c r="N70" s="13" t="n">
        <v>0.42</v>
      </c>
      <c r="O70" s="13" t="n">
        <v>409</v>
      </c>
      <c r="P70" s="13" t="s">
        <v>387</v>
      </c>
      <c r="Q70" s="13" t="s">
        <v>703</v>
      </c>
      <c r="R70" s="13" t="s">
        <v>704</v>
      </c>
      <c r="S70" s="13" t="s">
        <v>704</v>
      </c>
      <c r="T70" s="13" t="s">
        <v>61</v>
      </c>
      <c r="U70" s="13"/>
    </row>
    <row r="71" customFormat="false" ht="18" hidden="false" customHeight="true" outlineLevel="0" collapsed="false">
      <c r="A71" s="13" t="n">
        <v>70</v>
      </c>
      <c r="B71" s="13" t="s">
        <v>273</v>
      </c>
      <c r="C71" s="13" t="s">
        <v>173</v>
      </c>
      <c r="D71" s="13" t="s">
        <v>174</v>
      </c>
      <c r="E71" s="13" t="s">
        <v>65</v>
      </c>
      <c r="F71" s="13" t="s">
        <v>227</v>
      </c>
      <c r="G71" s="13" t="s">
        <v>274</v>
      </c>
      <c r="H71" s="13" t="s">
        <v>275</v>
      </c>
      <c r="I71" s="13" t="s">
        <v>276</v>
      </c>
      <c r="J71" s="13" t="s">
        <v>277</v>
      </c>
      <c r="K71" s="13" t="s">
        <v>278</v>
      </c>
      <c r="L71" s="13" t="s">
        <v>279</v>
      </c>
      <c r="M71" s="13" t="n">
        <v>52.76</v>
      </c>
      <c r="N71" s="13" t="n">
        <v>0.6</v>
      </c>
      <c r="O71" s="13" t="n">
        <v>101</v>
      </c>
      <c r="P71" s="13" t="s">
        <v>280</v>
      </c>
      <c r="Q71" s="13" t="s">
        <v>281</v>
      </c>
      <c r="R71" s="13" t="s">
        <v>282</v>
      </c>
      <c r="S71" s="13" t="s">
        <v>282</v>
      </c>
      <c r="T71" s="13" t="s">
        <v>61</v>
      </c>
      <c r="U71" s="13"/>
    </row>
    <row r="72" customFormat="false" ht="18" hidden="false" customHeight="true" outlineLevel="0" collapsed="false">
      <c r="A72" s="13" t="n">
        <v>71</v>
      </c>
      <c r="B72" s="13" t="s">
        <v>705</v>
      </c>
      <c r="C72" s="13" t="s">
        <v>48</v>
      </c>
      <c r="D72" s="13" t="s">
        <v>49</v>
      </c>
      <c r="E72" s="13" t="s">
        <v>79</v>
      </c>
      <c r="F72" s="13" t="s">
        <v>196</v>
      </c>
      <c r="G72" s="13" t="s">
        <v>80</v>
      </c>
      <c r="H72" s="13" t="s">
        <v>706</v>
      </c>
      <c r="I72" s="13" t="s">
        <v>707</v>
      </c>
      <c r="J72" s="13" t="s">
        <v>708</v>
      </c>
      <c r="K72" s="13" t="s">
        <v>709</v>
      </c>
      <c r="L72" s="13" t="s">
        <v>710</v>
      </c>
      <c r="M72" s="13" t="n">
        <v>1643.52</v>
      </c>
      <c r="N72" s="13" t="n">
        <v>2.53</v>
      </c>
      <c r="O72" s="13" t="n">
        <v>477</v>
      </c>
      <c r="P72" s="13" t="s">
        <v>711</v>
      </c>
      <c r="Q72" s="13" t="s">
        <v>712</v>
      </c>
      <c r="R72" s="13" t="s">
        <v>713</v>
      </c>
      <c r="S72" s="13" t="s">
        <v>713</v>
      </c>
      <c r="T72" s="13" t="s">
        <v>61</v>
      </c>
      <c r="U72" s="13"/>
    </row>
    <row r="73" customFormat="false" ht="18" hidden="false" customHeight="true" outlineLevel="0" collapsed="false">
      <c r="A73" s="13" t="n">
        <v>72</v>
      </c>
      <c r="B73" s="13" t="s">
        <v>714</v>
      </c>
      <c r="C73" s="13" t="s">
        <v>77</v>
      </c>
      <c r="D73" s="13" t="s">
        <v>78</v>
      </c>
      <c r="E73" s="13" t="s">
        <v>79</v>
      </c>
      <c r="F73" s="13" t="s">
        <v>51</v>
      </c>
      <c r="G73" s="13" t="s">
        <v>197</v>
      </c>
      <c r="H73" s="13" t="s">
        <v>715</v>
      </c>
      <c r="I73" s="13" t="s">
        <v>716</v>
      </c>
      <c r="J73" s="13" t="s">
        <v>717</v>
      </c>
      <c r="K73" s="13" t="s">
        <v>718</v>
      </c>
      <c r="L73" s="13" t="s">
        <v>719</v>
      </c>
      <c r="M73" s="13" t="n">
        <v>1433.47</v>
      </c>
      <c r="N73" s="13" t="n">
        <v>1.48</v>
      </c>
      <c r="O73" s="13" t="n">
        <v>259</v>
      </c>
      <c r="P73" s="13" t="s">
        <v>720</v>
      </c>
      <c r="Q73" s="13" t="s">
        <v>721</v>
      </c>
      <c r="R73" s="13" t="s">
        <v>722</v>
      </c>
      <c r="S73" s="13" t="s">
        <v>722</v>
      </c>
      <c r="T73" s="13" t="s">
        <v>61</v>
      </c>
      <c r="U73" s="13"/>
    </row>
    <row r="74" customFormat="false" ht="18" hidden="false" customHeight="true" outlineLevel="0" collapsed="false">
      <c r="A74" s="15" t="n">
        <v>73</v>
      </c>
      <c r="B74" s="15" t="s">
        <v>723</v>
      </c>
      <c r="C74" s="15" t="s">
        <v>77</v>
      </c>
      <c r="D74" s="15" t="s">
        <v>78</v>
      </c>
      <c r="E74" s="15" t="s">
        <v>65</v>
      </c>
      <c r="F74" s="15" t="s">
        <v>66</v>
      </c>
      <c r="G74" s="15" t="s">
        <v>724</v>
      </c>
      <c r="H74" s="15" t="s">
        <v>725</v>
      </c>
      <c r="I74" s="15" t="s">
        <v>726</v>
      </c>
      <c r="J74" s="15" t="s">
        <v>727</v>
      </c>
      <c r="K74" s="15" t="s">
        <v>728</v>
      </c>
      <c r="L74" s="15" t="s">
        <v>729</v>
      </c>
      <c r="M74" s="15" t="n">
        <v>3766.97</v>
      </c>
      <c r="N74" s="15" t="n">
        <v>1.43</v>
      </c>
      <c r="O74" s="15" t="n">
        <v>374</v>
      </c>
      <c r="P74" s="15" t="s">
        <v>730</v>
      </c>
      <c r="Q74" s="15" t="s">
        <v>156</v>
      </c>
      <c r="R74" s="15" t="s">
        <v>731</v>
      </c>
      <c r="S74" s="15" t="s">
        <v>731</v>
      </c>
      <c r="T74" s="15" t="s">
        <v>61</v>
      </c>
      <c r="U74" s="15" t="s">
        <v>243</v>
      </c>
    </row>
    <row r="75" customFormat="false" ht="18" hidden="false" customHeight="true" outlineLevel="0" collapsed="false">
      <c r="A75" s="13" t="n">
        <v>74</v>
      </c>
      <c r="B75" s="13" t="s">
        <v>732</v>
      </c>
      <c r="C75" s="13" t="s">
        <v>77</v>
      </c>
      <c r="D75" s="13" t="s">
        <v>78</v>
      </c>
      <c r="E75" s="13" t="s">
        <v>79</v>
      </c>
      <c r="F75" s="13" t="s">
        <v>127</v>
      </c>
      <c r="G75" s="13" t="s">
        <v>733</v>
      </c>
      <c r="H75" s="13" t="s">
        <v>734</v>
      </c>
      <c r="I75" s="13" t="s">
        <v>735</v>
      </c>
      <c r="J75" s="13" t="s">
        <v>736</v>
      </c>
      <c r="K75" s="13" t="s">
        <v>737</v>
      </c>
      <c r="L75" s="13" t="s">
        <v>738</v>
      </c>
      <c r="M75" s="13" t="n">
        <v>2278.72</v>
      </c>
      <c r="N75" s="13" t="n">
        <v>1.49</v>
      </c>
      <c r="O75" s="13" t="n">
        <v>0</v>
      </c>
      <c r="P75" s="13" t="s">
        <v>739</v>
      </c>
      <c r="Q75" s="13" t="s">
        <v>740</v>
      </c>
      <c r="R75" s="13" t="s">
        <v>741</v>
      </c>
      <c r="S75" s="13" t="s">
        <v>741</v>
      </c>
      <c r="T75" s="13" t="s">
        <v>61</v>
      </c>
      <c r="U75" s="13"/>
    </row>
    <row r="76" customFormat="false" ht="18" hidden="false" customHeight="true" outlineLevel="0" collapsed="false">
      <c r="A76" s="13" t="n">
        <v>75</v>
      </c>
      <c r="B76" s="13" t="s">
        <v>742</v>
      </c>
      <c r="C76" s="13" t="s">
        <v>159</v>
      </c>
      <c r="D76" s="13" t="s">
        <v>160</v>
      </c>
      <c r="E76" s="13" t="s">
        <v>91</v>
      </c>
      <c r="F76" s="13" t="s">
        <v>419</v>
      </c>
      <c r="G76" s="13" t="s">
        <v>743</v>
      </c>
      <c r="H76" s="13" t="s">
        <v>744</v>
      </c>
      <c r="I76" s="13" t="s">
        <v>745</v>
      </c>
      <c r="J76" s="13" t="s">
        <v>746</v>
      </c>
      <c r="K76" s="13" t="s">
        <v>747</v>
      </c>
      <c r="L76" s="13" t="s">
        <v>748</v>
      </c>
      <c r="M76" s="13" t="n">
        <v>3262.31</v>
      </c>
      <c r="N76" s="13" t="n">
        <v>8.54</v>
      </c>
      <c r="O76" s="13" t="n">
        <v>163</v>
      </c>
      <c r="P76" s="13" t="s">
        <v>749</v>
      </c>
      <c r="Q76" s="13" t="s">
        <v>750</v>
      </c>
      <c r="R76" s="13" t="s">
        <v>751</v>
      </c>
      <c r="S76" s="13" t="s">
        <v>751</v>
      </c>
      <c r="T76" s="13" t="s">
        <v>61</v>
      </c>
      <c r="U76" s="13"/>
    </row>
    <row r="77" customFormat="false" ht="18" hidden="false" customHeight="true" outlineLevel="0" collapsed="false">
      <c r="A77" s="13" t="n">
        <v>76</v>
      </c>
      <c r="B77" s="13" t="s">
        <v>752</v>
      </c>
      <c r="C77" s="13" t="s">
        <v>173</v>
      </c>
      <c r="D77" s="13" t="s">
        <v>174</v>
      </c>
      <c r="E77" s="13" t="s">
        <v>50</v>
      </c>
      <c r="F77" s="13" t="s">
        <v>138</v>
      </c>
      <c r="G77" s="13" t="s">
        <v>352</v>
      </c>
      <c r="H77" s="13" t="s">
        <v>753</v>
      </c>
      <c r="I77" s="13" t="s">
        <v>754</v>
      </c>
      <c r="J77" s="13" t="s">
        <v>755</v>
      </c>
      <c r="K77" s="13" t="s">
        <v>756</v>
      </c>
      <c r="L77" s="13" t="s">
        <v>386</v>
      </c>
      <c r="M77" s="13" t="n">
        <v>891.93</v>
      </c>
      <c r="N77" s="13" t="n">
        <v>0.55</v>
      </c>
      <c r="O77" s="13" t="n">
        <v>185</v>
      </c>
      <c r="P77" s="13" t="s">
        <v>387</v>
      </c>
      <c r="Q77" s="13" t="s">
        <v>757</v>
      </c>
      <c r="R77" s="13" t="s">
        <v>758</v>
      </c>
      <c r="S77" s="13" t="s">
        <v>758</v>
      </c>
      <c r="T77" s="13" t="s">
        <v>61</v>
      </c>
      <c r="U77" s="13"/>
    </row>
    <row r="78" customFormat="false" ht="18" hidden="false" customHeight="true" outlineLevel="0" collapsed="false">
      <c r="A78" s="13" t="n">
        <v>77</v>
      </c>
      <c r="B78" s="13" t="s">
        <v>759</v>
      </c>
      <c r="C78" s="13" t="s">
        <v>173</v>
      </c>
      <c r="D78" s="13" t="s">
        <v>174</v>
      </c>
      <c r="E78" s="13" t="s">
        <v>79</v>
      </c>
      <c r="F78" s="13" t="s">
        <v>465</v>
      </c>
      <c r="G78" s="13" t="s">
        <v>760</v>
      </c>
      <c r="H78" s="13" t="s">
        <v>761</v>
      </c>
      <c r="I78" s="13" t="s">
        <v>762</v>
      </c>
      <c r="J78" s="13" t="s">
        <v>763</v>
      </c>
      <c r="K78" s="13" t="s">
        <v>764</v>
      </c>
      <c r="L78" s="13" t="s">
        <v>765</v>
      </c>
      <c r="M78" s="13" t="n">
        <v>781.79</v>
      </c>
      <c r="N78" s="13" t="n">
        <v>1.48</v>
      </c>
      <c r="O78" s="13" t="n">
        <v>362</v>
      </c>
      <c r="P78" s="13" t="s">
        <v>766</v>
      </c>
      <c r="Q78" s="13" t="s">
        <v>767</v>
      </c>
      <c r="R78" s="13" t="s">
        <v>768</v>
      </c>
      <c r="S78" s="13" t="s">
        <v>768</v>
      </c>
      <c r="T78" s="13" t="s">
        <v>61</v>
      </c>
      <c r="U78" s="13"/>
    </row>
    <row r="79" customFormat="false" ht="18" hidden="false" customHeight="true" outlineLevel="0" collapsed="false">
      <c r="A79" s="15" t="n">
        <v>78</v>
      </c>
      <c r="B79" s="15" t="s">
        <v>769</v>
      </c>
      <c r="C79" s="15" t="s">
        <v>125</v>
      </c>
      <c r="D79" s="15" t="s">
        <v>126</v>
      </c>
      <c r="E79" s="15" t="s">
        <v>91</v>
      </c>
      <c r="F79" s="15" t="s">
        <v>92</v>
      </c>
      <c r="G79" s="15" t="s">
        <v>139</v>
      </c>
      <c r="H79" s="15" t="s">
        <v>770</v>
      </c>
      <c r="I79" s="15" t="s">
        <v>771</v>
      </c>
      <c r="J79" s="15" t="s">
        <v>772</v>
      </c>
      <c r="K79" s="15" t="s">
        <v>773</v>
      </c>
      <c r="L79" s="15" t="s">
        <v>774</v>
      </c>
      <c r="M79" s="15" t="n">
        <v>1529.82</v>
      </c>
      <c r="N79" s="15" t="n">
        <v>37.39</v>
      </c>
      <c r="O79" s="15" t="n">
        <v>355</v>
      </c>
      <c r="P79" s="15" t="s">
        <v>775</v>
      </c>
      <c r="Q79" s="15" t="s">
        <v>776</v>
      </c>
      <c r="R79" s="15" t="s">
        <v>777</v>
      </c>
      <c r="S79" s="15" t="s">
        <v>777</v>
      </c>
      <c r="T79" s="15" t="s">
        <v>61</v>
      </c>
      <c r="U79" s="15" t="s">
        <v>778</v>
      </c>
    </row>
    <row r="80" customFormat="false" ht="18" hidden="false" customHeight="true" outlineLevel="0" collapsed="false">
      <c r="A80" s="13" t="n">
        <v>79</v>
      </c>
      <c r="B80" s="13" t="s">
        <v>779</v>
      </c>
      <c r="C80" s="13" t="s">
        <v>125</v>
      </c>
      <c r="D80" s="13" t="s">
        <v>126</v>
      </c>
      <c r="E80" s="13" t="s">
        <v>91</v>
      </c>
      <c r="F80" s="13" t="s">
        <v>780</v>
      </c>
      <c r="G80" s="13" t="s">
        <v>139</v>
      </c>
      <c r="H80" s="13" t="s">
        <v>781</v>
      </c>
      <c r="I80" s="13" t="s">
        <v>782</v>
      </c>
      <c r="J80" s="13" t="s">
        <v>783</v>
      </c>
      <c r="K80" s="13" t="s">
        <v>784</v>
      </c>
      <c r="L80" s="13" t="s">
        <v>785</v>
      </c>
      <c r="M80" s="13" t="n">
        <v>1258.83</v>
      </c>
      <c r="N80" s="13" t="n">
        <v>22.01</v>
      </c>
      <c r="O80" s="13" t="n">
        <v>283</v>
      </c>
      <c r="P80" s="13" t="s">
        <v>786</v>
      </c>
      <c r="Q80" s="13" t="s">
        <v>787</v>
      </c>
      <c r="R80" s="13" t="s">
        <v>788</v>
      </c>
      <c r="S80" s="13" t="s">
        <v>788</v>
      </c>
      <c r="T80" s="13" t="s">
        <v>61</v>
      </c>
      <c r="U80" s="13"/>
    </row>
    <row r="81" customFormat="false" ht="18" hidden="false" customHeight="true" outlineLevel="0" collapsed="false">
      <c r="A81" s="13" t="n">
        <v>80</v>
      </c>
      <c r="B81" s="13" t="s">
        <v>789</v>
      </c>
      <c r="C81" s="13" t="s">
        <v>125</v>
      </c>
      <c r="D81" s="13" t="s">
        <v>126</v>
      </c>
      <c r="E81" s="13" t="s">
        <v>50</v>
      </c>
      <c r="F81" s="13" t="s">
        <v>127</v>
      </c>
      <c r="G81" s="13" t="s">
        <v>52</v>
      </c>
      <c r="H81" s="13" t="s">
        <v>790</v>
      </c>
      <c r="I81" s="13" t="s">
        <v>791</v>
      </c>
      <c r="J81" s="13" t="s">
        <v>792</v>
      </c>
      <c r="K81" s="13" t="s">
        <v>793</v>
      </c>
      <c r="L81" s="13" t="s">
        <v>794</v>
      </c>
      <c r="M81" s="13" t="n">
        <v>591.61</v>
      </c>
      <c r="N81" s="13" t="n">
        <v>0.71</v>
      </c>
      <c r="O81" s="13" t="n">
        <v>271</v>
      </c>
      <c r="P81" s="13" t="s">
        <v>795</v>
      </c>
      <c r="Q81" s="13" t="s">
        <v>796</v>
      </c>
      <c r="R81" s="13" t="s">
        <v>797</v>
      </c>
      <c r="S81" s="13" t="s">
        <v>797</v>
      </c>
      <c r="T81" s="13" t="s">
        <v>61</v>
      </c>
      <c r="U81" s="13"/>
    </row>
    <row r="82" customFormat="false" ht="18" hidden="false" customHeight="true" outlineLevel="0" collapsed="false">
      <c r="A82" s="15" t="n">
        <v>81</v>
      </c>
      <c r="B82" s="15" t="s">
        <v>798</v>
      </c>
      <c r="C82" s="15" t="s">
        <v>125</v>
      </c>
      <c r="D82" s="15" t="s">
        <v>126</v>
      </c>
      <c r="E82" s="15" t="s">
        <v>50</v>
      </c>
      <c r="F82" s="15" t="s">
        <v>51</v>
      </c>
      <c r="G82" s="15" t="s">
        <v>689</v>
      </c>
      <c r="H82" s="15" t="s">
        <v>799</v>
      </c>
      <c r="I82" s="15" t="s">
        <v>800</v>
      </c>
      <c r="J82" s="15" t="s">
        <v>801</v>
      </c>
      <c r="K82" s="15" t="s">
        <v>802</v>
      </c>
      <c r="L82" s="15" t="s">
        <v>803</v>
      </c>
      <c r="M82" s="15" t="n">
        <v>6916.78</v>
      </c>
      <c r="N82" s="15" t="n">
        <v>0.45</v>
      </c>
      <c r="O82" s="15" t="n">
        <v>426</v>
      </c>
      <c r="P82" s="15" t="s">
        <v>804</v>
      </c>
      <c r="Q82" s="15" t="s">
        <v>805</v>
      </c>
      <c r="R82" s="15" t="s">
        <v>806</v>
      </c>
      <c r="S82" s="15" t="s">
        <v>806</v>
      </c>
      <c r="T82" s="15" t="s">
        <v>61</v>
      </c>
      <c r="U82" s="15" t="s">
        <v>343</v>
      </c>
    </row>
    <row r="83" customFormat="false" ht="18" hidden="false" customHeight="true" outlineLevel="0" collapsed="false">
      <c r="A83" s="15" t="n">
        <v>82</v>
      </c>
      <c r="B83" s="15" t="s">
        <v>807</v>
      </c>
      <c r="C83" s="15" t="s">
        <v>159</v>
      </c>
      <c r="D83" s="15" t="s">
        <v>160</v>
      </c>
      <c r="E83" s="15" t="s">
        <v>91</v>
      </c>
      <c r="F83" s="15" t="s">
        <v>138</v>
      </c>
      <c r="G83" s="15" t="s">
        <v>808</v>
      </c>
      <c r="H83" s="15" t="s">
        <v>809</v>
      </c>
      <c r="I83" s="15" t="s">
        <v>810</v>
      </c>
      <c r="J83" s="15" t="s">
        <v>811</v>
      </c>
      <c r="K83" s="15" t="s">
        <v>812</v>
      </c>
      <c r="L83" s="15" t="s">
        <v>813</v>
      </c>
      <c r="M83" s="15" t="n">
        <v>305.98</v>
      </c>
      <c r="N83" s="15" t="n">
        <v>0.81</v>
      </c>
      <c r="O83" s="15" t="n">
        <v>234</v>
      </c>
      <c r="P83" s="15" t="s">
        <v>814</v>
      </c>
      <c r="Q83" s="15" t="s">
        <v>815</v>
      </c>
      <c r="R83" s="15" t="s">
        <v>473</v>
      </c>
      <c r="S83" s="15" t="s">
        <v>473</v>
      </c>
      <c r="T83" s="15" t="s">
        <v>61</v>
      </c>
      <c r="U83" s="15" t="s">
        <v>453</v>
      </c>
    </row>
    <row r="84" customFormat="false" ht="18" hidden="false" customHeight="true" outlineLevel="0" collapsed="false">
      <c r="A84" s="13" t="n">
        <v>83</v>
      </c>
      <c r="B84" s="13" t="s">
        <v>816</v>
      </c>
      <c r="C84" s="13" t="s">
        <v>125</v>
      </c>
      <c r="D84" s="13" t="s">
        <v>126</v>
      </c>
      <c r="E84" s="13" t="s">
        <v>65</v>
      </c>
      <c r="F84" s="13" t="s">
        <v>115</v>
      </c>
      <c r="G84" s="13" t="s">
        <v>274</v>
      </c>
      <c r="H84" s="13" t="s">
        <v>817</v>
      </c>
      <c r="I84" s="13" t="s">
        <v>818</v>
      </c>
      <c r="J84" s="13" t="s">
        <v>819</v>
      </c>
      <c r="K84" s="13" t="s">
        <v>496</v>
      </c>
      <c r="L84" s="13" t="s">
        <v>497</v>
      </c>
      <c r="M84" s="13" t="n">
        <v>237.53</v>
      </c>
      <c r="N84" s="13" t="n">
        <v>1.07</v>
      </c>
      <c r="O84" s="13" t="n">
        <v>462</v>
      </c>
      <c r="P84" s="13" t="s">
        <v>498</v>
      </c>
      <c r="Q84" s="13" t="s">
        <v>252</v>
      </c>
      <c r="R84" s="13" t="s">
        <v>820</v>
      </c>
      <c r="S84" s="13" t="s">
        <v>820</v>
      </c>
      <c r="T84" s="13" t="s">
        <v>61</v>
      </c>
      <c r="U84" s="13"/>
    </row>
    <row r="85" customFormat="false" ht="18" hidden="false" customHeight="true" outlineLevel="0" collapsed="false">
      <c r="A85" s="14" t="n">
        <v>84</v>
      </c>
      <c r="B85" s="14" t="s">
        <v>821</v>
      </c>
      <c r="C85" s="14" t="s">
        <v>255</v>
      </c>
      <c r="D85" s="14" t="s">
        <v>256</v>
      </c>
      <c r="E85" s="14" t="s">
        <v>161</v>
      </c>
      <c r="F85" s="14" t="s">
        <v>822</v>
      </c>
      <c r="G85" s="14" t="s">
        <v>257</v>
      </c>
      <c r="H85" s="14" t="s">
        <v>823</v>
      </c>
      <c r="I85" s="14"/>
      <c r="J85" s="14" t="s">
        <v>824</v>
      </c>
      <c r="K85" s="14" t="s">
        <v>825</v>
      </c>
      <c r="L85" s="14" t="s">
        <v>826</v>
      </c>
      <c r="M85" s="14" t="n">
        <v>126.23</v>
      </c>
      <c r="N85" s="14" t="n">
        <v>0.24</v>
      </c>
      <c r="O85" s="14" t="n">
        <v>263</v>
      </c>
      <c r="P85" s="14" t="s">
        <v>827</v>
      </c>
      <c r="Q85" s="14" t="s">
        <v>828</v>
      </c>
      <c r="R85" s="14" t="s">
        <v>829</v>
      </c>
      <c r="S85" s="14" t="s">
        <v>829</v>
      </c>
      <c r="T85" s="14" t="s">
        <v>61</v>
      </c>
      <c r="U85" s="14" t="s">
        <v>272</v>
      </c>
    </row>
    <row r="86" customFormat="false" ht="18" hidden="false" customHeight="true" outlineLevel="0" collapsed="false">
      <c r="A86" s="13" t="n">
        <v>85</v>
      </c>
      <c r="B86" s="13" t="s">
        <v>830</v>
      </c>
      <c r="C86" s="13" t="s">
        <v>255</v>
      </c>
      <c r="D86" s="13" t="s">
        <v>256</v>
      </c>
      <c r="E86" s="13" t="s">
        <v>79</v>
      </c>
      <c r="F86" s="13" t="s">
        <v>51</v>
      </c>
      <c r="G86" s="13" t="s">
        <v>80</v>
      </c>
      <c r="H86" s="13" t="s">
        <v>831</v>
      </c>
      <c r="I86" s="13" t="s">
        <v>832</v>
      </c>
      <c r="J86" s="13" t="s">
        <v>833</v>
      </c>
      <c r="K86" s="13" t="s">
        <v>834</v>
      </c>
      <c r="L86" s="13" t="s">
        <v>835</v>
      </c>
      <c r="M86" s="13" t="n">
        <v>1663.5</v>
      </c>
      <c r="N86" s="13" t="n">
        <v>1.55</v>
      </c>
      <c r="O86" s="13" t="n">
        <v>183</v>
      </c>
      <c r="P86" s="13" t="s">
        <v>836</v>
      </c>
      <c r="Q86" s="13" t="s">
        <v>837</v>
      </c>
      <c r="R86" s="13" t="s">
        <v>838</v>
      </c>
      <c r="S86" s="13" t="s">
        <v>838</v>
      </c>
      <c r="T86" s="13" t="s">
        <v>61</v>
      </c>
      <c r="U86" s="13"/>
    </row>
    <row r="87" customFormat="false" ht="18" hidden="false" customHeight="true" outlineLevel="0" collapsed="false">
      <c r="A87" s="15" t="n">
        <v>86</v>
      </c>
      <c r="B87" s="15" t="s">
        <v>839</v>
      </c>
      <c r="C87" s="15" t="s">
        <v>255</v>
      </c>
      <c r="D87" s="15" t="s">
        <v>256</v>
      </c>
      <c r="E87" s="15" t="s">
        <v>65</v>
      </c>
      <c r="F87" s="15" t="s">
        <v>295</v>
      </c>
      <c r="G87" s="15" t="s">
        <v>257</v>
      </c>
      <c r="H87" s="15" t="s">
        <v>840</v>
      </c>
      <c r="I87" s="15" t="s">
        <v>841</v>
      </c>
      <c r="J87" s="15" t="s">
        <v>842</v>
      </c>
      <c r="K87" s="15" t="s">
        <v>843</v>
      </c>
      <c r="L87" s="15" t="s">
        <v>844</v>
      </c>
      <c r="M87" s="15" t="n">
        <v>267.93</v>
      </c>
      <c r="N87" s="15" t="n">
        <v>0.41</v>
      </c>
      <c r="O87" s="15" t="n">
        <v>71</v>
      </c>
      <c r="P87" s="15" t="s">
        <v>845</v>
      </c>
      <c r="Q87" s="15" t="s">
        <v>846</v>
      </c>
      <c r="R87" s="15" t="s">
        <v>838</v>
      </c>
      <c r="S87" s="15" t="s">
        <v>838</v>
      </c>
      <c r="T87" s="15" t="s">
        <v>61</v>
      </c>
      <c r="U87" s="15" t="s">
        <v>453</v>
      </c>
    </row>
    <row r="88" customFormat="false" ht="18" hidden="false" customHeight="true" outlineLevel="0" collapsed="false">
      <c r="A88" s="13" t="n">
        <v>87</v>
      </c>
      <c r="B88" s="13" t="s">
        <v>847</v>
      </c>
      <c r="C88" s="13" t="s">
        <v>159</v>
      </c>
      <c r="D88" s="13" t="s">
        <v>160</v>
      </c>
      <c r="E88" s="13" t="s">
        <v>161</v>
      </c>
      <c r="F88" s="13" t="s">
        <v>822</v>
      </c>
      <c r="G88" s="13" t="s">
        <v>296</v>
      </c>
      <c r="H88" s="13" t="s">
        <v>848</v>
      </c>
      <c r="I88" s="13" t="s">
        <v>849</v>
      </c>
      <c r="J88" s="13" t="s">
        <v>850</v>
      </c>
      <c r="K88" s="13" t="s">
        <v>851</v>
      </c>
      <c r="L88" s="13" t="s">
        <v>852</v>
      </c>
      <c r="M88" s="13" t="n">
        <v>60.08</v>
      </c>
      <c r="N88" s="13" t="n">
        <v>0.36</v>
      </c>
      <c r="O88" s="13" t="n">
        <v>359</v>
      </c>
      <c r="P88" s="13" t="s">
        <v>853</v>
      </c>
      <c r="Q88" s="13" t="s">
        <v>854</v>
      </c>
      <c r="R88" s="13" t="s">
        <v>855</v>
      </c>
      <c r="S88" s="13" t="s">
        <v>855</v>
      </c>
      <c r="T88" s="13" t="s">
        <v>61</v>
      </c>
      <c r="U88" s="13"/>
    </row>
    <row r="89" customFormat="false" ht="18" hidden="false" customHeight="true" outlineLevel="0" collapsed="false">
      <c r="A89" s="13" t="n">
        <v>88</v>
      </c>
      <c r="B89" s="13" t="s">
        <v>856</v>
      </c>
      <c r="C89" s="13" t="s">
        <v>159</v>
      </c>
      <c r="D89" s="13" t="s">
        <v>160</v>
      </c>
      <c r="E89" s="13" t="s">
        <v>161</v>
      </c>
      <c r="F89" s="13" t="s">
        <v>51</v>
      </c>
      <c r="G89" s="13" t="s">
        <v>296</v>
      </c>
      <c r="H89" s="13" t="s">
        <v>857</v>
      </c>
      <c r="I89" s="13" t="s">
        <v>858</v>
      </c>
      <c r="J89" s="13" t="s">
        <v>859</v>
      </c>
      <c r="K89" s="13" t="s">
        <v>860</v>
      </c>
      <c r="L89" s="13" t="s">
        <v>861</v>
      </c>
      <c r="M89" s="13" t="n">
        <v>111.31</v>
      </c>
      <c r="N89" s="13" t="n">
        <v>0.34</v>
      </c>
      <c r="O89" s="13" t="n">
        <v>240</v>
      </c>
      <c r="P89" s="13" t="s">
        <v>862</v>
      </c>
      <c r="Q89" s="13" t="s">
        <v>863</v>
      </c>
      <c r="R89" s="13" t="s">
        <v>157</v>
      </c>
      <c r="S89" s="13" t="s">
        <v>157</v>
      </c>
      <c r="T89" s="13" t="s">
        <v>61</v>
      </c>
      <c r="U89" s="13"/>
    </row>
    <row r="90" customFormat="false" ht="18" hidden="false" customHeight="true" outlineLevel="0" collapsed="false">
      <c r="A90" s="13" t="n">
        <v>89</v>
      </c>
      <c r="B90" s="13" t="s">
        <v>864</v>
      </c>
      <c r="C90" s="13" t="s">
        <v>255</v>
      </c>
      <c r="D90" s="13" t="s">
        <v>256</v>
      </c>
      <c r="E90" s="13" t="s">
        <v>91</v>
      </c>
      <c r="F90" s="13" t="s">
        <v>587</v>
      </c>
      <c r="G90" s="13" t="s">
        <v>533</v>
      </c>
      <c r="H90" s="13" t="s">
        <v>865</v>
      </c>
      <c r="I90" s="13" t="s">
        <v>866</v>
      </c>
      <c r="J90" s="13" t="s">
        <v>867</v>
      </c>
      <c r="K90" s="13" t="s">
        <v>868</v>
      </c>
      <c r="L90" s="13" t="s">
        <v>869</v>
      </c>
      <c r="M90" s="13" t="n">
        <v>2324.72</v>
      </c>
      <c r="N90" s="13" t="n">
        <v>32.42</v>
      </c>
      <c r="O90" s="13" t="n">
        <v>63</v>
      </c>
      <c r="P90" s="13" t="s">
        <v>870</v>
      </c>
      <c r="Q90" s="13" t="s">
        <v>871</v>
      </c>
      <c r="R90" s="13" t="s">
        <v>872</v>
      </c>
      <c r="S90" s="13" t="s">
        <v>872</v>
      </c>
      <c r="T90" s="13" t="s">
        <v>61</v>
      </c>
      <c r="U90" s="13"/>
    </row>
    <row r="91" customFormat="false" ht="18" hidden="false" customHeight="true" outlineLevel="0" collapsed="false">
      <c r="A91" s="13" t="n">
        <v>90</v>
      </c>
      <c r="B91" s="13" t="s">
        <v>873</v>
      </c>
      <c r="C91" s="13" t="s">
        <v>63</v>
      </c>
      <c r="D91" s="13" t="s">
        <v>64</v>
      </c>
      <c r="E91" s="13" t="s">
        <v>50</v>
      </c>
      <c r="F91" s="13" t="s">
        <v>138</v>
      </c>
      <c r="G91" s="13" t="s">
        <v>52</v>
      </c>
      <c r="H91" s="13" t="s">
        <v>874</v>
      </c>
      <c r="I91" s="13" t="s">
        <v>875</v>
      </c>
      <c r="J91" s="13" t="s">
        <v>876</v>
      </c>
      <c r="K91" s="13" t="s">
        <v>877</v>
      </c>
      <c r="L91" s="13" t="s">
        <v>878</v>
      </c>
      <c r="M91" s="13" t="n">
        <v>460.95</v>
      </c>
      <c r="N91" s="13" t="n">
        <v>0.35</v>
      </c>
      <c r="O91" s="13" t="n">
        <v>190</v>
      </c>
      <c r="P91" s="13" t="s">
        <v>879</v>
      </c>
      <c r="Q91" s="13" t="s">
        <v>880</v>
      </c>
      <c r="R91" s="13" t="s">
        <v>829</v>
      </c>
      <c r="S91" s="13" t="s">
        <v>829</v>
      </c>
      <c r="T91" s="13" t="s">
        <v>61</v>
      </c>
      <c r="U91" s="13"/>
    </row>
    <row r="92" customFormat="false" ht="18" hidden="false" customHeight="true" outlineLevel="0" collapsed="false">
      <c r="A92" s="15" t="n">
        <v>91</v>
      </c>
      <c r="B92" s="15" t="s">
        <v>881</v>
      </c>
      <c r="C92" s="15" t="s">
        <v>63</v>
      </c>
      <c r="D92" s="15" t="s">
        <v>64</v>
      </c>
      <c r="E92" s="15" t="s">
        <v>79</v>
      </c>
      <c r="F92" s="15" t="s">
        <v>438</v>
      </c>
      <c r="G92" s="15" t="s">
        <v>149</v>
      </c>
      <c r="H92" s="15" t="s">
        <v>882</v>
      </c>
      <c r="I92" s="15" t="s">
        <v>883</v>
      </c>
      <c r="J92" s="15" t="s">
        <v>884</v>
      </c>
      <c r="K92" s="15" t="s">
        <v>885</v>
      </c>
      <c r="L92" s="15" t="s">
        <v>886</v>
      </c>
      <c r="M92" s="15" t="n">
        <v>91.61</v>
      </c>
      <c r="N92" s="15" t="n">
        <v>0.99</v>
      </c>
      <c r="O92" s="15" t="n">
        <v>284</v>
      </c>
      <c r="P92" s="15" t="s">
        <v>887</v>
      </c>
      <c r="Q92" s="15" t="s">
        <v>379</v>
      </c>
      <c r="R92" s="15" t="s">
        <v>888</v>
      </c>
      <c r="S92" s="15" t="s">
        <v>888</v>
      </c>
      <c r="T92" s="15" t="s">
        <v>61</v>
      </c>
      <c r="U92" s="15" t="s">
        <v>453</v>
      </c>
    </row>
    <row r="93" customFormat="false" ht="18" hidden="false" customHeight="true" outlineLevel="0" collapsed="false">
      <c r="A93" s="13" t="n">
        <v>92</v>
      </c>
      <c r="B93" s="13" t="s">
        <v>889</v>
      </c>
      <c r="C93" s="13" t="s">
        <v>173</v>
      </c>
      <c r="D93" s="13" t="s">
        <v>174</v>
      </c>
      <c r="E93" s="13" t="s">
        <v>91</v>
      </c>
      <c r="F93" s="13" t="s">
        <v>138</v>
      </c>
      <c r="G93" s="13" t="s">
        <v>743</v>
      </c>
      <c r="H93" s="13" t="s">
        <v>890</v>
      </c>
      <c r="I93" s="13" t="s">
        <v>891</v>
      </c>
      <c r="J93" s="13" t="s">
        <v>892</v>
      </c>
      <c r="K93" s="13" t="s">
        <v>893</v>
      </c>
      <c r="L93" s="13" t="s">
        <v>894</v>
      </c>
      <c r="M93" s="13" t="n">
        <v>308.18</v>
      </c>
      <c r="N93" s="13" t="n">
        <v>19.68</v>
      </c>
      <c r="O93" s="13" t="n">
        <v>64</v>
      </c>
      <c r="P93" s="13" t="s">
        <v>895</v>
      </c>
      <c r="Q93" s="13" t="s">
        <v>896</v>
      </c>
      <c r="R93" s="13" t="s">
        <v>462</v>
      </c>
      <c r="S93" s="13" t="s">
        <v>462</v>
      </c>
      <c r="T93" s="13" t="s">
        <v>61</v>
      </c>
      <c r="U93" s="13"/>
    </row>
    <row r="94" customFormat="false" ht="18" hidden="false" customHeight="true" outlineLevel="0" collapsed="false">
      <c r="A94" s="13" t="n">
        <v>93</v>
      </c>
      <c r="B94" s="13" t="s">
        <v>897</v>
      </c>
      <c r="C94" s="13" t="s">
        <v>48</v>
      </c>
      <c r="D94" s="13" t="s">
        <v>49</v>
      </c>
      <c r="E94" s="13" t="s">
        <v>50</v>
      </c>
      <c r="F94" s="13" t="s">
        <v>51</v>
      </c>
      <c r="G94" s="13" t="s">
        <v>52</v>
      </c>
      <c r="H94" s="13" t="s">
        <v>898</v>
      </c>
      <c r="I94" s="13" t="s">
        <v>899</v>
      </c>
      <c r="J94" s="13" t="s">
        <v>900</v>
      </c>
      <c r="K94" s="13" t="s">
        <v>269</v>
      </c>
      <c r="L94" s="13" t="s">
        <v>57</v>
      </c>
      <c r="M94" s="13" t="n">
        <v>824.81</v>
      </c>
      <c r="N94" s="13" t="n">
        <v>0.71</v>
      </c>
      <c r="O94" s="13" t="n">
        <v>471</v>
      </c>
      <c r="P94" s="13" t="s">
        <v>58</v>
      </c>
      <c r="Q94" s="13" t="s">
        <v>805</v>
      </c>
      <c r="R94" s="13" t="s">
        <v>777</v>
      </c>
      <c r="S94" s="13" t="s">
        <v>777</v>
      </c>
      <c r="T94" s="13" t="s">
        <v>61</v>
      </c>
      <c r="U94" s="13"/>
    </row>
    <row r="95" customFormat="false" ht="18" hidden="false" customHeight="true" outlineLevel="0" collapsed="false">
      <c r="A95" s="16" t="n">
        <v>94</v>
      </c>
      <c r="B95" s="16" t="s">
        <v>901</v>
      </c>
      <c r="C95" s="16" t="s">
        <v>77</v>
      </c>
      <c r="D95" s="16" t="s">
        <v>78</v>
      </c>
      <c r="E95" s="16" t="s">
        <v>79</v>
      </c>
      <c r="F95" s="16" t="s">
        <v>196</v>
      </c>
      <c r="G95" s="16" t="s">
        <v>80</v>
      </c>
      <c r="H95" s="16" t="s">
        <v>902</v>
      </c>
      <c r="I95" s="16" t="s">
        <v>903</v>
      </c>
      <c r="J95" s="16" t="s">
        <v>904</v>
      </c>
      <c r="K95" s="16" t="s">
        <v>905</v>
      </c>
      <c r="L95" s="16" t="s">
        <v>710</v>
      </c>
      <c r="M95" s="16" t="n">
        <v>2243.8</v>
      </c>
      <c r="N95" s="16" t="n">
        <v>1.35</v>
      </c>
      <c r="O95" s="16" t="n">
        <v>0</v>
      </c>
      <c r="P95" s="16" t="s">
        <v>711</v>
      </c>
      <c r="Q95" s="16" t="s">
        <v>906</v>
      </c>
      <c r="R95" s="16" t="s">
        <v>907</v>
      </c>
      <c r="S95" s="16" t="s">
        <v>908</v>
      </c>
      <c r="T95" s="16" t="s">
        <v>61</v>
      </c>
      <c r="U95" s="16" t="s">
        <v>325</v>
      </c>
    </row>
    <row r="96" customFormat="false" ht="18" hidden="false" customHeight="true" outlineLevel="0" collapsed="false">
      <c r="A96" s="13" t="n">
        <v>95</v>
      </c>
      <c r="B96" s="13" t="s">
        <v>909</v>
      </c>
      <c r="C96" s="13" t="s">
        <v>113</v>
      </c>
      <c r="D96" s="13" t="s">
        <v>114</v>
      </c>
      <c r="E96" s="13" t="s">
        <v>161</v>
      </c>
      <c r="F96" s="13" t="s">
        <v>429</v>
      </c>
      <c r="G96" s="13" t="s">
        <v>296</v>
      </c>
      <c r="H96" s="13" t="s">
        <v>910</v>
      </c>
      <c r="I96" s="13" t="s">
        <v>911</v>
      </c>
      <c r="J96" s="13" t="s">
        <v>912</v>
      </c>
      <c r="K96" s="13" t="s">
        <v>913</v>
      </c>
      <c r="L96" s="13" t="s">
        <v>914</v>
      </c>
      <c r="M96" s="13" t="n">
        <v>234.54</v>
      </c>
      <c r="N96" s="13" t="n">
        <v>0.35</v>
      </c>
      <c r="O96" s="13" t="n">
        <v>3</v>
      </c>
      <c r="P96" s="13" t="s">
        <v>915</v>
      </c>
      <c r="Q96" s="13" t="s">
        <v>916</v>
      </c>
      <c r="R96" s="13" t="s">
        <v>713</v>
      </c>
      <c r="S96" s="13" t="s">
        <v>713</v>
      </c>
      <c r="T96" s="13" t="s">
        <v>61</v>
      </c>
      <c r="U96" s="13"/>
    </row>
    <row r="97" customFormat="false" ht="18" hidden="false" customHeight="true" outlineLevel="0" collapsed="false">
      <c r="A97" s="13" t="n">
        <v>96</v>
      </c>
      <c r="B97" s="13" t="s">
        <v>917</v>
      </c>
      <c r="C97" s="13" t="s">
        <v>77</v>
      </c>
      <c r="D97" s="13" t="s">
        <v>78</v>
      </c>
      <c r="E97" s="13" t="s">
        <v>65</v>
      </c>
      <c r="F97" s="13" t="s">
        <v>438</v>
      </c>
      <c r="G97" s="13" t="s">
        <v>274</v>
      </c>
      <c r="H97" s="13" t="s">
        <v>918</v>
      </c>
      <c r="I97" s="13" t="s">
        <v>919</v>
      </c>
      <c r="J97" s="13" t="s">
        <v>920</v>
      </c>
      <c r="K97" s="13" t="s">
        <v>442</v>
      </c>
      <c r="L97" s="13" t="s">
        <v>443</v>
      </c>
      <c r="M97" s="13" t="n">
        <v>472.8</v>
      </c>
      <c r="N97" s="13" t="n">
        <v>0.7</v>
      </c>
      <c r="O97" s="13" t="n">
        <v>222</v>
      </c>
      <c r="P97" s="13" t="s">
        <v>444</v>
      </c>
      <c r="Q97" s="13" t="s">
        <v>921</v>
      </c>
      <c r="R97" s="13" t="s">
        <v>293</v>
      </c>
      <c r="S97" s="13" t="s">
        <v>293</v>
      </c>
      <c r="T97" s="13" t="s">
        <v>61</v>
      </c>
      <c r="U97" s="13"/>
    </row>
    <row r="98" customFormat="false" ht="18" hidden="false" customHeight="true" outlineLevel="0" collapsed="false">
      <c r="A98" s="13" t="n">
        <v>97</v>
      </c>
      <c r="B98" s="13" t="s">
        <v>922</v>
      </c>
      <c r="C98" s="13" t="s">
        <v>48</v>
      </c>
      <c r="D98" s="13" t="s">
        <v>49</v>
      </c>
      <c r="E98" s="13" t="s">
        <v>50</v>
      </c>
      <c r="F98" s="13" t="s">
        <v>51</v>
      </c>
      <c r="G98" s="13" t="s">
        <v>217</v>
      </c>
      <c r="H98" s="13" t="s">
        <v>923</v>
      </c>
      <c r="I98" s="13" t="s">
        <v>924</v>
      </c>
      <c r="J98" s="13" t="s">
        <v>925</v>
      </c>
      <c r="K98" s="13" t="s">
        <v>926</v>
      </c>
      <c r="L98" s="13" t="s">
        <v>927</v>
      </c>
      <c r="M98" s="13" t="n">
        <v>1093.94</v>
      </c>
      <c r="N98" s="13" t="n">
        <v>0.71</v>
      </c>
      <c r="O98" s="13" t="n">
        <v>439</v>
      </c>
      <c r="P98" s="13" t="s">
        <v>928</v>
      </c>
      <c r="Q98" s="13" t="s">
        <v>929</v>
      </c>
      <c r="R98" s="13" t="s">
        <v>930</v>
      </c>
      <c r="S98" s="13" t="s">
        <v>930</v>
      </c>
      <c r="T98" s="13" t="s">
        <v>61</v>
      </c>
      <c r="U98" s="13"/>
    </row>
    <row r="99" customFormat="false" ht="18" hidden="false" customHeight="true" outlineLevel="0" collapsed="false">
      <c r="A99" s="13" t="n">
        <v>98</v>
      </c>
      <c r="B99" s="13" t="s">
        <v>931</v>
      </c>
      <c r="C99" s="13" t="s">
        <v>255</v>
      </c>
      <c r="D99" s="13" t="s">
        <v>256</v>
      </c>
      <c r="E99" s="13" t="s">
        <v>79</v>
      </c>
      <c r="F99" s="13" t="s">
        <v>465</v>
      </c>
      <c r="G99" s="13" t="s">
        <v>514</v>
      </c>
      <c r="H99" s="13" t="s">
        <v>932</v>
      </c>
      <c r="I99" s="13" t="s">
        <v>933</v>
      </c>
      <c r="J99" s="13" t="s">
        <v>934</v>
      </c>
      <c r="K99" s="13" t="s">
        <v>935</v>
      </c>
      <c r="L99" s="13" t="s">
        <v>936</v>
      </c>
      <c r="M99" s="13" t="n">
        <v>1072.35</v>
      </c>
      <c r="N99" s="13" t="n">
        <v>1.44</v>
      </c>
      <c r="O99" s="13" t="n">
        <v>496</v>
      </c>
      <c r="P99" s="13" t="s">
        <v>937</v>
      </c>
      <c r="Q99" s="13" t="s">
        <v>938</v>
      </c>
      <c r="R99" s="13" t="s">
        <v>939</v>
      </c>
      <c r="S99" s="13" t="s">
        <v>939</v>
      </c>
      <c r="T99" s="13" t="s">
        <v>61</v>
      </c>
      <c r="U99" s="13"/>
    </row>
    <row r="100" customFormat="false" ht="18" hidden="false" customHeight="true" outlineLevel="0" collapsed="false">
      <c r="A100" s="13" t="n">
        <v>99</v>
      </c>
      <c r="B100" s="13" t="s">
        <v>940</v>
      </c>
      <c r="C100" s="13" t="s">
        <v>173</v>
      </c>
      <c r="D100" s="13" t="s">
        <v>174</v>
      </c>
      <c r="E100" s="13" t="s">
        <v>50</v>
      </c>
      <c r="F100" s="13" t="s">
        <v>138</v>
      </c>
      <c r="G100" s="13" t="s">
        <v>352</v>
      </c>
      <c r="H100" s="13" t="s">
        <v>941</v>
      </c>
      <c r="I100" s="13" t="s">
        <v>942</v>
      </c>
      <c r="J100" s="13" t="s">
        <v>943</v>
      </c>
      <c r="K100" s="13" t="s">
        <v>944</v>
      </c>
      <c r="L100" s="13" t="s">
        <v>386</v>
      </c>
      <c r="M100" s="13" t="n">
        <v>1074.01</v>
      </c>
      <c r="N100" s="13" t="n">
        <v>0.42</v>
      </c>
      <c r="O100" s="13" t="n">
        <v>333</v>
      </c>
      <c r="P100" s="13" t="s">
        <v>387</v>
      </c>
      <c r="Q100" s="13" t="s">
        <v>945</v>
      </c>
      <c r="R100" s="13" t="s">
        <v>946</v>
      </c>
      <c r="S100" s="13" t="s">
        <v>946</v>
      </c>
      <c r="T100" s="13" t="s">
        <v>61</v>
      </c>
      <c r="U100" s="13"/>
    </row>
    <row r="101" customFormat="false" ht="18" hidden="false" customHeight="true" outlineLevel="0" collapsed="false">
      <c r="A101" s="13" t="n">
        <v>100</v>
      </c>
      <c r="B101" s="13" t="s">
        <v>947</v>
      </c>
      <c r="C101" s="13" t="s">
        <v>159</v>
      </c>
      <c r="D101" s="13" t="s">
        <v>160</v>
      </c>
      <c r="E101" s="13" t="s">
        <v>65</v>
      </c>
      <c r="F101" s="13" t="s">
        <v>371</v>
      </c>
      <c r="G101" s="13" t="s">
        <v>67</v>
      </c>
      <c r="H101" s="13" t="s">
        <v>948</v>
      </c>
      <c r="I101" s="13" t="s">
        <v>949</v>
      </c>
      <c r="J101" s="13" t="s">
        <v>950</v>
      </c>
      <c r="K101" s="13" t="s">
        <v>951</v>
      </c>
      <c r="L101" s="13" t="s">
        <v>952</v>
      </c>
      <c r="M101" s="13" t="n">
        <v>292.27</v>
      </c>
      <c r="N101" s="13" t="n">
        <v>0.63</v>
      </c>
      <c r="O101" s="13" t="n">
        <v>197</v>
      </c>
      <c r="P101" s="13" t="s">
        <v>953</v>
      </c>
      <c r="Q101" s="13" t="s">
        <v>954</v>
      </c>
      <c r="R101" s="13" t="s">
        <v>522</v>
      </c>
      <c r="S101" s="13" t="s">
        <v>522</v>
      </c>
      <c r="T101" s="13" t="s">
        <v>61</v>
      </c>
      <c r="U101" s="13"/>
    </row>
    <row r="102" customFormat="false" ht="18" hidden="false" customHeight="true" outlineLevel="0" collapsed="false">
      <c r="A102" s="13" t="n">
        <v>101</v>
      </c>
      <c r="B102" s="13" t="s">
        <v>955</v>
      </c>
      <c r="C102" s="13" t="s">
        <v>113</v>
      </c>
      <c r="D102" s="13" t="s">
        <v>114</v>
      </c>
      <c r="E102" s="13" t="s">
        <v>79</v>
      </c>
      <c r="F102" s="13" t="s">
        <v>956</v>
      </c>
      <c r="G102" s="13" t="s">
        <v>760</v>
      </c>
      <c r="H102" s="13" t="s">
        <v>957</v>
      </c>
      <c r="I102" s="13" t="s">
        <v>958</v>
      </c>
      <c r="J102" s="13" t="s">
        <v>959</v>
      </c>
      <c r="K102" s="13" t="s">
        <v>960</v>
      </c>
      <c r="L102" s="13" t="s">
        <v>961</v>
      </c>
      <c r="M102" s="13" t="n">
        <v>776.96</v>
      </c>
      <c r="N102" s="13" t="n">
        <v>1.42</v>
      </c>
      <c r="O102" s="13" t="n">
        <v>328</v>
      </c>
      <c r="P102" s="13" t="s">
        <v>962</v>
      </c>
      <c r="Q102" s="13" t="s">
        <v>963</v>
      </c>
      <c r="R102" s="13" t="s">
        <v>462</v>
      </c>
      <c r="S102" s="13" t="s">
        <v>462</v>
      </c>
      <c r="T102" s="13" t="s">
        <v>61</v>
      </c>
      <c r="U102" s="13"/>
    </row>
    <row r="103" customFormat="false" ht="18" hidden="false" customHeight="true" outlineLevel="0" collapsed="false">
      <c r="A103" s="13" t="n">
        <v>102</v>
      </c>
      <c r="B103" s="13" t="s">
        <v>964</v>
      </c>
      <c r="C103" s="13" t="s">
        <v>255</v>
      </c>
      <c r="D103" s="13" t="s">
        <v>256</v>
      </c>
      <c r="E103" s="13" t="s">
        <v>50</v>
      </c>
      <c r="F103" s="13" t="s">
        <v>503</v>
      </c>
      <c r="G103" s="13" t="s">
        <v>52</v>
      </c>
      <c r="H103" s="13" t="s">
        <v>965</v>
      </c>
      <c r="I103" s="13" t="s">
        <v>966</v>
      </c>
      <c r="J103" s="13" t="s">
        <v>967</v>
      </c>
      <c r="K103" s="13" t="s">
        <v>968</v>
      </c>
      <c r="L103" s="13" t="s">
        <v>969</v>
      </c>
      <c r="M103" s="13" t="n">
        <v>515.69</v>
      </c>
      <c r="N103" s="13" t="n">
        <v>0.62</v>
      </c>
      <c r="O103" s="13" t="n">
        <v>53</v>
      </c>
      <c r="P103" s="13" t="s">
        <v>970</v>
      </c>
      <c r="Q103" s="13" t="s">
        <v>971</v>
      </c>
      <c r="R103" s="13" t="s">
        <v>452</v>
      </c>
      <c r="S103" s="13" t="s">
        <v>452</v>
      </c>
      <c r="T103" s="13" t="s">
        <v>61</v>
      </c>
      <c r="U103" s="13"/>
    </row>
    <row r="104" customFormat="false" ht="18" hidden="false" customHeight="true" outlineLevel="0" collapsed="false">
      <c r="A104" s="13" t="n">
        <v>103</v>
      </c>
      <c r="B104" s="13" t="s">
        <v>972</v>
      </c>
      <c r="C104" s="13" t="s">
        <v>173</v>
      </c>
      <c r="D104" s="13" t="s">
        <v>174</v>
      </c>
      <c r="E104" s="13" t="s">
        <v>50</v>
      </c>
      <c r="F104" s="13" t="s">
        <v>51</v>
      </c>
      <c r="G104" s="13" t="s">
        <v>689</v>
      </c>
      <c r="H104" s="13" t="s">
        <v>973</v>
      </c>
      <c r="I104" s="13" t="s">
        <v>974</v>
      </c>
      <c r="J104" s="13" t="s">
        <v>975</v>
      </c>
      <c r="K104" s="13" t="s">
        <v>976</v>
      </c>
      <c r="L104" s="13" t="s">
        <v>803</v>
      </c>
      <c r="M104" s="13" t="n">
        <v>297.84</v>
      </c>
      <c r="N104" s="13" t="n">
        <v>0.49</v>
      </c>
      <c r="O104" s="13" t="n">
        <v>489</v>
      </c>
      <c r="P104" s="13" t="s">
        <v>804</v>
      </c>
      <c r="Q104" s="13" t="s">
        <v>977</v>
      </c>
      <c r="R104" s="13" t="s">
        <v>978</v>
      </c>
      <c r="S104" s="13" t="s">
        <v>978</v>
      </c>
      <c r="T104" s="13" t="s">
        <v>61</v>
      </c>
      <c r="U104" s="13"/>
    </row>
    <row r="105" customFormat="false" ht="18" hidden="false" customHeight="true" outlineLevel="0" collapsed="false">
      <c r="A105" s="13" t="n">
        <v>104</v>
      </c>
      <c r="B105" s="13" t="s">
        <v>979</v>
      </c>
      <c r="C105" s="13" t="s">
        <v>125</v>
      </c>
      <c r="D105" s="13" t="s">
        <v>126</v>
      </c>
      <c r="E105" s="13" t="s">
        <v>91</v>
      </c>
      <c r="F105" s="13" t="s">
        <v>138</v>
      </c>
      <c r="G105" s="13" t="s">
        <v>139</v>
      </c>
      <c r="H105" s="13" t="s">
        <v>980</v>
      </c>
      <c r="I105" s="13" t="s">
        <v>981</v>
      </c>
      <c r="J105" s="13" t="s">
        <v>982</v>
      </c>
      <c r="K105" s="13" t="s">
        <v>983</v>
      </c>
      <c r="L105" s="13" t="s">
        <v>144</v>
      </c>
      <c r="M105" s="13" t="n">
        <v>473.71</v>
      </c>
      <c r="N105" s="13" t="n">
        <v>24.48</v>
      </c>
      <c r="O105" s="13" t="n">
        <v>151</v>
      </c>
      <c r="P105" s="13" t="s">
        <v>145</v>
      </c>
      <c r="Q105" s="13" t="s">
        <v>984</v>
      </c>
      <c r="R105" s="13" t="s">
        <v>985</v>
      </c>
      <c r="S105" s="13" t="s">
        <v>985</v>
      </c>
      <c r="T105" s="13" t="s">
        <v>61</v>
      </c>
      <c r="U105" s="13"/>
    </row>
    <row r="106" customFormat="false" ht="18" hidden="false" customHeight="true" outlineLevel="0" collapsed="false">
      <c r="A106" s="13" t="n">
        <v>105</v>
      </c>
      <c r="B106" s="13" t="s">
        <v>986</v>
      </c>
      <c r="C106" s="13" t="s">
        <v>63</v>
      </c>
      <c r="D106" s="13" t="s">
        <v>64</v>
      </c>
      <c r="E106" s="13" t="s">
        <v>79</v>
      </c>
      <c r="F106" s="13" t="s">
        <v>465</v>
      </c>
      <c r="G106" s="13" t="s">
        <v>197</v>
      </c>
      <c r="H106" s="13" t="s">
        <v>987</v>
      </c>
      <c r="I106" s="13" t="s">
        <v>988</v>
      </c>
      <c r="J106" s="13" t="s">
        <v>989</v>
      </c>
      <c r="K106" s="13" t="s">
        <v>990</v>
      </c>
      <c r="L106" s="13" t="s">
        <v>991</v>
      </c>
      <c r="M106" s="13" t="n">
        <v>502.35</v>
      </c>
      <c r="N106" s="13" t="n">
        <v>1.9</v>
      </c>
      <c r="O106" s="13" t="n">
        <v>101</v>
      </c>
      <c r="P106" s="13" t="s">
        <v>992</v>
      </c>
      <c r="Q106" s="13" t="s">
        <v>993</v>
      </c>
      <c r="R106" s="13" t="s">
        <v>994</v>
      </c>
      <c r="S106" s="13" t="s">
        <v>994</v>
      </c>
      <c r="T106" s="13" t="s">
        <v>61</v>
      </c>
      <c r="U106" s="13"/>
    </row>
    <row r="107" customFormat="false" ht="18" hidden="false" customHeight="true" outlineLevel="0" collapsed="false">
      <c r="A107" s="13" t="n">
        <v>106</v>
      </c>
      <c r="B107" s="13" t="s">
        <v>995</v>
      </c>
      <c r="C107" s="13" t="s">
        <v>77</v>
      </c>
      <c r="D107" s="13" t="s">
        <v>78</v>
      </c>
      <c r="E107" s="13" t="s">
        <v>79</v>
      </c>
      <c r="F107" s="13" t="s">
        <v>956</v>
      </c>
      <c r="G107" s="13" t="s">
        <v>128</v>
      </c>
      <c r="H107" s="13" t="s">
        <v>996</v>
      </c>
      <c r="I107" s="13" t="s">
        <v>997</v>
      </c>
      <c r="J107" s="13" t="s">
        <v>998</v>
      </c>
      <c r="K107" s="13" t="s">
        <v>999</v>
      </c>
      <c r="L107" s="13" t="s">
        <v>1000</v>
      </c>
      <c r="M107" s="13" t="n">
        <v>715.04</v>
      </c>
      <c r="N107" s="13" t="n">
        <v>2.57</v>
      </c>
      <c r="O107" s="13" t="n">
        <v>299</v>
      </c>
      <c r="P107" s="13" t="s">
        <v>1001</v>
      </c>
      <c r="Q107" s="13" t="s">
        <v>1002</v>
      </c>
      <c r="R107" s="13" t="s">
        <v>1003</v>
      </c>
      <c r="S107" s="13" t="s">
        <v>1003</v>
      </c>
      <c r="T107" s="13" t="s">
        <v>61</v>
      </c>
      <c r="U107" s="13"/>
    </row>
    <row r="108" customFormat="false" ht="18" hidden="false" customHeight="true" outlineLevel="0" collapsed="false">
      <c r="A108" s="13" t="n">
        <v>107</v>
      </c>
      <c r="B108" s="13" t="s">
        <v>1004</v>
      </c>
      <c r="C108" s="13" t="s">
        <v>173</v>
      </c>
      <c r="D108" s="13" t="s">
        <v>174</v>
      </c>
      <c r="E108" s="13" t="s">
        <v>65</v>
      </c>
      <c r="F108" s="13" t="s">
        <v>66</v>
      </c>
      <c r="G108" s="13" t="s">
        <v>372</v>
      </c>
      <c r="H108" s="13" t="s">
        <v>1005</v>
      </c>
      <c r="I108" s="13" t="s">
        <v>1006</v>
      </c>
      <c r="J108" s="13" t="s">
        <v>1007</v>
      </c>
      <c r="K108" s="13" t="s">
        <v>649</v>
      </c>
      <c r="L108" s="13" t="s">
        <v>650</v>
      </c>
      <c r="M108" s="13" t="n">
        <v>151.72</v>
      </c>
      <c r="N108" s="13" t="n">
        <v>0.67</v>
      </c>
      <c r="O108" s="13" t="n">
        <v>54</v>
      </c>
      <c r="P108" s="13" t="s">
        <v>651</v>
      </c>
      <c r="Q108" s="13" t="s">
        <v>921</v>
      </c>
      <c r="R108" s="13" t="s">
        <v>1008</v>
      </c>
      <c r="S108" s="13" t="s">
        <v>1008</v>
      </c>
      <c r="T108" s="13" t="s">
        <v>61</v>
      </c>
      <c r="U108" s="13"/>
    </row>
    <row r="109" customFormat="false" ht="18" hidden="false" customHeight="true" outlineLevel="0" collapsed="false">
      <c r="A109" s="14" t="n">
        <v>108</v>
      </c>
      <c r="B109" s="14" t="s">
        <v>1009</v>
      </c>
      <c r="C109" s="14" t="s">
        <v>173</v>
      </c>
      <c r="D109" s="14" t="s">
        <v>174</v>
      </c>
      <c r="E109" s="14" t="s">
        <v>50</v>
      </c>
      <c r="F109" s="14" t="s">
        <v>51</v>
      </c>
      <c r="G109" s="14" t="s">
        <v>217</v>
      </c>
      <c r="H109" s="14" t="s">
        <v>1010</v>
      </c>
      <c r="I109" s="14" t="s">
        <v>1011</v>
      </c>
      <c r="J109" s="14" t="s">
        <v>1012</v>
      </c>
      <c r="K109" s="14" t="s">
        <v>1013</v>
      </c>
      <c r="L109" s="14" t="s">
        <v>927</v>
      </c>
      <c r="M109" s="14" t="n">
        <v>156.38</v>
      </c>
      <c r="N109" s="14" t="n">
        <v>0.4</v>
      </c>
      <c r="O109" s="14" t="n">
        <v>251</v>
      </c>
      <c r="P109" s="14"/>
      <c r="Q109" s="14" t="s">
        <v>815</v>
      </c>
      <c r="R109" s="14" t="s">
        <v>271</v>
      </c>
      <c r="S109" s="14" t="s">
        <v>271</v>
      </c>
      <c r="T109" s="14" t="s">
        <v>61</v>
      </c>
      <c r="U109" s="14" t="s">
        <v>1014</v>
      </c>
    </row>
    <row r="110" customFormat="false" ht="18" hidden="false" customHeight="true" outlineLevel="0" collapsed="false">
      <c r="A110" s="13" t="n">
        <v>109</v>
      </c>
      <c r="B110" s="13" t="s">
        <v>1015</v>
      </c>
      <c r="C110" s="13" t="s">
        <v>125</v>
      </c>
      <c r="D110" s="13" t="s">
        <v>126</v>
      </c>
      <c r="E110" s="13" t="s">
        <v>161</v>
      </c>
      <c r="F110" s="13" t="s">
        <v>822</v>
      </c>
      <c r="G110" s="13" t="s">
        <v>296</v>
      </c>
      <c r="H110" s="13" t="s">
        <v>1016</v>
      </c>
      <c r="I110" s="13" t="s">
        <v>1017</v>
      </c>
      <c r="J110" s="13" t="s">
        <v>1018</v>
      </c>
      <c r="K110" s="13" t="s">
        <v>1019</v>
      </c>
      <c r="L110" s="13" t="s">
        <v>852</v>
      </c>
      <c r="M110" s="13" t="n">
        <v>342.55</v>
      </c>
      <c r="N110" s="13" t="n">
        <v>0.45</v>
      </c>
      <c r="O110" s="13" t="n">
        <v>389</v>
      </c>
      <c r="P110" s="13" t="s">
        <v>853</v>
      </c>
      <c r="Q110" s="13" t="s">
        <v>1020</v>
      </c>
      <c r="R110" s="13" t="s">
        <v>1021</v>
      </c>
      <c r="S110" s="13" t="s">
        <v>1021</v>
      </c>
      <c r="T110" s="13" t="s">
        <v>61</v>
      </c>
      <c r="U110" s="13"/>
    </row>
    <row r="111" customFormat="false" ht="18" hidden="false" customHeight="true" outlineLevel="0" collapsed="false">
      <c r="A111" s="13" t="n">
        <v>110</v>
      </c>
      <c r="B111" s="13" t="s">
        <v>1022</v>
      </c>
      <c r="C111" s="13" t="s">
        <v>173</v>
      </c>
      <c r="D111" s="13" t="s">
        <v>174</v>
      </c>
      <c r="E111" s="13" t="s">
        <v>161</v>
      </c>
      <c r="F111" s="13" t="s">
        <v>51</v>
      </c>
      <c r="G111" s="13" t="s">
        <v>285</v>
      </c>
      <c r="H111" s="13" t="s">
        <v>1023</v>
      </c>
      <c r="I111" s="13" t="s">
        <v>1024</v>
      </c>
      <c r="J111" s="13" t="s">
        <v>1025</v>
      </c>
      <c r="K111" s="13" t="s">
        <v>289</v>
      </c>
      <c r="L111" s="13" t="s">
        <v>290</v>
      </c>
      <c r="M111" s="13" t="n">
        <v>496.93</v>
      </c>
      <c r="N111" s="13" t="n">
        <v>0.42</v>
      </c>
      <c r="O111" s="13" t="n">
        <v>7</v>
      </c>
      <c r="P111" s="13" t="s">
        <v>291</v>
      </c>
      <c r="Q111" s="13" t="s">
        <v>292</v>
      </c>
      <c r="R111" s="13" t="s">
        <v>1026</v>
      </c>
      <c r="S111" s="13" t="s">
        <v>1026</v>
      </c>
      <c r="T111" s="13" t="s">
        <v>61</v>
      </c>
      <c r="U111" s="13"/>
    </row>
    <row r="112" customFormat="false" ht="18" hidden="false" customHeight="true" outlineLevel="0" collapsed="false">
      <c r="A112" s="15" t="n">
        <v>111</v>
      </c>
      <c r="B112" s="15" t="s">
        <v>1027</v>
      </c>
      <c r="C112" s="15" t="s">
        <v>77</v>
      </c>
      <c r="D112" s="15" t="s">
        <v>78</v>
      </c>
      <c r="E112" s="15" t="s">
        <v>91</v>
      </c>
      <c r="F112" s="15" t="s">
        <v>51</v>
      </c>
      <c r="G112" s="15" t="s">
        <v>334</v>
      </c>
      <c r="H112" s="15" t="s">
        <v>1028</v>
      </c>
      <c r="I112" s="15" t="s">
        <v>1029</v>
      </c>
      <c r="J112" s="15" t="s">
        <v>1030</v>
      </c>
      <c r="K112" s="15" t="s">
        <v>1031</v>
      </c>
      <c r="L112" s="15" t="s">
        <v>1032</v>
      </c>
      <c r="M112" s="15" t="n">
        <v>352.73</v>
      </c>
      <c r="N112" s="15" t="n">
        <v>0.26</v>
      </c>
      <c r="O112" s="15" t="n">
        <v>234</v>
      </c>
      <c r="P112" s="15" t="s">
        <v>1033</v>
      </c>
      <c r="Q112" s="15" t="s">
        <v>1034</v>
      </c>
      <c r="R112" s="15" t="s">
        <v>1035</v>
      </c>
      <c r="S112" s="15" t="s">
        <v>1035</v>
      </c>
      <c r="T112" s="15" t="s">
        <v>61</v>
      </c>
      <c r="U112" s="15" t="s">
        <v>453</v>
      </c>
    </row>
    <row r="113" customFormat="false" ht="18" hidden="false" customHeight="true" outlineLevel="0" collapsed="false">
      <c r="A113" s="13" t="n">
        <v>112</v>
      </c>
      <c r="B113" s="13" t="s">
        <v>1036</v>
      </c>
      <c r="C113" s="13" t="s">
        <v>173</v>
      </c>
      <c r="D113" s="13" t="s">
        <v>174</v>
      </c>
      <c r="E113" s="13" t="s">
        <v>161</v>
      </c>
      <c r="F113" s="13" t="s">
        <v>822</v>
      </c>
      <c r="G113" s="13" t="s">
        <v>257</v>
      </c>
      <c r="H113" s="13" t="s">
        <v>1037</v>
      </c>
      <c r="I113" s="13" t="s">
        <v>1038</v>
      </c>
      <c r="J113" s="13" t="s">
        <v>1039</v>
      </c>
      <c r="K113" s="13" t="s">
        <v>1040</v>
      </c>
      <c r="L113" s="13" t="s">
        <v>826</v>
      </c>
      <c r="M113" s="13" t="n">
        <v>316.09</v>
      </c>
      <c r="N113" s="13" t="n">
        <v>0.34</v>
      </c>
      <c r="O113" s="13" t="n">
        <v>91</v>
      </c>
      <c r="P113" s="13" t="s">
        <v>827</v>
      </c>
      <c r="Q113" s="13" t="s">
        <v>916</v>
      </c>
      <c r="R113" s="13" t="s">
        <v>417</v>
      </c>
      <c r="S113" s="13" t="s">
        <v>417</v>
      </c>
      <c r="T113" s="13" t="s">
        <v>61</v>
      </c>
      <c r="U113" s="13"/>
    </row>
    <row r="114" customFormat="false" ht="18" hidden="false" customHeight="true" outlineLevel="0" collapsed="false">
      <c r="A114" s="14" t="n">
        <v>113</v>
      </c>
      <c r="B114" s="14" t="s">
        <v>1041</v>
      </c>
      <c r="C114" s="14" t="s">
        <v>63</v>
      </c>
      <c r="D114" s="14" t="s">
        <v>64</v>
      </c>
      <c r="E114" s="14" t="s">
        <v>79</v>
      </c>
      <c r="F114" s="14" t="s">
        <v>956</v>
      </c>
      <c r="G114" s="14" t="s">
        <v>197</v>
      </c>
      <c r="H114" s="14" t="s">
        <v>1042</v>
      </c>
      <c r="I114" s="14" t="s">
        <v>1043</v>
      </c>
      <c r="J114" s="14" t="s">
        <v>1044</v>
      </c>
      <c r="K114" s="14"/>
      <c r="L114" s="14" t="s">
        <v>1045</v>
      </c>
      <c r="M114" s="14" t="n">
        <v>1487.01</v>
      </c>
      <c r="N114" s="14" t="n">
        <v>1.69</v>
      </c>
      <c r="O114" s="14" t="n">
        <v>82</v>
      </c>
      <c r="P114" s="14" t="s">
        <v>1046</v>
      </c>
      <c r="Q114" s="14" t="s">
        <v>1047</v>
      </c>
      <c r="R114" s="14" t="s">
        <v>604</v>
      </c>
      <c r="S114" s="14" t="s">
        <v>604</v>
      </c>
      <c r="T114" s="14" t="s">
        <v>61</v>
      </c>
      <c r="U114" s="14" t="s">
        <v>1048</v>
      </c>
    </row>
    <row r="115" customFormat="false" ht="18" hidden="false" customHeight="true" outlineLevel="0" collapsed="false">
      <c r="A115" s="13" t="n">
        <v>114</v>
      </c>
      <c r="B115" s="13" t="s">
        <v>1049</v>
      </c>
      <c r="C115" s="13" t="s">
        <v>113</v>
      </c>
      <c r="D115" s="13" t="s">
        <v>114</v>
      </c>
      <c r="E115" s="13" t="s">
        <v>91</v>
      </c>
      <c r="F115" s="13" t="s">
        <v>138</v>
      </c>
      <c r="G115" s="13" t="s">
        <v>533</v>
      </c>
      <c r="H115" s="13" t="s">
        <v>1050</v>
      </c>
      <c r="I115" s="13" t="s">
        <v>1051</v>
      </c>
      <c r="J115" s="13" t="s">
        <v>1052</v>
      </c>
      <c r="K115" s="13" t="s">
        <v>1053</v>
      </c>
      <c r="L115" s="13" t="s">
        <v>538</v>
      </c>
      <c r="M115" s="13" t="n">
        <v>2341.82</v>
      </c>
      <c r="N115" s="13" t="n">
        <v>33.3</v>
      </c>
      <c r="O115" s="13" t="n">
        <v>116</v>
      </c>
      <c r="P115" s="13" t="s">
        <v>539</v>
      </c>
      <c r="Q115" s="13" t="s">
        <v>1054</v>
      </c>
      <c r="R115" s="13" t="s">
        <v>1055</v>
      </c>
      <c r="S115" s="13" t="s">
        <v>1055</v>
      </c>
      <c r="T115" s="13" t="s">
        <v>61</v>
      </c>
      <c r="U115" s="13"/>
    </row>
    <row r="116" customFormat="false" ht="18" hidden="false" customHeight="true" outlineLevel="0" collapsed="false">
      <c r="A116" s="13" t="n">
        <v>115</v>
      </c>
      <c r="B116" s="13" t="s">
        <v>1056</v>
      </c>
      <c r="C116" s="13" t="s">
        <v>113</v>
      </c>
      <c r="D116" s="13" t="s">
        <v>114</v>
      </c>
      <c r="E116" s="13" t="s">
        <v>65</v>
      </c>
      <c r="F116" s="13" t="s">
        <v>390</v>
      </c>
      <c r="G116" s="13" t="s">
        <v>372</v>
      </c>
      <c r="H116" s="13" t="s">
        <v>1057</v>
      </c>
      <c r="I116" s="13" t="s">
        <v>1058</v>
      </c>
      <c r="J116" s="13" t="s">
        <v>1059</v>
      </c>
      <c r="K116" s="13" t="s">
        <v>683</v>
      </c>
      <c r="L116" s="13" t="s">
        <v>684</v>
      </c>
      <c r="M116" s="13" t="n">
        <v>309.58</v>
      </c>
      <c r="N116" s="13" t="n">
        <v>0.96</v>
      </c>
      <c r="O116" s="13" t="n">
        <v>300</v>
      </c>
      <c r="P116" s="13" t="s">
        <v>685</v>
      </c>
      <c r="Q116" s="13" t="s">
        <v>1060</v>
      </c>
      <c r="R116" s="13" t="s">
        <v>1061</v>
      </c>
      <c r="S116" s="13" t="s">
        <v>1061</v>
      </c>
      <c r="T116" s="13" t="s">
        <v>61</v>
      </c>
      <c r="U116" s="13"/>
    </row>
    <row r="117" customFormat="false" ht="18" hidden="false" customHeight="true" outlineLevel="0" collapsed="false">
      <c r="A117" s="15" t="n">
        <v>116</v>
      </c>
      <c r="B117" s="15" t="s">
        <v>1062</v>
      </c>
      <c r="C117" s="15" t="s">
        <v>63</v>
      </c>
      <c r="D117" s="15" t="s">
        <v>64</v>
      </c>
      <c r="E117" s="15" t="s">
        <v>91</v>
      </c>
      <c r="F117" s="15" t="s">
        <v>780</v>
      </c>
      <c r="G117" s="15" t="s">
        <v>139</v>
      </c>
      <c r="H117" s="15" t="s">
        <v>1063</v>
      </c>
      <c r="I117" s="15" t="s">
        <v>1064</v>
      </c>
      <c r="J117" s="15" t="s">
        <v>1065</v>
      </c>
      <c r="K117" s="15" t="s">
        <v>1066</v>
      </c>
      <c r="L117" s="15" t="s">
        <v>785</v>
      </c>
      <c r="M117" s="15" t="n">
        <v>2485.53</v>
      </c>
      <c r="N117" s="15" t="n">
        <v>24.93</v>
      </c>
      <c r="O117" s="15" t="n">
        <v>305</v>
      </c>
      <c r="P117" s="15" t="s">
        <v>786</v>
      </c>
      <c r="Q117" s="15" t="s">
        <v>193</v>
      </c>
      <c r="R117" s="15" t="s">
        <v>777</v>
      </c>
      <c r="S117" s="15" t="s">
        <v>777</v>
      </c>
      <c r="T117" s="15" t="s">
        <v>61</v>
      </c>
      <c r="U117" s="15" t="s">
        <v>243</v>
      </c>
    </row>
    <row r="118" customFormat="false" ht="18" hidden="false" customHeight="true" outlineLevel="0" collapsed="false">
      <c r="A118" s="13" t="n">
        <v>117</v>
      </c>
      <c r="B118" s="13" t="s">
        <v>1067</v>
      </c>
      <c r="C118" s="13" t="s">
        <v>63</v>
      </c>
      <c r="D118" s="13" t="s">
        <v>64</v>
      </c>
      <c r="E118" s="13" t="s">
        <v>91</v>
      </c>
      <c r="F118" s="13" t="s">
        <v>185</v>
      </c>
      <c r="G118" s="13" t="s">
        <v>420</v>
      </c>
      <c r="H118" s="13" t="s">
        <v>1068</v>
      </c>
      <c r="I118" s="13" t="s">
        <v>1069</v>
      </c>
      <c r="J118" s="13" t="s">
        <v>1070</v>
      </c>
      <c r="K118" s="13" t="s">
        <v>1071</v>
      </c>
      <c r="L118" s="13" t="s">
        <v>1072</v>
      </c>
      <c r="M118" s="13" t="n">
        <v>547.84</v>
      </c>
      <c r="N118" s="13" t="n">
        <v>32.66</v>
      </c>
      <c r="O118" s="13" t="n">
        <v>39</v>
      </c>
      <c r="P118" s="13" t="s">
        <v>1073</v>
      </c>
      <c r="Q118" s="13" t="s">
        <v>1074</v>
      </c>
      <c r="R118" s="13" t="s">
        <v>1075</v>
      </c>
      <c r="S118" s="13" t="s">
        <v>1075</v>
      </c>
      <c r="T118" s="13" t="s">
        <v>61</v>
      </c>
      <c r="U118" s="13"/>
    </row>
    <row r="119" customFormat="false" ht="18" hidden="false" customHeight="true" outlineLevel="0" collapsed="false">
      <c r="A119" s="13" t="n">
        <v>118</v>
      </c>
      <c r="B119" s="13" t="s">
        <v>1076</v>
      </c>
      <c r="C119" s="13" t="s">
        <v>125</v>
      </c>
      <c r="D119" s="13" t="s">
        <v>126</v>
      </c>
      <c r="E119" s="13" t="s">
        <v>161</v>
      </c>
      <c r="F119" s="13" t="s">
        <v>429</v>
      </c>
      <c r="G119" s="13" t="s">
        <v>334</v>
      </c>
      <c r="H119" s="13" t="s">
        <v>1077</v>
      </c>
      <c r="I119" s="13" t="s">
        <v>1078</v>
      </c>
      <c r="J119" s="13" t="s">
        <v>1079</v>
      </c>
      <c r="K119" s="13" t="s">
        <v>1080</v>
      </c>
      <c r="L119" s="13" t="s">
        <v>488</v>
      </c>
      <c r="M119" s="13" t="n">
        <v>109.66</v>
      </c>
      <c r="N119" s="13" t="n">
        <v>0.25</v>
      </c>
      <c r="O119" s="13" t="n">
        <v>448</v>
      </c>
      <c r="P119" s="13" t="s">
        <v>489</v>
      </c>
      <c r="Q119" s="13" t="s">
        <v>1081</v>
      </c>
      <c r="R119" s="13" t="s">
        <v>1082</v>
      </c>
      <c r="S119" s="13" t="s">
        <v>1082</v>
      </c>
      <c r="T119" s="13" t="s">
        <v>61</v>
      </c>
      <c r="U119" s="13"/>
    </row>
    <row r="120" customFormat="false" ht="18" hidden="false" customHeight="true" outlineLevel="0" collapsed="false">
      <c r="A120" s="13" t="n">
        <v>119</v>
      </c>
      <c r="B120" s="13" t="s">
        <v>1083</v>
      </c>
      <c r="C120" s="13" t="s">
        <v>125</v>
      </c>
      <c r="D120" s="13" t="s">
        <v>126</v>
      </c>
      <c r="E120" s="13" t="s">
        <v>79</v>
      </c>
      <c r="F120" s="13" t="s">
        <v>51</v>
      </c>
      <c r="G120" s="13" t="s">
        <v>514</v>
      </c>
      <c r="H120" s="13" t="s">
        <v>1084</v>
      </c>
      <c r="I120" s="13" t="s">
        <v>1085</v>
      </c>
      <c r="J120" s="13" t="s">
        <v>1086</v>
      </c>
      <c r="K120" s="13" t="s">
        <v>1087</v>
      </c>
      <c r="L120" s="13" t="s">
        <v>1088</v>
      </c>
      <c r="M120" s="13" t="n">
        <v>968.3</v>
      </c>
      <c r="N120" s="13" t="n">
        <v>2.68</v>
      </c>
      <c r="O120" s="13" t="n">
        <v>350</v>
      </c>
      <c r="P120" s="13" t="s">
        <v>1089</v>
      </c>
      <c r="Q120" s="13" t="s">
        <v>1090</v>
      </c>
      <c r="R120" s="13" t="s">
        <v>157</v>
      </c>
      <c r="S120" s="13" t="s">
        <v>157</v>
      </c>
      <c r="T120" s="13" t="s">
        <v>61</v>
      </c>
      <c r="U120" s="13"/>
    </row>
    <row r="121" customFormat="false" ht="18" hidden="false" customHeight="true" outlineLevel="0" collapsed="false">
      <c r="A121" s="15" t="n">
        <v>120</v>
      </c>
      <c r="B121" s="15" t="s">
        <v>1091</v>
      </c>
      <c r="C121" s="15" t="s">
        <v>255</v>
      </c>
      <c r="D121" s="15" t="s">
        <v>256</v>
      </c>
      <c r="E121" s="15" t="s">
        <v>161</v>
      </c>
      <c r="F121" s="15" t="s">
        <v>822</v>
      </c>
      <c r="G121" s="15" t="s">
        <v>285</v>
      </c>
      <c r="H121" s="15" t="s">
        <v>1092</v>
      </c>
      <c r="I121" s="15" t="s">
        <v>1093</v>
      </c>
      <c r="J121" s="15" t="s">
        <v>1094</v>
      </c>
      <c r="K121" s="15" t="s">
        <v>1095</v>
      </c>
      <c r="L121" s="15" t="s">
        <v>1096</v>
      </c>
      <c r="M121" s="15" t="n">
        <v>2397.9</v>
      </c>
      <c r="N121" s="15" t="n">
        <v>0.25</v>
      </c>
      <c r="O121" s="15" t="n">
        <v>438</v>
      </c>
      <c r="P121" s="15" t="s">
        <v>1097</v>
      </c>
      <c r="Q121" s="15" t="s">
        <v>1098</v>
      </c>
      <c r="R121" s="15" t="s">
        <v>1099</v>
      </c>
      <c r="S121" s="15" t="s">
        <v>1099</v>
      </c>
      <c r="T121" s="15" t="s">
        <v>61</v>
      </c>
      <c r="U121" s="15" t="s">
        <v>343</v>
      </c>
    </row>
    <row r="122" customFormat="false" ht="18" hidden="false" customHeight="true" outlineLevel="0" collapsed="false">
      <c r="A122" s="14" t="n">
        <v>121</v>
      </c>
      <c r="B122" s="14" t="s">
        <v>1100</v>
      </c>
      <c r="C122" s="14" t="s">
        <v>125</v>
      </c>
      <c r="D122" s="14" t="s">
        <v>126</v>
      </c>
      <c r="E122" s="14" t="s">
        <v>91</v>
      </c>
      <c r="F122" s="14" t="s">
        <v>185</v>
      </c>
      <c r="G122" s="14" t="s">
        <v>420</v>
      </c>
      <c r="H122" s="14" t="s">
        <v>1101</v>
      </c>
      <c r="I122" s="14" t="s">
        <v>1102</v>
      </c>
      <c r="J122" s="14" t="s">
        <v>1103</v>
      </c>
      <c r="K122" s="14" t="s">
        <v>1104</v>
      </c>
      <c r="L122" s="14"/>
      <c r="M122" s="14" t="n">
        <v>2621.56</v>
      </c>
      <c r="N122" s="14" t="n">
        <v>50.78</v>
      </c>
      <c r="O122" s="14" t="n">
        <v>166</v>
      </c>
      <c r="P122" s="14" t="s">
        <v>1073</v>
      </c>
      <c r="Q122" s="14" t="s">
        <v>1105</v>
      </c>
      <c r="R122" s="14" t="s">
        <v>1106</v>
      </c>
      <c r="S122" s="14" t="s">
        <v>1106</v>
      </c>
      <c r="T122" s="14" t="s">
        <v>61</v>
      </c>
      <c r="U122" s="14" t="s">
        <v>1107</v>
      </c>
    </row>
    <row r="123" customFormat="false" ht="18" hidden="false" customHeight="true" outlineLevel="0" collapsed="false">
      <c r="A123" s="13" t="n">
        <v>122</v>
      </c>
      <c r="B123" s="13" t="s">
        <v>1108</v>
      </c>
      <c r="C123" s="13" t="s">
        <v>77</v>
      </c>
      <c r="D123" s="13" t="s">
        <v>78</v>
      </c>
      <c r="E123" s="13" t="s">
        <v>65</v>
      </c>
      <c r="F123" s="13" t="s">
        <v>245</v>
      </c>
      <c r="G123" s="13" t="s">
        <v>67</v>
      </c>
      <c r="H123" s="13" t="s">
        <v>1109</v>
      </c>
      <c r="I123" s="13" t="s">
        <v>1110</v>
      </c>
      <c r="J123" s="13" t="s">
        <v>1111</v>
      </c>
      <c r="K123" s="13" t="s">
        <v>1112</v>
      </c>
      <c r="L123" s="13" t="s">
        <v>1113</v>
      </c>
      <c r="M123" s="13" t="n">
        <v>390.22</v>
      </c>
      <c r="N123" s="13" t="n">
        <v>1.11</v>
      </c>
      <c r="O123" s="13" t="n">
        <v>22</v>
      </c>
      <c r="P123" s="13" t="s">
        <v>1114</v>
      </c>
      <c r="Q123" s="13" t="s">
        <v>1115</v>
      </c>
      <c r="R123" s="13" t="s">
        <v>1116</v>
      </c>
      <c r="S123" s="13" t="s">
        <v>1116</v>
      </c>
      <c r="T123" s="13" t="s">
        <v>61</v>
      </c>
      <c r="U123" s="13"/>
    </row>
    <row r="124" customFormat="false" ht="18" hidden="false" customHeight="true" outlineLevel="0" collapsed="false">
      <c r="A124" s="13" t="n">
        <v>123</v>
      </c>
      <c r="B124" s="13" t="s">
        <v>1117</v>
      </c>
      <c r="C124" s="13" t="s">
        <v>159</v>
      </c>
      <c r="D124" s="13" t="s">
        <v>160</v>
      </c>
      <c r="E124" s="13" t="s">
        <v>161</v>
      </c>
      <c r="F124" s="13" t="s">
        <v>306</v>
      </c>
      <c r="G124" s="13" t="s">
        <v>334</v>
      </c>
      <c r="H124" s="13" t="s">
        <v>1118</v>
      </c>
      <c r="I124" s="13" t="s">
        <v>1119</v>
      </c>
      <c r="J124" s="13" t="s">
        <v>1120</v>
      </c>
      <c r="K124" s="13" t="s">
        <v>1121</v>
      </c>
      <c r="L124" s="13" t="s">
        <v>1122</v>
      </c>
      <c r="M124" s="13" t="n">
        <v>144.48</v>
      </c>
      <c r="N124" s="13" t="n">
        <v>0.27</v>
      </c>
      <c r="O124" s="13" t="n">
        <v>201</v>
      </c>
      <c r="P124" s="13" t="s">
        <v>1123</v>
      </c>
      <c r="Q124" s="13" t="s">
        <v>1124</v>
      </c>
      <c r="R124" s="13" t="s">
        <v>1125</v>
      </c>
      <c r="S124" s="13" t="s">
        <v>1125</v>
      </c>
      <c r="T124" s="13" t="s">
        <v>61</v>
      </c>
      <c r="U124" s="13"/>
    </row>
    <row r="125" customFormat="false" ht="18" hidden="false" customHeight="true" outlineLevel="0" collapsed="false">
      <c r="A125" s="13" t="n">
        <v>124</v>
      </c>
      <c r="B125" s="13" t="s">
        <v>1126</v>
      </c>
      <c r="C125" s="13" t="s">
        <v>113</v>
      </c>
      <c r="D125" s="13" t="s">
        <v>114</v>
      </c>
      <c r="E125" s="13" t="s">
        <v>161</v>
      </c>
      <c r="F125" s="13" t="s">
        <v>185</v>
      </c>
      <c r="G125" s="13" t="s">
        <v>334</v>
      </c>
      <c r="H125" s="13" t="s">
        <v>1127</v>
      </c>
      <c r="I125" s="13" t="s">
        <v>1128</v>
      </c>
      <c r="J125" s="13" t="s">
        <v>1129</v>
      </c>
      <c r="K125" s="13" t="s">
        <v>1130</v>
      </c>
      <c r="L125" s="13" t="s">
        <v>1131</v>
      </c>
      <c r="M125" s="13" t="n">
        <v>404.99</v>
      </c>
      <c r="N125" s="13" t="n">
        <v>0.26</v>
      </c>
      <c r="O125" s="13" t="n">
        <v>241</v>
      </c>
      <c r="P125" s="13" t="s">
        <v>1132</v>
      </c>
      <c r="Q125" s="13" t="s">
        <v>1081</v>
      </c>
      <c r="R125" s="13" t="s">
        <v>888</v>
      </c>
      <c r="S125" s="13" t="s">
        <v>888</v>
      </c>
      <c r="T125" s="13" t="s">
        <v>61</v>
      </c>
      <c r="U125" s="13"/>
    </row>
    <row r="126" customFormat="false" ht="18" hidden="false" customHeight="true" outlineLevel="0" collapsed="false">
      <c r="A126" s="13" t="n">
        <v>125</v>
      </c>
      <c r="B126" s="13" t="s">
        <v>1133</v>
      </c>
      <c r="C126" s="13" t="s">
        <v>159</v>
      </c>
      <c r="D126" s="13" t="s">
        <v>160</v>
      </c>
      <c r="E126" s="13" t="s">
        <v>79</v>
      </c>
      <c r="F126" s="13" t="s">
        <v>127</v>
      </c>
      <c r="G126" s="13" t="s">
        <v>80</v>
      </c>
      <c r="H126" s="13" t="s">
        <v>1134</v>
      </c>
      <c r="I126" s="13" t="s">
        <v>1135</v>
      </c>
      <c r="J126" s="13" t="s">
        <v>1136</v>
      </c>
      <c r="K126" s="13" t="s">
        <v>1137</v>
      </c>
      <c r="L126" s="13" t="s">
        <v>1138</v>
      </c>
      <c r="M126" s="13" t="n">
        <v>1691.65</v>
      </c>
      <c r="N126" s="13" t="n">
        <v>1.78</v>
      </c>
      <c r="O126" s="13" t="n">
        <v>337</v>
      </c>
      <c r="P126" s="13" t="s">
        <v>1139</v>
      </c>
      <c r="Q126" s="13" t="s">
        <v>1140</v>
      </c>
      <c r="R126" s="13" t="s">
        <v>491</v>
      </c>
      <c r="S126" s="13" t="s">
        <v>491</v>
      </c>
      <c r="T126" s="13" t="s">
        <v>61</v>
      </c>
      <c r="U126" s="13"/>
    </row>
    <row r="127" customFormat="false" ht="18" hidden="false" customHeight="true" outlineLevel="0" collapsed="false">
      <c r="A127" s="13" t="n">
        <v>126</v>
      </c>
      <c r="B127" s="13" t="s">
        <v>1141</v>
      </c>
      <c r="C127" s="13" t="s">
        <v>159</v>
      </c>
      <c r="D127" s="13" t="s">
        <v>160</v>
      </c>
      <c r="E127" s="13" t="s">
        <v>65</v>
      </c>
      <c r="F127" s="13" t="s">
        <v>66</v>
      </c>
      <c r="G127" s="13" t="s">
        <v>391</v>
      </c>
      <c r="H127" s="13" t="s">
        <v>1142</v>
      </c>
      <c r="I127" s="13" t="s">
        <v>1143</v>
      </c>
      <c r="J127" s="13" t="s">
        <v>1144</v>
      </c>
      <c r="K127" s="13" t="s">
        <v>1145</v>
      </c>
      <c r="L127" s="13" t="s">
        <v>1146</v>
      </c>
      <c r="M127" s="13" t="n">
        <v>64.19</v>
      </c>
      <c r="N127" s="13" t="n">
        <v>0.79</v>
      </c>
      <c r="O127" s="13" t="n">
        <v>123</v>
      </c>
      <c r="P127" s="13" t="s">
        <v>1147</v>
      </c>
      <c r="Q127" s="13" t="s">
        <v>1148</v>
      </c>
      <c r="R127" s="13" t="s">
        <v>123</v>
      </c>
      <c r="S127" s="13" t="s">
        <v>123</v>
      </c>
      <c r="T127" s="13" t="s">
        <v>61</v>
      </c>
      <c r="U127" s="13"/>
    </row>
    <row r="128" customFormat="false" ht="18" hidden="false" customHeight="true" outlineLevel="0" collapsed="false">
      <c r="A128" s="13" t="n">
        <v>127</v>
      </c>
      <c r="B128" s="13" t="s">
        <v>1149</v>
      </c>
      <c r="C128" s="13" t="s">
        <v>173</v>
      </c>
      <c r="D128" s="13" t="s">
        <v>174</v>
      </c>
      <c r="E128" s="13" t="s">
        <v>65</v>
      </c>
      <c r="F128" s="13" t="s">
        <v>371</v>
      </c>
      <c r="G128" s="13" t="s">
        <v>724</v>
      </c>
      <c r="H128" s="13" t="s">
        <v>1150</v>
      </c>
      <c r="I128" s="13" t="s">
        <v>1151</v>
      </c>
      <c r="J128" s="13" t="s">
        <v>1152</v>
      </c>
      <c r="K128" s="13" t="s">
        <v>1153</v>
      </c>
      <c r="L128" s="13" t="s">
        <v>1154</v>
      </c>
      <c r="M128" s="13" t="n">
        <v>118.68</v>
      </c>
      <c r="N128" s="13" t="n">
        <v>1.24</v>
      </c>
      <c r="O128" s="13" t="n">
        <v>356</v>
      </c>
      <c r="P128" s="13" t="s">
        <v>1155</v>
      </c>
      <c r="Q128" s="13" t="s">
        <v>1156</v>
      </c>
      <c r="R128" s="13" t="s">
        <v>1157</v>
      </c>
      <c r="S128" s="13" t="s">
        <v>1157</v>
      </c>
      <c r="T128" s="13" t="s">
        <v>61</v>
      </c>
      <c r="U128" s="13"/>
    </row>
    <row r="129" customFormat="false" ht="18" hidden="false" customHeight="true" outlineLevel="0" collapsed="false">
      <c r="A129" s="13" t="n">
        <v>128</v>
      </c>
      <c r="B129" s="13" t="s">
        <v>1158</v>
      </c>
      <c r="C129" s="13" t="s">
        <v>173</v>
      </c>
      <c r="D129" s="13" t="s">
        <v>174</v>
      </c>
      <c r="E129" s="13" t="s">
        <v>91</v>
      </c>
      <c r="F129" s="13" t="s">
        <v>780</v>
      </c>
      <c r="G129" s="13" t="s">
        <v>186</v>
      </c>
      <c r="H129" s="13" t="s">
        <v>1159</v>
      </c>
      <c r="I129" s="13" t="s">
        <v>1160</v>
      </c>
      <c r="J129" s="13" t="s">
        <v>1161</v>
      </c>
      <c r="K129" s="13" t="s">
        <v>1162</v>
      </c>
      <c r="L129" s="13" t="s">
        <v>1163</v>
      </c>
      <c r="M129" s="13" t="n">
        <v>2985.49</v>
      </c>
      <c r="N129" s="13" t="n">
        <v>31.59</v>
      </c>
      <c r="O129" s="13" t="n">
        <v>498</v>
      </c>
      <c r="P129" s="13" t="s">
        <v>1164</v>
      </c>
      <c r="Q129" s="13" t="s">
        <v>1165</v>
      </c>
      <c r="R129" s="13" t="s">
        <v>293</v>
      </c>
      <c r="S129" s="13" t="s">
        <v>293</v>
      </c>
      <c r="T129" s="13" t="s">
        <v>61</v>
      </c>
      <c r="U129" s="13"/>
    </row>
    <row r="130" customFormat="false" ht="18" hidden="false" customHeight="true" outlineLevel="0" collapsed="false">
      <c r="A130" s="13" t="n">
        <v>129</v>
      </c>
      <c r="B130" s="13" t="s">
        <v>1166</v>
      </c>
      <c r="C130" s="13" t="s">
        <v>125</v>
      </c>
      <c r="D130" s="13" t="s">
        <v>126</v>
      </c>
      <c r="E130" s="13" t="s">
        <v>65</v>
      </c>
      <c r="F130" s="13" t="s">
        <v>438</v>
      </c>
      <c r="G130" s="13" t="s">
        <v>149</v>
      </c>
      <c r="H130" s="13" t="s">
        <v>1167</v>
      </c>
      <c r="I130" s="13" t="s">
        <v>1168</v>
      </c>
      <c r="J130" s="13" t="s">
        <v>1169</v>
      </c>
      <c r="K130" s="13" t="s">
        <v>885</v>
      </c>
      <c r="L130" s="13" t="s">
        <v>886</v>
      </c>
      <c r="M130" s="13" t="n">
        <v>170.69</v>
      </c>
      <c r="N130" s="13" t="n">
        <v>0.76</v>
      </c>
      <c r="O130" s="13" t="n">
        <v>389</v>
      </c>
      <c r="P130" s="13" t="s">
        <v>887</v>
      </c>
      <c r="Q130" s="13" t="s">
        <v>1170</v>
      </c>
      <c r="R130" s="13" t="s">
        <v>985</v>
      </c>
      <c r="S130" s="13" t="s">
        <v>985</v>
      </c>
      <c r="T130" s="13" t="s">
        <v>61</v>
      </c>
      <c r="U130" s="13"/>
    </row>
    <row r="131" customFormat="false" ht="18" hidden="false" customHeight="true" outlineLevel="0" collapsed="false">
      <c r="A131" s="16" t="n">
        <v>130</v>
      </c>
      <c r="B131" s="16" t="s">
        <v>1171</v>
      </c>
      <c r="C131" s="16" t="s">
        <v>63</v>
      </c>
      <c r="D131" s="16" t="s">
        <v>64</v>
      </c>
      <c r="E131" s="16" t="s">
        <v>65</v>
      </c>
      <c r="F131" s="16" t="s">
        <v>66</v>
      </c>
      <c r="G131" s="16" t="s">
        <v>149</v>
      </c>
      <c r="H131" s="16" t="s">
        <v>1172</v>
      </c>
      <c r="I131" s="16" t="s">
        <v>1173</v>
      </c>
      <c r="J131" s="16" t="s">
        <v>1174</v>
      </c>
      <c r="K131" s="16" t="s">
        <v>1175</v>
      </c>
      <c r="L131" s="16" t="s">
        <v>1176</v>
      </c>
      <c r="M131" s="16" t="n">
        <v>341.67</v>
      </c>
      <c r="N131" s="16" t="n">
        <v>0.8</v>
      </c>
      <c r="O131" s="16" t="n">
        <v>0</v>
      </c>
      <c r="P131" s="16" t="s">
        <v>1177</v>
      </c>
      <c r="Q131" s="16" t="s">
        <v>1178</v>
      </c>
      <c r="R131" s="16" t="s">
        <v>1179</v>
      </c>
      <c r="S131" s="16" t="s">
        <v>1180</v>
      </c>
      <c r="T131" s="16" t="s">
        <v>61</v>
      </c>
      <c r="U131" s="16" t="s">
        <v>325</v>
      </c>
    </row>
    <row r="132" customFormat="false" ht="18" hidden="false" customHeight="true" outlineLevel="0" collapsed="false">
      <c r="A132" s="13" t="n">
        <v>131</v>
      </c>
      <c r="B132" s="13" t="s">
        <v>1181</v>
      </c>
      <c r="C132" s="13" t="s">
        <v>255</v>
      </c>
      <c r="D132" s="13" t="s">
        <v>256</v>
      </c>
      <c r="E132" s="13" t="s">
        <v>161</v>
      </c>
      <c r="F132" s="13" t="s">
        <v>306</v>
      </c>
      <c r="G132" s="13" t="s">
        <v>285</v>
      </c>
      <c r="H132" s="13" t="s">
        <v>1182</v>
      </c>
      <c r="I132" s="13" t="s">
        <v>1183</v>
      </c>
      <c r="J132" s="13" t="s">
        <v>1184</v>
      </c>
      <c r="K132" s="13" t="s">
        <v>1185</v>
      </c>
      <c r="L132" s="13" t="s">
        <v>1186</v>
      </c>
      <c r="M132" s="13" t="n">
        <v>198.8</v>
      </c>
      <c r="N132" s="13" t="n">
        <v>0.4</v>
      </c>
      <c r="O132" s="13" t="n">
        <v>171</v>
      </c>
      <c r="P132" s="13" t="s">
        <v>1187</v>
      </c>
      <c r="Q132" s="13" t="s">
        <v>1188</v>
      </c>
      <c r="R132" s="13" t="s">
        <v>788</v>
      </c>
      <c r="S132" s="13" t="s">
        <v>788</v>
      </c>
      <c r="T132" s="13" t="s">
        <v>61</v>
      </c>
      <c r="U132" s="13"/>
    </row>
    <row r="133" customFormat="false" ht="18" hidden="false" customHeight="true" outlineLevel="0" collapsed="false">
      <c r="A133" s="13" t="n">
        <v>132</v>
      </c>
      <c r="B133" s="13" t="s">
        <v>1189</v>
      </c>
      <c r="C133" s="13" t="s">
        <v>77</v>
      </c>
      <c r="D133" s="13" t="s">
        <v>78</v>
      </c>
      <c r="E133" s="13" t="s">
        <v>50</v>
      </c>
      <c r="F133" s="13" t="s">
        <v>138</v>
      </c>
      <c r="G133" s="13" t="s">
        <v>808</v>
      </c>
      <c r="H133" s="13" t="s">
        <v>1190</v>
      </c>
      <c r="I133" s="13" t="s">
        <v>1191</v>
      </c>
      <c r="J133" s="13" t="s">
        <v>1192</v>
      </c>
      <c r="K133" s="13" t="s">
        <v>1193</v>
      </c>
      <c r="L133" s="13" t="s">
        <v>813</v>
      </c>
      <c r="M133" s="13" t="n">
        <v>274.56</v>
      </c>
      <c r="N133" s="13" t="n">
        <v>0.33</v>
      </c>
      <c r="O133" s="13" t="n">
        <v>127</v>
      </c>
      <c r="P133" s="13" t="s">
        <v>814</v>
      </c>
      <c r="Q133" s="13" t="s">
        <v>1194</v>
      </c>
      <c r="R133" s="13" t="s">
        <v>1195</v>
      </c>
      <c r="S133" s="13" t="s">
        <v>1195</v>
      </c>
      <c r="T133" s="13" t="s">
        <v>61</v>
      </c>
      <c r="U133" s="13"/>
    </row>
    <row r="134" customFormat="false" ht="18" hidden="false" customHeight="true" outlineLevel="0" collapsed="false">
      <c r="A134" s="13" t="n">
        <v>133</v>
      </c>
      <c r="B134" s="13" t="s">
        <v>1196</v>
      </c>
      <c r="C134" s="13" t="s">
        <v>125</v>
      </c>
      <c r="D134" s="13" t="s">
        <v>126</v>
      </c>
      <c r="E134" s="13" t="s">
        <v>79</v>
      </c>
      <c r="F134" s="13" t="s">
        <v>51</v>
      </c>
      <c r="G134" s="13" t="s">
        <v>80</v>
      </c>
      <c r="H134" s="13" t="s">
        <v>1197</v>
      </c>
      <c r="I134" s="13" t="s">
        <v>1198</v>
      </c>
      <c r="J134" s="13" t="s">
        <v>1199</v>
      </c>
      <c r="K134" s="13" t="s">
        <v>1200</v>
      </c>
      <c r="L134" s="13" t="s">
        <v>835</v>
      </c>
      <c r="M134" s="13" t="n">
        <v>2493.34</v>
      </c>
      <c r="N134" s="13" t="n">
        <v>2.52</v>
      </c>
      <c r="O134" s="13" t="n">
        <v>249</v>
      </c>
      <c r="P134" s="13" t="s">
        <v>836</v>
      </c>
      <c r="Q134" s="13" t="s">
        <v>1201</v>
      </c>
      <c r="R134" s="13" t="s">
        <v>1202</v>
      </c>
      <c r="S134" s="13" t="s">
        <v>1202</v>
      </c>
      <c r="T134" s="13" t="s">
        <v>61</v>
      </c>
      <c r="U134" s="13"/>
    </row>
    <row r="135" customFormat="false" ht="18" hidden="false" customHeight="true" outlineLevel="0" collapsed="false">
      <c r="A135" s="13" t="n">
        <v>134</v>
      </c>
      <c r="B135" s="13" t="s">
        <v>1203</v>
      </c>
      <c r="C135" s="13" t="s">
        <v>125</v>
      </c>
      <c r="D135" s="13" t="s">
        <v>126</v>
      </c>
      <c r="E135" s="13" t="s">
        <v>79</v>
      </c>
      <c r="F135" s="13" t="s">
        <v>127</v>
      </c>
      <c r="G135" s="13" t="s">
        <v>562</v>
      </c>
      <c r="H135" s="13" t="s">
        <v>1204</v>
      </c>
      <c r="I135" s="13" t="s">
        <v>1205</v>
      </c>
      <c r="J135" s="13" t="s">
        <v>1206</v>
      </c>
      <c r="K135" s="13" t="s">
        <v>1207</v>
      </c>
      <c r="L135" s="13" t="s">
        <v>1208</v>
      </c>
      <c r="M135" s="13" t="n">
        <v>1788.6</v>
      </c>
      <c r="N135" s="13" t="n">
        <v>1.6</v>
      </c>
      <c r="O135" s="13" t="n">
        <v>177</v>
      </c>
      <c r="P135" s="13" t="s">
        <v>1209</v>
      </c>
      <c r="Q135" s="13" t="s">
        <v>1210</v>
      </c>
      <c r="R135" s="13" t="s">
        <v>1211</v>
      </c>
      <c r="S135" s="13" t="s">
        <v>1211</v>
      </c>
      <c r="T135" s="13" t="s">
        <v>61</v>
      </c>
      <c r="U135" s="13"/>
    </row>
    <row r="136" customFormat="false" ht="18" hidden="false" customHeight="true" outlineLevel="0" collapsed="false">
      <c r="A136" s="13" t="n">
        <v>135</v>
      </c>
      <c r="B136" s="13" t="s">
        <v>1212</v>
      </c>
      <c r="C136" s="13" t="s">
        <v>48</v>
      </c>
      <c r="D136" s="13" t="s">
        <v>49</v>
      </c>
      <c r="E136" s="13" t="s">
        <v>50</v>
      </c>
      <c r="F136" s="13" t="s">
        <v>115</v>
      </c>
      <c r="G136" s="13" t="s">
        <v>52</v>
      </c>
      <c r="H136" s="13" t="s">
        <v>1213</v>
      </c>
      <c r="I136" s="13" t="s">
        <v>1214</v>
      </c>
      <c r="J136" s="13" t="s">
        <v>1215</v>
      </c>
      <c r="K136" s="13" t="s">
        <v>1216</v>
      </c>
      <c r="L136" s="13" t="s">
        <v>120</v>
      </c>
      <c r="M136" s="13" t="n">
        <v>377.4</v>
      </c>
      <c r="N136" s="13" t="n">
        <v>0.87</v>
      </c>
      <c r="O136" s="13" t="n">
        <v>246</v>
      </c>
      <c r="P136" s="13" t="s">
        <v>121</v>
      </c>
      <c r="Q136" s="13" t="s">
        <v>1217</v>
      </c>
      <c r="R136" s="13" t="s">
        <v>1179</v>
      </c>
      <c r="S136" s="13" t="s">
        <v>1179</v>
      </c>
      <c r="T136" s="13" t="s">
        <v>61</v>
      </c>
      <c r="U136" s="13"/>
    </row>
    <row r="137" customFormat="false" ht="18" hidden="false" customHeight="true" outlineLevel="0" collapsed="false">
      <c r="A137" s="13" t="n">
        <v>136</v>
      </c>
      <c r="B137" s="13" t="s">
        <v>1218</v>
      </c>
      <c r="C137" s="13" t="s">
        <v>125</v>
      </c>
      <c r="D137" s="13" t="s">
        <v>126</v>
      </c>
      <c r="E137" s="13" t="s">
        <v>65</v>
      </c>
      <c r="F137" s="13" t="s">
        <v>115</v>
      </c>
      <c r="G137" s="13" t="s">
        <v>274</v>
      </c>
      <c r="H137" s="13" t="s">
        <v>1219</v>
      </c>
      <c r="I137" s="13" t="s">
        <v>1220</v>
      </c>
      <c r="J137" s="13" t="s">
        <v>1221</v>
      </c>
      <c r="K137" s="13" t="s">
        <v>496</v>
      </c>
      <c r="L137" s="13" t="s">
        <v>497</v>
      </c>
      <c r="M137" s="13" t="n">
        <v>387.12</v>
      </c>
      <c r="N137" s="13" t="n">
        <v>0.8</v>
      </c>
      <c r="O137" s="13" t="n">
        <v>445</v>
      </c>
      <c r="P137" s="13" t="s">
        <v>498</v>
      </c>
      <c r="Q137" s="13" t="s">
        <v>379</v>
      </c>
      <c r="R137" s="13" t="s">
        <v>1222</v>
      </c>
      <c r="S137" s="13" t="s">
        <v>1222</v>
      </c>
      <c r="T137" s="13" t="s">
        <v>61</v>
      </c>
      <c r="U137" s="13"/>
    </row>
    <row r="138" customFormat="false" ht="18" hidden="false" customHeight="true" outlineLevel="0" collapsed="false">
      <c r="A138" s="13" t="n">
        <v>137</v>
      </c>
      <c r="B138" s="13" t="s">
        <v>1223</v>
      </c>
      <c r="C138" s="13" t="s">
        <v>159</v>
      </c>
      <c r="D138" s="13" t="s">
        <v>160</v>
      </c>
      <c r="E138" s="13" t="s">
        <v>91</v>
      </c>
      <c r="F138" s="13" t="s">
        <v>92</v>
      </c>
      <c r="G138" s="13" t="s">
        <v>420</v>
      </c>
      <c r="H138" s="13" t="s">
        <v>1224</v>
      </c>
      <c r="I138" s="13" t="s">
        <v>1225</v>
      </c>
      <c r="J138" s="13" t="s">
        <v>1226</v>
      </c>
      <c r="K138" s="13" t="s">
        <v>1227</v>
      </c>
      <c r="L138" s="13" t="s">
        <v>1228</v>
      </c>
      <c r="M138" s="13" t="n">
        <v>2853.27</v>
      </c>
      <c r="N138" s="13" t="n">
        <v>28.04</v>
      </c>
      <c r="O138" s="13" t="n">
        <v>16</v>
      </c>
      <c r="P138" s="13" t="s">
        <v>1229</v>
      </c>
      <c r="Q138" s="13" t="s">
        <v>1230</v>
      </c>
      <c r="R138" s="13" t="s">
        <v>194</v>
      </c>
      <c r="S138" s="13" t="s">
        <v>194</v>
      </c>
      <c r="T138" s="13" t="s">
        <v>61</v>
      </c>
      <c r="U138" s="13"/>
    </row>
    <row r="139" customFormat="false" ht="18" hidden="false" customHeight="true" outlineLevel="0" collapsed="false">
      <c r="A139" s="13" t="n">
        <v>138</v>
      </c>
      <c r="B139" s="13" t="s">
        <v>1231</v>
      </c>
      <c r="C139" s="13" t="s">
        <v>77</v>
      </c>
      <c r="D139" s="13" t="s">
        <v>78</v>
      </c>
      <c r="E139" s="13" t="s">
        <v>65</v>
      </c>
      <c r="F139" s="13" t="s">
        <v>438</v>
      </c>
      <c r="G139" s="13" t="s">
        <v>274</v>
      </c>
      <c r="H139" s="13" t="s">
        <v>1232</v>
      </c>
      <c r="I139" s="13" t="s">
        <v>1233</v>
      </c>
      <c r="J139" s="13" t="s">
        <v>1234</v>
      </c>
      <c r="K139" s="13" t="s">
        <v>442</v>
      </c>
      <c r="L139" s="13" t="s">
        <v>443</v>
      </c>
      <c r="M139" s="13" t="n">
        <v>375.19</v>
      </c>
      <c r="N139" s="13" t="n">
        <v>0.57</v>
      </c>
      <c r="O139" s="13" t="n">
        <v>476</v>
      </c>
      <c r="P139" s="13" t="s">
        <v>444</v>
      </c>
      <c r="Q139" s="13" t="s">
        <v>1235</v>
      </c>
      <c r="R139" s="13" t="s">
        <v>1236</v>
      </c>
      <c r="S139" s="13" t="s">
        <v>1236</v>
      </c>
      <c r="T139" s="13" t="s">
        <v>61</v>
      </c>
      <c r="U139" s="13"/>
    </row>
    <row r="140" customFormat="false" ht="18" hidden="false" customHeight="true" outlineLevel="0" collapsed="false">
      <c r="A140" s="14" t="n">
        <v>139</v>
      </c>
      <c r="B140" s="14" t="s">
        <v>1237</v>
      </c>
      <c r="C140" s="14" t="s">
        <v>77</v>
      </c>
      <c r="D140" s="14" t="s">
        <v>78</v>
      </c>
      <c r="E140" s="14" t="s">
        <v>161</v>
      </c>
      <c r="F140" s="14" t="s">
        <v>51</v>
      </c>
      <c r="G140" s="14" t="s">
        <v>163</v>
      </c>
      <c r="H140" s="14" t="s">
        <v>1238</v>
      </c>
      <c r="I140" s="14" t="s">
        <v>1239</v>
      </c>
      <c r="J140" s="14" t="s">
        <v>1240</v>
      </c>
      <c r="K140" s="14"/>
      <c r="L140" s="14" t="s">
        <v>1241</v>
      </c>
      <c r="M140" s="14" t="n">
        <v>525.91</v>
      </c>
      <c r="N140" s="14" t="n">
        <v>0.27</v>
      </c>
      <c r="O140" s="14" t="n">
        <v>225</v>
      </c>
      <c r="P140" s="14" t="s">
        <v>1242</v>
      </c>
      <c r="Q140" s="14" t="s">
        <v>1243</v>
      </c>
      <c r="R140" s="14" t="s">
        <v>1244</v>
      </c>
      <c r="S140" s="14" t="s">
        <v>1244</v>
      </c>
      <c r="T140" s="14" t="s">
        <v>61</v>
      </c>
      <c r="U140" s="14" t="s">
        <v>1048</v>
      </c>
    </row>
    <row r="141" customFormat="false" ht="18" hidden="false" customHeight="true" outlineLevel="0" collapsed="false">
      <c r="A141" s="13" t="n">
        <v>140</v>
      </c>
      <c r="B141" s="13" t="s">
        <v>1245</v>
      </c>
      <c r="C141" s="13" t="s">
        <v>77</v>
      </c>
      <c r="D141" s="13" t="s">
        <v>78</v>
      </c>
      <c r="E141" s="13" t="s">
        <v>79</v>
      </c>
      <c r="F141" s="13" t="s">
        <v>956</v>
      </c>
      <c r="G141" s="13" t="s">
        <v>514</v>
      </c>
      <c r="H141" s="13" t="s">
        <v>1246</v>
      </c>
      <c r="I141" s="13" t="s">
        <v>1247</v>
      </c>
      <c r="J141" s="13" t="s">
        <v>1248</v>
      </c>
      <c r="K141" s="13" t="s">
        <v>1249</v>
      </c>
      <c r="L141" s="13" t="s">
        <v>1250</v>
      </c>
      <c r="M141" s="13" t="n">
        <v>2220.7</v>
      </c>
      <c r="N141" s="13" t="n">
        <v>2.61</v>
      </c>
      <c r="O141" s="13" t="n">
        <v>449</v>
      </c>
      <c r="P141" s="13" t="s">
        <v>1251</v>
      </c>
      <c r="Q141" s="13" t="s">
        <v>1252</v>
      </c>
      <c r="R141" s="13" t="s">
        <v>1236</v>
      </c>
      <c r="S141" s="13" t="s">
        <v>1236</v>
      </c>
      <c r="T141" s="13" t="s">
        <v>61</v>
      </c>
      <c r="U141" s="13"/>
    </row>
    <row r="142" customFormat="false" ht="18" hidden="false" customHeight="true" outlineLevel="0" collapsed="false">
      <c r="A142" s="15" t="n">
        <v>141</v>
      </c>
      <c r="B142" s="15" t="s">
        <v>1253</v>
      </c>
      <c r="C142" s="15" t="s">
        <v>77</v>
      </c>
      <c r="D142" s="15" t="s">
        <v>78</v>
      </c>
      <c r="E142" s="15" t="s">
        <v>161</v>
      </c>
      <c r="F142" s="15" t="s">
        <v>115</v>
      </c>
      <c r="G142" s="15" t="s">
        <v>372</v>
      </c>
      <c r="H142" s="15" t="s">
        <v>1254</v>
      </c>
      <c r="I142" s="15" t="s">
        <v>1255</v>
      </c>
      <c r="J142" s="15" t="s">
        <v>1256</v>
      </c>
      <c r="K142" s="15" t="s">
        <v>1257</v>
      </c>
      <c r="L142" s="15" t="s">
        <v>1258</v>
      </c>
      <c r="M142" s="15" t="n">
        <v>187.24</v>
      </c>
      <c r="N142" s="15" t="n">
        <v>1.36</v>
      </c>
      <c r="O142" s="15" t="n">
        <v>95</v>
      </c>
      <c r="P142" s="15" t="s">
        <v>1259</v>
      </c>
      <c r="Q142" s="15" t="s">
        <v>110</v>
      </c>
      <c r="R142" s="15" t="s">
        <v>1260</v>
      </c>
      <c r="S142" s="15" t="s">
        <v>1260</v>
      </c>
      <c r="T142" s="15" t="s">
        <v>61</v>
      </c>
      <c r="U142" s="15" t="s">
        <v>453</v>
      </c>
    </row>
    <row r="143" customFormat="false" ht="18" hidden="false" customHeight="true" outlineLevel="0" collapsed="false">
      <c r="A143" s="13" t="n">
        <v>142</v>
      </c>
      <c r="B143" s="13" t="s">
        <v>1261</v>
      </c>
      <c r="C143" s="13" t="s">
        <v>113</v>
      </c>
      <c r="D143" s="13" t="s">
        <v>114</v>
      </c>
      <c r="E143" s="13" t="s">
        <v>50</v>
      </c>
      <c r="F143" s="13" t="s">
        <v>503</v>
      </c>
      <c r="G143" s="13" t="s">
        <v>352</v>
      </c>
      <c r="H143" s="13" t="s">
        <v>1262</v>
      </c>
      <c r="I143" s="13" t="s">
        <v>1263</v>
      </c>
      <c r="J143" s="13" t="s">
        <v>1264</v>
      </c>
      <c r="K143" s="13" t="s">
        <v>1265</v>
      </c>
      <c r="L143" s="13" t="s">
        <v>508</v>
      </c>
      <c r="M143" s="13" t="n">
        <v>1287.42</v>
      </c>
      <c r="N143" s="13" t="n">
        <v>0.38</v>
      </c>
      <c r="O143" s="13" t="n">
        <v>443</v>
      </c>
      <c r="P143" s="13" t="s">
        <v>509</v>
      </c>
      <c r="Q143" s="13" t="s">
        <v>1266</v>
      </c>
      <c r="R143" s="13" t="s">
        <v>1267</v>
      </c>
      <c r="S143" s="13" t="s">
        <v>1267</v>
      </c>
      <c r="T143" s="13" t="s">
        <v>61</v>
      </c>
      <c r="U143" s="13"/>
    </row>
    <row r="144" customFormat="false" ht="18" hidden="false" customHeight="true" outlineLevel="0" collapsed="false">
      <c r="A144" s="15" t="n">
        <v>143</v>
      </c>
      <c r="B144" s="15" t="s">
        <v>1268</v>
      </c>
      <c r="C144" s="15" t="s">
        <v>63</v>
      </c>
      <c r="D144" s="15" t="s">
        <v>64</v>
      </c>
      <c r="E144" s="15" t="s">
        <v>161</v>
      </c>
      <c r="F144" s="15" t="s">
        <v>306</v>
      </c>
      <c r="G144" s="15" t="s">
        <v>334</v>
      </c>
      <c r="H144" s="15" t="s">
        <v>1269</v>
      </c>
      <c r="I144" s="15" t="s">
        <v>1270</v>
      </c>
      <c r="J144" s="15" t="s">
        <v>1271</v>
      </c>
      <c r="K144" s="15" t="s">
        <v>1272</v>
      </c>
      <c r="L144" s="15" t="s">
        <v>1122</v>
      </c>
      <c r="M144" s="15" t="n">
        <v>539.19</v>
      </c>
      <c r="N144" s="15" t="n">
        <v>0.28</v>
      </c>
      <c r="O144" s="15" t="n">
        <v>423</v>
      </c>
      <c r="P144" s="15" t="s">
        <v>1123</v>
      </c>
      <c r="Q144" s="15" t="s">
        <v>1273</v>
      </c>
      <c r="R144" s="15" t="s">
        <v>1274</v>
      </c>
      <c r="S144" s="15" t="s">
        <v>1274</v>
      </c>
      <c r="T144" s="15" t="s">
        <v>61</v>
      </c>
      <c r="U144" s="15" t="s">
        <v>778</v>
      </c>
    </row>
    <row r="145" customFormat="false" ht="18" hidden="false" customHeight="true" outlineLevel="0" collapsed="false">
      <c r="A145" s="13" t="n">
        <v>144</v>
      </c>
      <c r="B145" s="13" t="s">
        <v>1275</v>
      </c>
      <c r="C145" s="13" t="s">
        <v>63</v>
      </c>
      <c r="D145" s="13" t="s">
        <v>64</v>
      </c>
      <c r="E145" s="13" t="s">
        <v>50</v>
      </c>
      <c r="F145" s="13" t="s">
        <v>115</v>
      </c>
      <c r="G145" s="13" t="s">
        <v>352</v>
      </c>
      <c r="H145" s="13" t="s">
        <v>1276</v>
      </c>
      <c r="I145" s="13" t="s">
        <v>1277</v>
      </c>
      <c r="J145" s="13" t="s">
        <v>1278</v>
      </c>
      <c r="K145" s="13" t="s">
        <v>1279</v>
      </c>
      <c r="L145" s="13" t="s">
        <v>1280</v>
      </c>
      <c r="M145" s="13" t="n">
        <v>1280.41</v>
      </c>
      <c r="N145" s="13" t="n">
        <v>0.32</v>
      </c>
      <c r="O145" s="13" t="n">
        <v>198</v>
      </c>
      <c r="P145" s="13" t="s">
        <v>1281</v>
      </c>
      <c r="Q145" s="13" t="s">
        <v>1282</v>
      </c>
      <c r="R145" s="13" t="s">
        <v>1283</v>
      </c>
      <c r="S145" s="13" t="s">
        <v>1283</v>
      </c>
      <c r="T145" s="13" t="s">
        <v>61</v>
      </c>
      <c r="U145" s="13"/>
    </row>
    <row r="146" customFormat="false" ht="18" hidden="false" customHeight="true" outlineLevel="0" collapsed="false">
      <c r="A146" s="15" t="n">
        <v>145</v>
      </c>
      <c r="B146" s="15" t="s">
        <v>1284</v>
      </c>
      <c r="C146" s="15" t="s">
        <v>159</v>
      </c>
      <c r="D146" s="15" t="s">
        <v>160</v>
      </c>
      <c r="E146" s="15" t="s">
        <v>79</v>
      </c>
      <c r="F146" s="15" t="s">
        <v>956</v>
      </c>
      <c r="G146" s="15" t="s">
        <v>562</v>
      </c>
      <c r="H146" s="15" t="s">
        <v>1285</v>
      </c>
      <c r="I146" s="15" t="s">
        <v>1286</v>
      </c>
      <c r="J146" s="15" t="s">
        <v>1287</v>
      </c>
      <c r="K146" s="15" t="s">
        <v>1288</v>
      </c>
      <c r="L146" s="15" t="s">
        <v>1289</v>
      </c>
      <c r="M146" s="15" t="n">
        <v>18339.38</v>
      </c>
      <c r="N146" s="15" t="n">
        <v>1.32</v>
      </c>
      <c r="O146" s="15" t="n">
        <v>303</v>
      </c>
      <c r="P146" s="15" t="s">
        <v>1290</v>
      </c>
      <c r="Q146" s="15" t="s">
        <v>1291</v>
      </c>
      <c r="R146" s="15" t="s">
        <v>1292</v>
      </c>
      <c r="S146" s="15" t="s">
        <v>1292</v>
      </c>
      <c r="T146" s="15" t="s">
        <v>61</v>
      </c>
      <c r="U146" s="15" t="s">
        <v>343</v>
      </c>
    </row>
    <row r="147" customFormat="false" ht="18" hidden="false" customHeight="true" outlineLevel="0" collapsed="false">
      <c r="A147" s="13" t="n">
        <v>146</v>
      </c>
      <c r="B147" s="13" t="s">
        <v>1293</v>
      </c>
      <c r="C147" s="13" t="s">
        <v>48</v>
      </c>
      <c r="D147" s="13" t="s">
        <v>49</v>
      </c>
      <c r="E147" s="13" t="s">
        <v>50</v>
      </c>
      <c r="F147" s="13" t="s">
        <v>503</v>
      </c>
      <c r="G147" s="13" t="s">
        <v>689</v>
      </c>
      <c r="H147" s="13" t="s">
        <v>1294</v>
      </c>
      <c r="I147" s="13" t="s">
        <v>1295</v>
      </c>
      <c r="J147" s="13" t="s">
        <v>1296</v>
      </c>
      <c r="K147" s="13" t="s">
        <v>1297</v>
      </c>
      <c r="L147" s="13" t="s">
        <v>1298</v>
      </c>
      <c r="M147" s="13" t="n">
        <v>670.25</v>
      </c>
      <c r="N147" s="13" t="n">
        <v>0.32</v>
      </c>
      <c r="O147" s="13" t="n">
        <v>26</v>
      </c>
      <c r="P147" s="13" t="s">
        <v>1299</v>
      </c>
      <c r="Q147" s="13" t="s">
        <v>1300</v>
      </c>
      <c r="R147" s="13" t="s">
        <v>1301</v>
      </c>
      <c r="S147" s="13" t="s">
        <v>1301</v>
      </c>
      <c r="T147" s="13" t="s">
        <v>61</v>
      </c>
      <c r="U147" s="13"/>
    </row>
    <row r="148" customFormat="false" ht="18" hidden="false" customHeight="true" outlineLevel="0" collapsed="false">
      <c r="A148" s="13" t="n">
        <v>147</v>
      </c>
      <c r="B148" s="13" t="s">
        <v>1302</v>
      </c>
      <c r="C148" s="13" t="s">
        <v>159</v>
      </c>
      <c r="D148" s="13" t="s">
        <v>160</v>
      </c>
      <c r="E148" s="13" t="s">
        <v>161</v>
      </c>
      <c r="F148" s="13" t="s">
        <v>185</v>
      </c>
      <c r="G148" s="13" t="s">
        <v>207</v>
      </c>
      <c r="H148" s="13" t="s">
        <v>1303</v>
      </c>
      <c r="I148" s="13" t="s">
        <v>1304</v>
      </c>
      <c r="J148" s="13" t="s">
        <v>1305</v>
      </c>
      <c r="K148" s="13" t="s">
        <v>1306</v>
      </c>
      <c r="L148" s="13" t="s">
        <v>1307</v>
      </c>
      <c r="M148" s="13" t="n">
        <v>146.5</v>
      </c>
      <c r="N148" s="13" t="n">
        <v>0.25</v>
      </c>
      <c r="O148" s="13" t="n">
        <v>452</v>
      </c>
      <c r="P148" s="13" t="s">
        <v>1308</v>
      </c>
      <c r="Q148" s="13" t="s">
        <v>661</v>
      </c>
      <c r="R148" s="13" t="s">
        <v>888</v>
      </c>
      <c r="S148" s="13" t="s">
        <v>888</v>
      </c>
      <c r="T148" s="13" t="s">
        <v>61</v>
      </c>
      <c r="U148" s="13"/>
    </row>
    <row r="149" customFormat="false" ht="18" hidden="false" customHeight="true" outlineLevel="0" collapsed="false">
      <c r="A149" s="13" t="n">
        <v>148</v>
      </c>
      <c r="B149" s="13" t="s">
        <v>1309</v>
      </c>
      <c r="C149" s="13" t="s">
        <v>113</v>
      </c>
      <c r="D149" s="13" t="s">
        <v>114</v>
      </c>
      <c r="E149" s="13" t="s">
        <v>91</v>
      </c>
      <c r="F149" s="13" t="s">
        <v>780</v>
      </c>
      <c r="G149" s="13" t="s">
        <v>186</v>
      </c>
      <c r="H149" s="13" t="s">
        <v>1310</v>
      </c>
      <c r="I149" s="13" t="s">
        <v>1311</v>
      </c>
      <c r="J149" s="13" t="s">
        <v>1312</v>
      </c>
      <c r="K149" s="13" t="s">
        <v>1313</v>
      </c>
      <c r="L149" s="13" t="s">
        <v>1163</v>
      </c>
      <c r="M149" s="13" t="n">
        <v>864.74</v>
      </c>
      <c r="N149" s="13" t="n">
        <v>21.51</v>
      </c>
      <c r="O149" s="13" t="n">
        <v>445</v>
      </c>
      <c r="P149" s="13" t="s">
        <v>1164</v>
      </c>
      <c r="Q149" s="13" t="s">
        <v>1314</v>
      </c>
      <c r="R149" s="13" t="s">
        <v>541</v>
      </c>
      <c r="S149" s="13" t="s">
        <v>541</v>
      </c>
      <c r="T149" s="13" t="s">
        <v>61</v>
      </c>
      <c r="U149" s="13"/>
    </row>
    <row r="150" customFormat="false" ht="18" hidden="false" customHeight="true" outlineLevel="0" collapsed="false">
      <c r="A150" s="13" t="n">
        <v>149</v>
      </c>
      <c r="B150" s="13" t="s">
        <v>1315</v>
      </c>
      <c r="C150" s="13" t="s">
        <v>255</v>
      </c>
      <c r="D150" s="13" t="s">
        <v>256</v>
      </c>
      <c r="E150" s="13" t="s">
        <v>161</v>
      </c>
      <c r="F150" s="13" t="s">
        <v>429</v>
      </c>
      <c r="G150" s="13" t="s">
        <v>175</v>
      </c>
      <c r="H150" s="13" t="s">
        <v>1316</v>
      </c>
      <c r="I150" s="13" t="s">
        <v>1317</v>
      </c>
      <c r="J150" s="13" t="s">
        <v>1318</v>
      </c>
      <c r="K150" s="13" t="s">
        <v>458</v>
      </c>
      <c r="L150" s="13" t="s">
        <v>459</v>
      </c>
      <c r="M150" s="13" t="n">
        <v>262.85</v>
      </c>
      <c r="N150" s="13" t="n">
        <v>0.31</v>
      </c>
      <c r="O150" s="13" t="n">
        <v>201</v>
      </c>
      <c r="P150" s="13" t="s">
        <v>460</v>
      </c>
      <c r="Q150" s="13" t="s">
        <v>1319</v>
      </c>
      <c r="R150" s="13" t="s">
        <v>731</v>
      </c>
      <c r="S150" s="13" t="s">
        <v>731</v>
      </c>
      <c r="T150" s="13" t="s">
        <v>61</v>
      </c>
      <c r="U150" s="13"/>
    </row>
    <row r="151" customFormat="false" ht="18" hidden="false" customHeight="true" outlineLevel="0" collapsed="false">
      <c r="A151" s="13" t="n">
        <v>150</v>
      </c>
      <c r="B151" s="13" t="s">
        <v>1320</v>
      </c>
      <c r="C151" s="13" t="s">
        <v>48</v>
      </c>
      <c r="D151" s="13" t="s">
        <v>49</v>
      </c>
      <c r="E151" s="13" t="s">
        <v>79</v>
      </c>
      <c r="F151" s="13" t="s">
        <v>465</v>
      </c>
      <c r="G151" s="13" t="s">
        <v>760</v>
      </c>
      <c r="H151" s="13" t="s">
        <v>1321</v>
      </c>
      <c r="I151" s="13" t="s">
        <v>1322</v>
      </c>
      <c r="J151" s="13" t="s">
        <v>1323</v>
      </c>
      <c r="K151" s="13" t="s">
        <v>1324</v>
      </c>
      <c r="L151" s="13" t="s">
        <v>765</v>
      </c>
      <c r="M151" s="13" t="n">
        <v>1612.56</v>
      </c>
      <c r="N151" s="13" t="n">
        <v>2.26</v>
      </c>
      <c r="O151" s="13" t="n">
        <v>499</v>
      </c>
      <c r="P151" s="13" t="s">
        <v>766</v>
      </c>
      <c r="Q151" s="13" t="s">
        <v>1325</v>
      </c>
      <c r="R151" s="13" t="s">
        <v>157</v>
      </c>
      <c r="S151" s="13" t="s">
        <v>157</v>
      </c>
      <c r="T151" s="13" t="s">
        <v>61</v>
      </c>
      <c r="U151" s="13"/>
    </row>
    <row r="152" customFormat="false" ht="18" hidden="false" customHeight="true" outlineLevel="0" collapsed="false">
      <c r="A152" s="13" t="n">
        <v>151</v>
      </c>
      <c r="B152" s="13" t="s">
        <v>1326</v>
      </c>
      <c r="C152" s="13" t="s">
        <v>173</v>
      </c>
      <c r="D152" s="13" t="s">
        <v>174</v>
      </c>
      <c r="E152" s="13" t="s">
        <v>79</v>
      </c>
      <c r="F152" s="13" t="s">
        <v>513</v>
      </c>
      <c r="G152" s="13" t="s">
        <v>760</v>
      </c>
      <c r="H152" s="13" t="s">
        <v>1327</v>
      </c>
      <c r="I152" s="13" t="s">
        <v>1328</v>
      </c>
      <c r="J152" s="13" t="s">
        <v>1329</v>
      </c>
      <c r="K152" s="13" t="s">
        <v>1330</v>
      </c>
      <c r="L152" s="13" t="s">
        <v>1331</v>
      </c>
      <c r="M152" s="13" t="n">
        <v>2142.16</v>
      </c>
      <c r="N152" s="13" t="n">
        <v>1.39</v>
      </c>
      <c r="O152" s="13" t="n">
        <v>364</v>
      </c>
      <c r="P152" s="13" t="s">
        <v>1332</v>
      </c>
      <c r="Q152" s="13" t="s">
        <v>1333</v>
      </c>
      <c r="R152" s="13" t="s">
        <v>1334</v>
      </c>
      <c r="S152" s="13" t="s">
        <v>1334</v>
      </c>
      <c r="T152" s="13" t="s">
        <v>61</v>
      </c>
      <c r="U152" s="13"/>
    </row>
    <row r="153" customFormat="false" ht="18" hidden="false" customHeight="true" outlineLevel="0" collapsed="false">
      <c r="A153" s="13" t="n">
        <v>152</v>
      </c>
      <c r="B153" s="13" t="s">
        <v>1335</v>
      </c>
      <c r="C153" s="13" t="s">
        <v>159</v>
      </c>
      <c r="D153" s="13" t="s">
        <v>160</v>
      </c>
      <c r="E153" s="13" t="s">
        <v>50</v>
      </c>
      <c r="F153" s="13" t="s">
        <v>503</v>
      </c>
      <c r="G153" s="13" t="s">
        <v>808</v>
      </c>
      <c r="H153" s="13" t="s">
        <v>1336</v>
      </c>
      <c r="I153" s="13" t="s">
        <v>1337</v>
      </c>
      <c r="J153" s="13" t="s">
        <v>1338</v>
      </c>
      <c r="K153" s="13" t="s">
        <v>1339</v>
      </c>
      <c r="L153" s="13" t="s">
        <v>1340</v>
      </c>
      <c r="M153" s="13" t="n">
        <v>301.38</v>
      </c>
      <c r="N153" s="13" t="n">
        <v>0.41</v>
      </c>
      <c r="O153" s="13" t="n">
        <v>229</v>
      </c>
      <c r="P153" s="13" t="s">
        <v>1341</v>
      </c>
      <c r="Q153" s="13" t="s">
        <v>1342</v>
      </c>
      <c r="R153" s="13" t="s">
        <v>1343</v>
      </c>
      <c r="S153" s="13" t="s">
        <v>1343</v>
      </c>
      <c r="T153" s="13" t="s">
        <v>61</v>
      </c>
      <c r="U153" s="13"/>
    </row>
    <row r="154" customFormat="false" ht="18" hidden="false" customHeight="true" outlineLevel="0" collapsed="false">
      <c r="A154" s="13" t="n">
        <v>153</v>
      </c>
      <c r="B154" s="13" t="s">
        <v>1344</v>
      </c>
      <c r="C154" s="13" t="s">
        <v>48</v>
      </c>
      <c r="D154" s="13" t="s">
        <v>49</v>
      </c>
      <c r="E154" s="13" t="s">
        <v>91</v>
      </c>
      <c r="F154" s="13" t="s">
        <v>92</v>
      </c>
      <c r="G154" s="13" t="s">
        <v>743</v>
      </c>
      <c r="H154" s="13" t="s">
        <v>1345</v>
      </c>
      <c r="I154" s="13" t="s">
        <v>1346</v>
      </c>
      <c r="J154" s="13" t="s">
        <v>1347</v>
      </c>
      <c r="K154" s="13" t="s">
        <v>1348</v>
      </c>
      <c r="L154" s="13" t="s">
        <v>1349</v>
      </c>
      <c r="M154" s="13" t="n">
        <v>3837.4</v>
      </c>
      <c r="N154" s="13" t="n">
        <v>37.41</v>
      </c>
      <c r="O154" s="13" t="n">
        <v>49</v>
      </c>
      <c r="P154" s="13" t="s">
        <v>1350</v>
      </c>
      <c r="Q154" s="13" t="s">
        <v>1351</v>
      </c>
      <c r="R154" s="13" t="s">
        <v>1352</v>
      </c>
      <c r="S154" s="13" t="s">
        <v>1352</v>
      </c>
      <c r="T154" s="13" t="s">
        <v>61</v>
      </c>
      <c r="U154" s="13"/>
    </row>
    <row r="155" customFormat="false" ht="18" hidden="false" customHeight="true" outlineLevel="0" collapsed="false">
      <c r="A155" s="13" t="n">
        <v>154</v>
      </c>
      <c r="B155" s="13" t="s">
        <v>1353</v>
      </c>
      <c r="C155" s="13" t="s">
        <v>48</v>
      </c>
      <c r="D155" s="13" t="s">
        <v>49</v>
      </c>
      <c r="E155" s="13" t="s">
        <v>91</v>
      </c>
      <c r="F155" s="13" t="s">
        <v>780</v>
      </c>
      <c r="G155" s="13" t="s">
        <v>186</v>
      </c>
      <c r="H155" s="13" t="s">
        <v>1354</v>
      </c>
      <c r="I155" s="13" t="s">
        <v>1355</v>
      </c>
      <c r="J155" s="13" t="s">
        <v>1356</v>
      </c>
      <c r="K155" s="13" t="s">
        <v>1357</v>
      </c>
      <c r="L155" s="13" t="s">
        <v>1163</v>
      </c>
      <c r="M155" s="13" t="n">
        <v>2134.69</v>
      </c>
      <c r="N155" s="13" t="n">
        <v>45.52</v>
      </c>
      <c r="O155" s="13" t="n">
        <v>80</v>
      </c>
      <c r="P155" s="13" t="s">
        <v>1164</v>
      </c>
      <c r="Q155" s="13" t="s">
        <v>1358</v>
      </c>
      <c r="R155" s="13" t="s">
        <v>697</v>
      </c>
      <c r="S155" s="13" t="s">
        <v>697</v>
      </c>
      <c r="T155" s="13" t="s">
        <v>61</v>
      </c>
      <c r="U155" s="13"/>
    </row>
    <row r="156" customFormat="false" ht="18" hidden="false" customHeight="true" outlineLevel="0" collapsed="false">
      <c r="A156" s="13" t="n">
        <v>155</v>
      </c>
      <c r="B156" s="13" t="s">
        <v>1359</v>
      </c>
      <c r="C156" s="13" t="s">
        <v>173</v>
      </c>
      <c r="D156" s="13" t="s">
        <v>174</v>
      </c>
      <c r="E156" s="13" t="s">
        <v>65</v>
      </c>
      <c r="F156" s="13" t="s">
        <v>438</v>
      </c>
      <c r="G156" s="13" t="s">
        <v>724</v>
      </c>
      <c r="H156" s="13" t="s">
        <v>1360</v>
      </c>
      <c r="I156" s="13" t="s">
        <v>1361</v>
      </c>
      <c r="J156" s="13" t="s">
        <v>1362</v>
      </c>
      <c r="K156" s="13" t="s">
        <v>1363</v>
      </c>
      <c r="L156" s="13" t="s">
        <v>1364</v>
      </c>
      <c r="M156" s="13" t="n">
        <v>383.83</v>
      </c>
      <c r="N156" s="13" t="n">
        <v>0.38</v>
      </c>
      <c r="O156" s="13" t="n">
        <v>260</v>
      </c>
      <c r="P156" s="13" t="s">
        <v>1365</v>
      </c>
      <c r="Q156" s="13" t="s">
        <v>281</v>
      </c>
      <c r="R156" s="13" t="s">
        <v>1366</v>
      </c>
      <c r="S156" s="13" t="s">
        <v>1366</v>
      </c>
      <c r="T156" s="13" t="s">
        <v>61</v>
      </c>
      <c r="U156" s="13"/>
    </row>
    <row r="157" customFormat="false" ht="18" hidden="false" customHeight="true" outlineLevel="0" collapsed="false">
      <c r="A157" s="14" t="n">
        <v>156</v>
      </c>
      <c r="B157" s="14" t="s">
        <v>1367</v>
      </c>
      <c r="C157" s="14" t="s">
        <v>113</v>
      </c>
      <c r="D157" s="14" t="s">
        <v>114</v>
      </c>
      <c r="E157" s="14" t="s">
        <v>50</v>
      </c>
      <c r="F157" s="14" t="s">
        <v>115</v>
      </c>
      <c r="G157" s="14" t="s">
        <v>352</v>
      </c>
      <c r="H157" s="14" t="s">
        <v>1368</v>
      </c>
      <c r="I157" s="14" t="s">
        <v>1369</v>
      </c>
      <c r="J157" s="14" t="s">
        <v>1370</v>
      </c>
      <c r="K157" s="14" t="s">
        <v>1371</v>
      </c>
      <c r="L157" s="14"/>
      <c r="M157" s="14" t="n">
        <v>280.68</v>
      </c>
      <c r="N157" s="14" t="n">
        <v>0.81</v>
      </c>
      <c r="O157" s="14" t="n">
        <v>486</v>
      </c>
      <c r="P157" s="14" t="s">
        <v>1281</v>
      </c>
      <c r="Q157" s="14" t="s">
        <v>1372</v>
      </c>
      <c r="R157" s="14" t="s">
        <v>930</v>
      </c>
      <c r="S157" s="14" t="s">
        <v>930</v>
      </c>
      <c r="T157" s="14" t="s">
        <v>61</v>
      </c>
      <c r="U157" s="14" t="s">
        <v>1107</v>
      </c>
    </row>
    <row r="158" customFormat="false" ht="18" hidden="false" customHeight="true" outlineLevel="0" collapsed="false">
      <c r="A158" s="13" t="n">
        <v>157</v>
      </c>
      <c r="B158" s="13" t="s">
        <v>1373</v>
      </c>
      <c r="C158" s="13" t="s">
        <v>125</v>
      </c>
      <c r="D158" s="13" t="s">
        <v>126</v>
      </c>
      <c r="E158" s="13" t="s">
        <v>50</v>
      </c>
      <c r="F158" s="13" t="s">
        <v>503</v>
      </c>
      <c r="G158" s="13" t="s">
        <v>52</v>
      </c>
      <c r="H158" s="13" t="s">
        <v>1374</v>
      </c>
      <c r="I158" s="13" t="s">
        <v>1375</v>
      </c>
      <c r="J158" s="13" t="s">
        <v>1376</v>
      </c>
      <c r="K158" s="13" t="s">
        <v>1377</v>
      </c>
      <c r="L158" s="13" t="s">
        <v>969</v>
      </c>
      <c r="M158" s="13" t="n">
        <v>1053.81</v>
      </c>
      <c r="N158" s="13" t="n">
        <v>0.45</v>
      </c>
      <c r="O158" s="13" t="n">
        <v>64</v>
      </c>
      <c r="P158" s="13" t="s">
        <v>970</v>
      </c>
      <c r="Q158" s="13" t="s">
        <v>1378</v>
      </c>
      <c r="R158" s="13" t="s">
        <v>147</v>
      </c>
      <c r="S158" s="13" t="s">
        <v>147</v>
      </c>
      <c r="T158" s="13" t="s">
        <v>61</v>
      </c>
      <c r="U158" s="13"/>
    </row>
    <row r="159" customFormat="false" ht="18" hidden="false" customHeight="true" outlineLevel="0" collapsed="false">
      <c r="A159" s="14" t="n">
        <v>158</v>
      </c>
      <c r="B159" s="14" t="s">
        <v>1379</v>
      </c>
      <c r="C159" s="14" t="s">
        <v>159</v>
      </c>
      <c r="D159" s="14" t="s">
        <v>160</v>
      </c>
      <c r="E159" s="14" t="s">
        <v>91</v>
      </c>
      <c r="F159" s="14"/>
      <c r="G159" s="14" t="s">
        <v>139</v>
      </c>
      <c r="H159" s="14" t="s">
        <v>1380</v>
      </c>
      <c r="I159" s="14" t="s">
        <v>1381</v>
      </c>
      <c r="J159" s="14" t="s">
        <v>1382</v>
      </c>
      <c r="K159" s="14" t="s">
        <v>1383</v>
      </c>
      <c r="L159" s="14" t="s">
        <v>785</v>
      </c>
      <c r="M159" s="14" t="n">
        <v>2666.53</v>
      </c>
      <c r="N159" s="14" t="n">
        <v>11.22</v>
      </c>
      <c r="O159" s="14" t="n">
        <v>343</v>
      </c>
      <c r="P159" s="14" t="s">
        <v>786</v>
      </c>
      <c r="Q159" s="14" t="s">
        <v>1105</v>
      </c>
      <c r="R159" s="14" t="s">
        <v>1384</v>
      </c>
      <c r="S159" s="14" t="s">
        <v>1384</v>
      </c>
      <c r="T159" s="14" t="s">
        <v>61</v>
      </c>
      <c r="U159" s="14" t="s">
        <v>89</v>
      </c>
    </row>
    <row r="160" customFormat="false" ht="18" hidden="false" customHeight="true" outlineLevel="0" collapsed="false">
      <c r="A160" s="13" t="n">
        <v>159</v>
      </c>
      <c r="B160" s="13" t="s">
        <v>1385</v>
      </c>
      <c r="C160" s="13" t="s">
        <v>255</v>
      </c>
      <c r="D160" s="13" t="s">
        <v>256</v>
      </c>
      <c r="E160" s="13" t="s">
        <v>161</v>
      </c>
      <c r="F160" s="13" t="s">
        <v>185</v>
      </c>
      <c r="G160" s="13" t="s">
        <v>296</v>
      </c>
      <c r="H160" s="13" t="s">
        <v>1386</v>
      </c>
      <c r="I160" s="13" t="s">
        <v>1387</v>
      </c>
      <c r="J160" s="13" t="s">
        <v>1388</v>
      </c>
      <c r="K160" s="13" t="s">
        <v>1389</v>
      </c>
      <c r="L160" s="13" t="s">
        <v>1390</v>
      </c>
      <c r="M160" s="13" t="n">
        <v>295.07</v>
      </c>
      <c r="N160" s="13" t="n">
        <v>0.28</v>
      </c>
      <c r="O160" s="13" t="n">
        <v>174</v>
      </c>
      <c r="P160" s="13" t="s">
        <v>1391</v>
      </c>
      <c r="Q160" s="13" t="s">
        <v>1392</v>
      </c>
      <c r="R160" s="13" t="s">
        <v>1393</v>
      </c>
      <c r="S160" s="13" t="s">
        <v>1393</v>
      </c>
      <c r="T160" s="13" t="s">
        <v>61</v>
      </c>
      <c r="U160" s="13"/>
    </row>
    <row r="161" customFormat="false" ht="18" hidden="false" customHeight="true" outlineLevel="0" collapsed="false">
      <c r="A161" s="13" t="n">
        <v>160</v>
      </c>
      <c r="B161" s="13" t="s">
        <v>1394</v>
      </c>
      <c r="C161" s="13" t="s">
        <v>48</v>
      </c>
      <c r="D161" s="13" t="s">
        <v>49</v>
      </c>
      <c r="E161" s="13" t="s">
        <v>65</v>
      </c>
      <c r="F161" s="13" t="s">
        <v>371</v>
      </c>
      <c r="G161" s="13" t="s">
        <v>274</v>
      </c>
      <c r="H161" s="13" t="s">
        <v>1395</v>
      </c>
      <c r="I161" s="13" t="s">
        <v>1396</v>
      </c>
      <c r="J161" s="13" t="s">
        <v>1397</v>
      </c>
      <c r="K161" s="13" t="s">
        <v>1398</v>
      </c>
      <c r="L161" s="13" t="s">
        <v>1399</v>
      </c>
      <c r="M161" s="13" t="n">
        <v>133.15</v>
      </c>
      <c r="N161" s="13" t="n">
        <v>1.07</v>
      </c>
      <c r="O161" s="13" t="n">
        <v>156</v>
      </c>
      <c r="P161" s="13" t="s">
        <v>1400</v>
      </c>
      <c r="Q161" s="13" t="s">
        <v>954</v>
      </c>
      <c r="R161" s="13" t="s">
        <v>978</v>
      </c>
      <c r="S161" s="13" t="s">
        <v>978</v>
      </c>
      <c r="T161" s="13" t="s">
        <v>61</v>
      </c>
      <c r="U161" s="13"/>
    </row>
    <row r="162" customFormat="false" ht="18" hidden="false" customHeight="true" outlineLevel="0" collapsed="false">
      <c r="A162" s="16" t="n">
        <v>161</v>
      </c>
      <c r="B162" s="16" t="s">
        <v>1401</v>
      </c>
      <c r="C162" s="16" t="s">
        <v>159</v>
      </c>
      <c r="D162" s="16" t="s">
        <v>160</v>
      </c>
      <c r="E162" s="16" t="s">
        <v>161</v>
      </c>
      <c r="F162" s="16" t="s">
        <v>429</v>
      </c>
      <c r="G162" s="16" t="s">
        <v>257</v>
      </c>
      <c r="H162" s="16" t="s">
        <v>1402</v>
      </c>
      <c r="I162" s="16" t="s">
        <v>1403</v>
      </c>
      <c r="J162" s="16" t="s">
        <v>1404</v>
      </c>
      <c r="K162" s="16" t="s">
        <v>1405</v>
      </c>
      <c r="L162" s="16" t="s">
        <v>1406</v>
      </c>
      <c r="M162" s="16" t="n">
        <v>428.63</v>
      </c>
      <c r="N162" s="16" t="n">
        <v>0.44</v>
      </c>
      <c r="O162" s="16" t="n">
        <v>0</v>
      </c>
      <c r="P162" s="16" t="s">
        <v>1407</v>
      </c>
      <c r="Q162" s="16" t="s">
        <v>1408</v>
      </c>
      <c r="R162" s="16" t="s">
        <v>1409</v>
      </c>
      <c r="S162" s="16" t="s">
        <v>408</v>
      </c>
      <c r="T162" s="16" t="s">
        <v>61</v>
      </c>
      <c r="U162" s="16" t="s">
        <v>325</v>
      </c>
    </row>
    <row r="163" customFormat="false" ht="18" hidden="false" customHeight="true" outlineLevel="0" collapsed="false">
      <c r="A163" s="13" t="n">
        <v>162</v>
      </c>
      <c r="B163" s="13" t="s">
        <v>1410</v>
      </c>
      <c r="C163" s="13" t="s">
        <v>159</v>
      </c>
      <c r="D163" s="13" t="s">
        <v>160</v>
      </c>
      <c r="E163" s="13" t="s">
        <v>65</v>
      </c>
      <c r="F163" s="13" t="s">
        <v>245</v>
      </c>
      <c r="G163" s="13" t="s">
        <v>391</v>
      </c>
      <c r="H163" s="13" t="s">
        <v>1411</v>
      </c>
      <c r="I163" s="13" t="s">
        <v>1412</v>
      </c>
      <c r="J163" s="13" t="s">
        <v>1413</v>
      </c>
      <c r="K163" s="13" t="s">
        <v>1414</v>
      </c>
      <c r="L163" s="13" t="s">
        <v>1415</v>
      </c>
      <c r="M163" s="13" t="n">
        <v>105.75</v>
      </c>
      <c r="N163" s="13" t="n">
        <v>1.49</v>
      </c>
      <c r="O163" s="13" t="n">
        <v>119</v>
      </c>
      <c r="P163" s="13" t="s">
        <v>1416</v>
      </c>
      <c r="Q163" s="13" t="s">
        <v>921</v>
      </c>
      <c r="R163" s="13" t="s">
        <v>1417</v>
      </c>
      <c r="S163" s="13" t="s">
        <v>1417</v>
      </c>
      <c r="T163" s="13" t="s">
        <v>61</v>
      </c>
      <c r="U163" s="13"/>
    </row>
    <row r="164" customFormat="false" ht="18" hidden="false" customHeight="true" outlineLevel="0" collapsed="false">
      <c r="A164" s="13" t="n">
        <v>163</v>
      </c>
      <c r="B164" s="13" t="s">
        <v>1418</v>
      </c>
      <c r="C164" s="13" t="s">
        <v>125</v>
      </c>
      <c r="D164" s="13" t="s">
        <v>126</v>
      </c>
      <c r="E164" s="13" t="s">
        <v>50</v>
      </c>
      <c r="F164" s="13" t="s">
        <v>503</v>
      </c>
      <c r="G164" s="13" t="s">
        <v>808</v>
      </c>
      <c r="H164" s="13" t="s">
        <v>1419</v>
      </c>
      <c r="I164" s="13" t="s">
        <v>1420</v>
      </c>
      <c r="J164" s="13" t="s">
        <v>1421</v>
      </c>
      <c r="K164" s="13" t="s">
        <v>1422</v>
      </c>
      <c r="L164" s="13" t="s">
        <v>1340</v>
      </c>
      <c r="M164" s="13" t="n">
        <v>303.54</v>
      </c>
      <c r="N164" s="13" t="n">
        <v>0.88</v>
      </c>
      <c r="O164" s="13" t="n">
        <v>226</v>
      </c>
      <c r="P164" s="13" t="s">
        <v>1341</v>
      </c>
      <c r="Q164" s="13" t="s">
        <v>757</v>
      </c>
      <c r="R164" s="13" t="s">
        <v>1423</v>
      </c>
      <c r="S164" s="13" t="s">
        <v>1423</v>
      </c>
      <c r="T164" s="13" t="s">
        <v>61</v>
      </c>
      <c r="U164" s="13"/>
    </row>
    <row r="165" customFormat="false" ht="18" hidden="false" customHeight="true" outlineLevel="0" collapsed="false">
      <c r="A165" s="13" t="n">
        <v>164</v>
      </c>
      <c r="B165" s="13" t="s">
        <v>1424</v>
      </c>
      <c r="C165" s="13" t="s">
        <v>77</v>
      </c>
      <c r="D165" s="13" t="s">
        <v>78</v>
      </c>
      <c r="E165" s="13" t="s">
        <v>79</v>
      </c>
      <c r="F165" s="13" t="s">
        <v>127</v>
      </c>
      <c r="G165" s="13" t="s">
        <v>128</v>
      </c>
      <c r="H165" s="13" t="s">
        <v>1425</v>
      </c>
      <c r="I165" s="13" t="s">
        <v>1426</v>
      </c>
      <c r="J165" s="13" t="s">
        <v>1427</v>
      </c>
      <c r="K165" s="13" t="s">
        <v>1428</v>
      </c>
      <c r="L165" s="13" t="s">
        <v>133</v>
      </c>
      <c r="M165" s="13" t="n">
        <v>1816.16</v>
      </c>
      <c r="N165" s="13" t="n">
        <v>1.95</v>
      </c>
      <c r="O165" s="13" t="n">
        <v>317</v>
      </c>
      <c r="P165" s="13" t="s">
        <v>134</v>
      </c>
      <c r="Q165" s="13" t="s">
        <v>1429</v>
      </c>
      <c r="R165" s="13" t="s">
        <v>1202</v>
      </c>
      <c r="S165" s="13" t="s">
        <v>1202</v>
      </c>
      <c r="T165" s="13" t="s">
        <v>61</v>
      </c>
      <c r="U165" s="13"/>
    </row>
    <row r="166" customFormat="false" ht="18" hidden="false" customHeight="true" outlineLevel="0" collapsed="false">
      <c r="A166" s="13" t="n">
        <v>165</v>
      </c>
      <c r="B166" s="13" t="s">
        <v>1430</v>
      </c>
      <c r="C166" s="13" t="s">
        <v>125</v>
      </c>
      <c r="D166" s="13" t="s">
        <v>126</v>
      </c>
      <c r="E166" s="13" t="s">
        <v>161</v>
      </c>
      <c r="F166" s="13" t="s">
        <v>185</v>
      </c>
      <c r="G166" s="13" t="s">
        <v>334</v>
      </c>
      <c r="H166" s="13" t="s">
        <v>1431</v>
      </c>
      <c r="I166" s="13" t="s">
        <v>1432</v>
      </c>
      <c r="J166" s="13" t="s">
        <v>1433</v>
      </c>
      <c r="K166" s="13" t="s">
        <v>1434</v>
      </c>
      <c r="L166" s="13" t="s">
        <v>1131</v>
      </c>
      <c r="M166" s="13" t="n">
        <v>204.44</v>
      </c>
      <c r="N166" s="13" t="n">
        <v>0.2</v>
      </c>
      <c r="O166" s="13" t="n">
        <v>240</v>
      </c>
      <c r="P166" s="13" t="s">
        <v>1132</v>
      </c>
      <c r="Q166" s="13" t="s">
        <v>182</v>
      </c>
      <c r="R166" s="13" t="s">
        <v>1435</v>
      </c>
      <c r="S166" s="13" t="s">
        <v>1435</v>
      </c>
      <c r="T166" s="13" t="s">
        <v>61</v>
      </c>
      <c r="U166" s="13"/>
    </row>
    <row r="167" customFormat="false" ht="18" hidden="false" customHeight="true" outlineLevel="0" collapsed="false">
      <c r="A167" s="13" t="n">
        <v>166</v>
      </c>
      <c r="B167" s="13" t="s">
        <v>1436</v>
      </c>
      <c r="C167" s="13" t="s">
        <v>63</v>
      </c>
      <c r="D167" s="13" t="s">
        <v>64</v>
      </c>
      <c r="E167" s="13" t="s">
        <v>79</v>
      </c>
      <c r="F167" s="13" t="s">
        <v>127</v>
      </c>
      <c r="G167" s="13" t="s">
        <v>128</v>
      </c>
      <c r="H167" s="13" t="s">
        <v>1437</v>
      </c>
      <c r="I167" s="13" t="s">
        <v>1438</v>
      </c>
      <c r="J167" s="13" t="s">
        <v>1439</v>
      </c>
      <c r="K167" s="13" t="s">
        <v>1440</v>
      </c>
      <c r="L167" s="13" t="s">
        <v>133</v>
      </c>
      <c r="M167" s="13" t="n">
        <v>1396.97</v>
      </c>
      <c r="N167" s="13" t="n">
        <v>1.79</v>
      </c>
      <c r="O167" s="13" t="n">
        <v>157</v>
      </c>
      <c r="P167" s="13" t="s">
        <v>134</v>
      </c>
      <c r="Q167" s="13" t="s">
        <v>1441</v>
      </c>
      <c r="R167" s="13" t="s">
        <v>215</v>
      </c>
      <c r="S167" s="13" t="s">
        <v>215</v>
      </c>
      <c r="T167" s="13" t="s">
        <v>61</v>
      </c>
      <c r="U167" s="13"/>
    </row>
    <row r="168" customFormat="false" ht="18" hidden="false" customHeight="true" outlineLevel="0" collapsed="false">
      <c r="A168" s="13" t="n">
        <v>167</v>
      </c>
      <c r="B168" s="13" t="s">
        <v>1442</v>
      </c>
      <c r="C168" s="13" t="s">
        <v>48</v>
      </c>
      <c r="D168" s="13" t="s">
        <v>49</v>
      </c>
      <c r="E168" s="13" t="s">
        <v>91</v>
      </c>
      <c r="F168" s="13" t="s">
        <v>780</v>
      </c>
      <c r="G168" s="13" t="s">
        <v>743</v>
      </c>
      <c r="H168" s="13" t="s">
        <v>1443</v>
      </c>
      <c r="I168" s="13" t="s">
        <v>1444</v>
      </c>
      <c r="J168" s="13" t="s">
        <v>1445</v>
      </c>
      <c r="K168" s="13" t="s">
        <v>1446</v>
      </c>
      <c r="L168" s="13" t="s">
        <v>1447</v>
      </c>
      <c r="M168" s="13" t="n">
        <v>2584.49</v>
      </c>
      <c r="N168" s="13" t="n">
        <v>38.83</v>
      </c>
      <c r="O168" s="13" t="n">
        <v>214</v>
      </c>
      <c r="P168" s="13" t="s">
        <v>1448</v>
      </c>
      <c r="Q168" s="13" t="s">
        <v>1449</v>
      </c>
      <c r="R168" s="13" t="s">
        <v>1450</v>
      </c>
      <c r="S168" s="13" t="s">
        <v>1450</v>
      </c>
      <c r="T168" s="13" t="s">
        <v>61</v>
      </c>
      <c r="U168" s="13"/>
    </row>
    <row r="169" customFormat="false" ht="18" hidden="false" customHeight="true" outlineLevel="0" collapsed="false">
      <c r="A169" s="13" t="n">
        <v>168</v>
      </c>
      <c r="B169" s="13" t="s">
        <v>1451</v>
      </c>
      <c r="C169" s="13" t="s">
        <v>125</v>
      </c>
      <c r="D169" s="13" t="s">
        <v>126</v>
      </c>
      <c r="E169" s="13" t="s">
        <v>79</v>
      </c>
      <c r="F169" s="13" t="s">
        <v>196</v>
      </c>
      <c r="G169" s="13" t="s">
        <v>514</v>
      </c>
      <c r="H169" s="13" t="s">
        <v>1452</v>
      </c>
      <c r="I169" s="13" t="s">
        <v>1453</v>
      </c>
      <c r="J169" s="13" t="s">
        <v>1454</v>
      </c>
      <c r="K169" s="13" t="s">
        <v>1455</v>
      </c>
      <c r="L169" s="13" t="s">
        <v>1456</v>
      </c>
      <c r="M169" s="13" t="n">
        <v>740.25</v>
      </c>
      <c r="N169" s="13" t="n">
        <v>2.78</v>
      </c>
      <c r="O169" s="13" t="n">
        <v>378</v>
      </c>
      <c r="P169" s="13" t="s">
        <v>1457</v>
      </c>
      <c r="Q169" s="13" t="s">
        <v>1458</v>
      </c>
      <c r="R169" s="13" t="s">
        <v>1459</v>
      </c>
      <c r="S169" s="13" t="s">
        <v>1459</v>
      </c>
      <c r="T169" s="13" t="s">
        <v>61</v>
      </c>
      <c r="U169" s="13"/>
    </row>
    <row r="170" customFormat="false" ht="18" hidden="false" customHeight="true" outlineLevel="0" collapsed="false">
      <c r="A170" s="14" t="n">
        <v>169</v>
      </c>
      <c r="B170" s="14" t="s">
        <v>1460</v>
      </c>
      <c r="C170" s="14" t="s">
        <v>77</v>
      </c>
      <c r="D170" s="14" t="s">
        <v>78</v>
      </c>
      <c r="E170" s="14" t="s">
        <v>91</v>
      </c>
      <c r="F170" s="14" t="s">
        <v>419</v>
      </c>
      <c r="G170" s="14" t="s">
        <v>420</v>
      </c>
      <c r="H170" s="14" t="s">
        <v>1461</v>
      </c>
      <c r="I170" s="14" t="s">
        <v>1462</v>
      </c>
      <c r="J170" s="14" t="s">
        <v>1463</v>
      </c>
      <c r="K170" s="14" t="s">
        <v>1464</v>
      </c>
      <c r="L170" s="14" t="s">
        <v>425</v>
      </c>
      <c r="M170" s="14" t="n">
        <v>3728.58</v>
      </c>
      <c r="N170" s="14" t="n">
        <v>28.02</v>
      </c>
      <c r="O170" s="14" t="n">
        <v>198</v>
      </c>
      <c r="P170" s="14"/>
      <c r="Q170" s="14" t="s">
        <v>776</v>
      </c>
      <c r="R170" s="14" t="s">
        <v>806</v>
      </c>
      <c r="S170" s="14" t="s">
        <v>806</v>
      </c>
      <c r="T170" s="14" t="s">
        <v>61</v>
      </c>
      <c r="U170" s="14" t="s">
        <v>1014</v>
      </c>
    </row>
    <row r="171" customFormat="false" ht="18" hidden="false" customHeight="true" outlineLevel="0" collapsed="false">
      <c r="A171" s="13" t="n">
        <v>170</v>
      </c>
      <c r="B171" s="13" t="s">
        <v>1465</v>
      </c>
      <c r="C171" s="13" t="s">
        <v>48</v>
      </c>
      <c r="D171" s="13" t="s">
        <v>49</v>
      </c>
      <c r="E171" s="13" t="s">
        <v>65</v>
      </c>
      <c r="F171" s="13" t="s">
        <v>390</v>
      </c>
      <c r="G171" s="13" t="s">
        <v>274</v>
      </c>
      <c r="H171" s="13" t="s">
        <v>1466</v>
      </c>
      <c r="I171" s="13" t="s">
        <v>1467</v>
      </c>
      <c r="J171" s="13" t="s">
        <v>1468</v>
      </c>
      <c r="K171" s="13" t="s">
        <v>1469</v>
      </c>
      <c r="L171" s="13" t="s">
        <v>1470</v>
      </c>
      <c r="M171" s="13" t="n">
        <v>366.12</v>
      </c>
      <c r="N171" s="13" t="n">
        <v>0.5</v>
      </c>
      <c r="O171" s="13" t="n">
        <v>314</v>
      </c>
      <c r="P171" s="13" t="s">
        <v>1471</v>
      </c>
      <c r="Q171" s="13" t="s">
        <v>1235</v>
      </c>
      <c r="R171" s="13" t="s">
        <v>1450</v>
      </c>
      <c r="S171" s="13" t="s">
        <v>1450</v>
      </c>
      <c r="T171" s="13" t="s">
        <v>61</v>
      </c>
      <c r="U171" s="13"/>
    </row>
    <row r="172" customFormat="false" ht="18" hidden="false" customHeight="true" outlineLevel="0" collapsed="false">
      <c r="A172" s="13" t="n">
        <v>171</v>
      </c>
      <c r="B172" s="13" t="s">
        <v>1472</v>
      </c>
      <c r="C172" s="13" t="s">
        <v>77</v>
      </c>
      <c r="D172" s="13" t="s">
        <v>78</v>
      </c>
      <c r="E172" s="13" t="s">
        <v>161</v>
      </c>
      <c r="F172" s="13" t="s">
        <v>429</v>
      </c>
      <c r="G172" s="13" t="s">
        <v>285</v>
      </c>
      <c r="H172" s="13" t="s">
        <v>1473</v>
      </c>
      <c r="I172" s="13" t="s">
        <v>1474</v>
      </c>
      <c r="J172" s="13" t="s">
        <v>1475</v>
      </c>
      <c r="K172" s="13" t="s">
        <v>1476</v>
      </c>
      <c r="L172" s="13" t="s">
        <v>1477</v>
      </c>
      <c r="M172" s="13" t="n">
        <v>192.38</v>
      </c>
      <c r="N172" s="13" t="n">
        <v>0.44</v>
      </c>
      <c r="O172" s="13" t="n">
        <v>495</v>
      </c>
      <c r="P172" s="13" t="s">
        <v>1478</v>
      </c>
      <c r="Q172" s="13" t="s">
        <v>1479</v>
      </c>
      <c r="R172" s="13" t="s">
        <v>1409</v>
      </c>
      <c r="S172" s="13" t="s">
        <v>1409</v>
      </c>
      <c r="T172" s="13" t="s">
        <v>61</v>
      </c>
      <c r="U172" s="13"/>
    </row>
    <row r="173" customFormat="false" ht="18" hidden="false" customHeight="true" outlineLevel="0" collapsed="false">
      <c r="A173" s="13" t="n">
        <v>172</v>
      </c>
      <c r="B173" s="13" t="s">
        <v>1480</v>
      </c>
      <c r="C173" s="13" t="s">
        <v>77</v>
      </c>
      <c r="D173" s="13" t="s">
        <v>78</v>
      </c>
      <c r="E173" s="13" t="s">
        <v>161</v>
      </c>
      <c r="F173" s="13" t="s">
        <v>822</v>
      </c>
      <c r="G173" s="13" t="s">
        <v>257</v>
      </c>
      <c r="H173" s="13" t="s">
        <v>1481</v>
      </c>
      <c r="I173" s="13" t="s">
        <v>1482</v>
      </c>
      <c r="J173" s="13" t="s">
        <v>1483</v>
      </c>
      <c r="K173" s="13" t="s">
        <v>825</v>
      </c>
      <c r="L173" s="13" t="s">
        <v>826</v>
      </c>
      <c r="M173" s="13" t="n">
        <v>274.27</v>
      </c>
      <c r="N173" s="13" t="n">
        <v>0.35</v>
      </c>
      <c r="O173" s="13" t="n">
        <v>45</v>
      </c>
      <c r="P173" s="13" t="s">
        <v>827</v>
      </c>
      <c r="Q173" s="13" t="s">
        <v>828</v>
      </c>
      <c r="R173" s="13" t="s">
        <v>687</v>
      </c>
      <c r="S173" s="13" t="s">
        <v>687</v>
      </c>
      <c r="T173" s="13" t="s">
        <v>61</v>
      </c>
      <c r="U173" s="13"/>
    </row>
    <row r="174" customFormat="false" ht="18" hidden="false" customHeight="true" outlineLevel="0" collapsed="false">
      <c r="A174" s="13" t="n">
        <v>173</v>
      </c>
      <c r="B174" s="13" t="s">
        <v>1484</v>
      </c>
      <c r="C174" s="13" t="s">
        <v>63</v>
      </c>
      <c r="D174" s="13" t="s">
        <v>64</v>
      </c>
      <c r="E174" s="13" t="s">
        <v>161</v>
      </c>
      <c r="F174" s="13" t="s">
        <v>822</v>
      </c>
      <c r="G174" s="13" t="s">
        <v>207</v>
      </c>
      <c r="H174" s="13" t="s">
        <v>1485</v>
      </c>
      <c r="I174" s="13" t="s">
        <v>1486</v>
      </c>
      <c r="J174" s="13" t="s">
        <v>1487</v>
      </c>
      <c r="K174" s="13" t="s">
        <v>1488</v>
      </c>
      <c r="L174" s="13" t="s">
        <v>1489</v>
      </c>
      <c r="M174" s="13" t="n">
        <v>501.59</v>
      </c>
      <c r="N174" s="13" t="n">
        <v>0.38</v>
      </c>
      <c r="O174" s="13" t="n">
        <v>286</v>
      </c>
      <c r="P174" s="13" t="s">
        <v>1490</v>
      </c>
      <c r="Q174" s="13" t="s">
        <v>1491</v>
      </c>
      <c r="R174" s="13" t="s">
        <v>1334</v>
      </c>
      <c r="S174" s="13" t="s">
        <v>1334</v>
      </c>
      <c r="T174" s="13" t="s">
        <v>61</v>
      </c>
      <c r="U174" s="13"/>
    </row>
    <row r="175" customFormat="false" ht="18" hidden="false" customHeight="true" outlineLevel="0" collapsed="false">
      <c r="A175" s="13" t="n">
        <v>174</v>
      </c>
      <c r="B175" s="13" t="s">
        <v>1492</v>
      </c>
      <c r="C175" s="13" t="s">
        <v>113</v>
      </c>
      <c r="D175" s="13" t="s">
        <v>114</v>
      </c>
      <c r="E175" s="13" t="s">
        <v>79</v>
      </c>
      <c r="F175" s="13" t="s">
        <v>513</v>
      </c>
      <c r="G175" s="13" t="s">
        <v>562</v>
      </c>
      <c r="H175" s="13" t="s">
        <v>1493</v>
      </c>
      <c r="I175" s="13" t="s">
        <v>1494</v>
      </c>
      <c r="J175" s="13" t="s">
        <v>1495</v>
      </c>
      <c r="K175" s="13" t="s">
        <v>1496</v>
      </c>
      <c r="L175" s="13" t="s">
        <v>567</v>
      </c>
      <c r="M175" s="13" t="n">
        <v>2463.2</v>
      </c>
      <c r="N175" s="13" t="n">
        <v>2.49</v>
      </c>
      <c r="O175" s="13" t="n">
        <v>297</v>
      </c>
      <c r="P175" s="13" t="s">
        <v>568</v>
      </c>
      <c r="Q175" s="13" t="s">
        <v>1497</v>
      </c>
      <c r="R175" s="13" t="s">
        <v>147</v>
      </c>
      <c r="S175" s="13" t="s">
        <v>147</v>
      </c>
      <c r="T175" s="13" t="s">
        <v>61</v>
      </c>
      <c r="U175" s="13"/>
    </row>
    <row r="176" customFormat="false" ht="18" hidden="false" customHeight="true" outlineLevel="0" collapsed="false">
      <c r="A176" s="13" t="n">
        <v>175</v>
      </c>
      <c r="B176" s="13" t="s">
        <v>1498</v>
      </c>
      <c r="C176" s="13" t="s">
        <v>48</v>
      </c>
      <c r="D176" s="13" t="s">
        <v>49</v>
      </c>
      <c r="E176" s="13" t="s">
        <v>50</v>
      </c>
      <c r="F176" s="13" t="s">
        <v>138</v>
      </c>
      <c r="G176" s="13" t="s">
        <v>52</v>
      </c>
      <c r="H176" s="13" t="s">
        <v>1499</v>
      </c>
      <c r="I176" s="13" t="s">
        <v>1500</v>
      </c>
      <c r="J176" s="13" t="s">
        <v>1501</v>
      </c>
      <c r="K176" s="13" t="s">
        <v>1502</v>
      </c>
      <c r="L176" s="13" t="s">
        <v>878</v>
      </c>
      <c r="M176" s="13" t="n">
        <v>476.63</v>
      </c>
      <c r="N176" s="13" t="n">
        <v>0.38</v>
      </c>
      <c r="O176" s="13" t="n">
        <v>215</v>
      </c>
      <c r="P176" s="13" t="s">
        <v>879</v>
      </c>
      <c r="Q176" s="13" t="s">
        <v>1503</v>
      </c>
      <c r="R176" s="13" t="s">
        <v>123</v>
      </c>
      <c r="S176" s="13" t="s">
        <v>123</v>
      </c>
      <c r="T176" s="13" t="s">
        <v>61</v>
      </c>
      <c r="U176" s="13"/>
    </row>
    <row r="177" customFormat="false" ht="18" hidden="false" customHeight="true" outlineLevel="0" collapsed="false">
      <c r="A177" s="13" t="n">
        <v>176</v>
      </c>
      <c r="B177" s="13" t="s">
        <v>1504</v>
      </c>
      <c r="C177" s="13" t="s">
        <v>77</v>
      </c>
      <c r="D177" s="13" t="s">
        <v>78</v>
      </c>
      <c r="E177" s="13" t="s">
        <v>161</v>
      </c>
      <c r="F177" s="13" t="s">
        <v>51</v>
      </c>
      <c r="G177" s="13" t="s">
        <v>163</v>
      </c>
      <c r="H177" s="13" t="s">
        <v>1505</v>
      </c>
      <c r="I177" s="13" t="s">
        <v>1506</v>
      </c>
      <c r="J177" s="13" t="s">
        <v>1507</v>
      </c>
      <c r="K177" s="13" t="s">
        <v>1508</v>
      </c>
      <c r="L177" s="13" t="s">
        <v>1241</v>
      </c>
      <c r="M177" s="13" t="n">
        <v>476.17</v>
      </c>
      <c r="N177" s="13" t="n">
        <v>0.45</v>
      </c>
      <c r="O177" s="13" t="n">
        <v>126</v>
      </c>
      <c r="P177" s="13" t="s">
        <v>1242</v>
      </c>
      <c r="Q177" s="13" t="s">
        <v>1509</v>
      </c>
      <c r="R177" s="13" t="s">
        <v>1510</v>
      </c>
      <c r="S177" s="13" t="s">
        <v>1510</v>
      </c>
      <c r="T177" s="13" t="s">
        <v>61</v>
      </c>
      <c r="U177" s="13"/>
    </row>
    <row r="178" customFormat="false" ht="18" hidden="false" customHeight="true" outlineLevel="0" collapsed="false">
      <c r="A178" s="13" t="n">
        <v>177</v>
      </c>
      <c r="B178" s="13" t="s">
        <v>1511</v>
      </c>
      <c r="C178" s="13" t="s">
        <v>113</v>
      </c>
      <c r="D178" s="13" t="s">
        <v>114</v>
      </c>
      <c r="E178" s="13" t="s">
        <v>79</v>
      </c>
      <c r="F178" s="13" t="s">
        <v>956</v>
      </c>
      <c r="G178" s="13" t="s">
        <v>128</v>
      </c>
      <c r="H178" s="13" t="s">
        <v>1512</v>
      </c>
      <c r="I178" s="13" t="s">
        <v>1513</v>
      </c>
      <c r="J178" s="13" t="s">
        <v>1514</v>
      </c>
      <c r="K178" s="13" t="s">
        <v>1515</v>
      </c>
      <c r="L178" s="13" t="s">
        <v>1000</v>
      </c>
      <c r="M178" s="13" t="n">
        <v>2172.71</v>
      </c>
      <c r="N178" s="13" t="n">
        <v>2.66</v>
      </c>
      <c r="O178" s="13" t="n">
        <v>106</v>
      </c>
      <c r="P178" s="13" t="s">
        <v>1001</v>
      </c>
      <c r="Q178" s="13" t="s">
        <v>1516</v>
      </c>
      <c r="R178" s="13" t="s">
        <v>1517</v>
      </c>
      <c r="S178" s="13" t="s">
        <v>1517</v>
      </c>
      <c r="T178" s="13" t="s">
        <v>61</v>
      </c>
      <c r="U178" s="13"/>
    </row>
    <row r="179" customFormat="false" ht="18" hidden="false" customHeight="true" outlineLevel="0" collapsed="false">
      <c r="A179" s="14" t="n">
        <v>178</v>
      </c>
      <c r="B179" s="14" t="s">
        <v>1518</v>
      </c>
      <c r="C179" s="14" t="s">
        <v>77</v>
      </c>
      <c r="D179" s="14" t="s">
        <v>78</v>
      </c>
      <c r="E179" s="14" t="s">
        <v>50</v>
      </c>
      <c r="F179" s="14"/>
      <c r="G179" s="14" t="s">
        <v>352</v>
      </c>
      <c r="H179" s="14" t="s">
        <v>1519</v>
      </c>
      <c r="I179" s="14" t="s">
        <v>1520</v>
      </c>
      <c r="J179" s="14" t="s">
        <v>1521</v>
      </c>
      <c r="K179" s="14" t="s">
        <v>1522</v>
      </c>
      <c r="L179" s="14" t="s">
        <v>357</v>
      </c>
      <c r="M179" s="14" t="n">
        <v>1254.55</v>
      </c>
      <c r="N179" s="14" t="n">
        <v>0.63</v>
      </c>
      <c r="O179" s="14" t="n">
        <v>21</v>
      </c>
      <c r="P179" s="14" t="s">
        <v>358</v>
      </c>
      <c r="Q179" s="14" t="s">
        <v>1523</v>
      </c>
      <c r="R179" s="14" t="s">
        <v>271</v>
      </c>
      <c r="S179" s="14" t="s">
        <v>271</v>
      </c>
      <c r="T179" s="14" t="s">
        <v>61</v>
      </c>
      <c r="U179" s="14" t="s">
        <v>89</v>
      </c>
    </row>
    <row r="180" customFormat="false" ht="18" hidden="false" customHeight="true" outlineLevel="0" collapsed="false">
      <c r="A180" s="13" t="n">
        <v>179</v>
      </c>
      <c r="B180" s="13" t="s">
        <v>1524</v>
      </c>
      <c r="C180" s="13" t="s">
        <v>125</v>
      </c>
      <c r="D180" s="13" t="s">
        <v>126</v>
      </c>
      <c r="E180" s="13" t="s">
        <v>50</v>
      </c>
      <c r="F180" s="13" t="s">
        <v>51</v>
      </c>
      <c r="G180" s="13" t="s">
        <v>217</v>
      </c>
      <c r="H180" s="13" t="s">
        <v>1525</v>
      </c>
      <c r="I180" s="13" t="s">
        <v>1526</v>
      </c>
      <c r="J180" s="13" t="s">
        <v>1527</v>
      </c>
      <c r="K180" s="13" t="s">
        <v>1528</v>
      </c>
      <c r="L180" s="13" t="s">
        <v>927</v>
      </c>
      <c r="M180" s="13" t="n">
        <v>344.97</v>
      </c>
      <c r="N180" s="13" t="n">
        <v>0.64</v>
      </c>
      <c r="O180" s="13" t="n">
        <v>220</v>
      </c>
      <c r="P180" s="13" t="s">
        <v>928</v>
      </c>
      <c r="Q180" s="13" t="s">
        <v>1300</v>
      </c>
      <c r="R180" s="13" t="s">
        <v>1529</v>
      </c>
      <c r="S180" s="13" t="s">
        <v>1529</v>
      </c>
      <c r="T180" s="13" t="s">
        <v>61</v>
      </c>
      <c r="U180" s="13"/>
    </row>
    <row r="181" customFormat="false" ht="18" hidden="false" customHeight="true" outlineLevel="0" collapsed="false">
      <c r="A181" s="13" t="n">
        <v>180</v>
      </c>
      <c r="B181" s="13" t="s">
        <v>1530</v>
      </c>
      <c r="C181" s="13" t="s">
        <v>113</v>
      </c>
      <c r="D181" s="13" t="s">
        <v>114</v>
      </c>
      <c r="E181" s="13" t="s">
        <v>79</v>
      </c>
      <c r="F181" s="13" t="s">
        <v>1531</v>
      </c>
      <c r="G181" s="13" t="s">
        <v>733</v>
      </c>
      <c r="H181" s="13" t="s">
        <v>1532</v>
      </c>
      <c r="I181" s="13" t="s">
        <v>1533</v>
      </c>
      <c r="J181" s="13" t="s">
        <v>1534</v>
      </c>
      <c r="K181" s="13" t="s">
        <v>1535</v>
      </c>
      <c r="L181" s="13" t="s">
        <v>1536</v>
      </c>
      <c r="M181" s="13" t="n">
        <v>1719</v>
      </c>
      <c r="N181" s="13" t="n">
        <v>2</v>
      </c>
      <c r="O181" s="13" t="n">
        <v>212</v>
      </c>
      <c r="P181" s="13" t="s">
        <v>1537</v>
      </c>
      <c r="Q181" s="13" t="s">
        <v>1538</v>
      </c>
      <c r="R181" s="13" t="s">
        <v>1539</v>
      </c>
      <c r="S181" s="13" t="s">
        <v>1539</v>
      </c>
      <c r="T181" s="13" t="s">
        <v>61</v>
      </c>
      <c r="U181" s="13"/>
    </row>
    <row r="182" customFormat="false" ht="18" hidden="false" customHeight="true" outlineLevel="0" collapsed="false">
      <c r="A182" s="13" t="n">
        <v>181</v>
      </c>
      <c r="B182" s="13" t="s">
        <v>1540</v>
      </c>
      <c r="C182" s="13" t="s">
        <v>113</v>
      </c>
      <c r="D182" s="13" t="s">
        <v>114</v>
      </c>
      <c r="E182" s="13" t="s">
        <v>161</v>
      </c>
      <c r="F182" s="13" t="s">
        <v>51</v>
      </c>
      <c r="G182" s="13" t="s">
        <v>163</v>
      </c>
      <c r="H182" s="13" t="s">
        <v>1541</v>
      </c>
      <c r="I182" s="13" t="s">
        <v>1542</v>
      </c>
      <c r="J182" s="13" t="s">
        <v>1543</v>
      </c>
      <c r="K182" s="13" t="s">
        <v>1544</v>
      </c>
      <c r="L182" s="13" t="s">
        <v>1241</v>
      </c>
      <c r="M182" s="13" t="n">
        <v>517.39</v>
      </c>
      <c r="N182" s="13" t="n">
        <v>0.26</v>
      </c>
      <c r="O182" s="13" t="n">
        <v>310</v>
      </c>
      <c r="P182" s="13" t="s">
        <v>1242</v>
      </c>
      <c r="Q182" s="13" t="s">
        <v>1545</v>
      </c>
      <c r="R182" s="13" t="s">
        <v>644</v>
      </c>
      <c r="S182" s="13" t="s">
        <v>644</v>
      </c>
      <c r="T182" s="13" t="s">
        <v>61</v>
      </c>
      <c r="U182" s="13"/>
    </row>
    <row r="183" customFormat="false" ht="18" hidden="false" customHeight="true" outlineLevel="0" collapsed="false">
      <c r="A183" s="13" t="n">
        <v>182</v>
      </c>
      <c r="B183" s="13" t="s">
        <v>1546</v>
      </c>
      <c r="C183" s="13" t="s">
        <v>63</v>
      </c>
      <c r="D183" s="13" t="s">
        <v>64</v>
      </c>
      <c r="E183" s="13" t="s">
        <v>91</v>
      </c>
      <c r="F183" s="13" t="s">
        <v>185</v>
      </c>
      <c r="G183" s="13" t="s">
        <v>93</v>
      </c>
      <c r="H183" s="13" t="s">
        <v>1547</v>
      </c>
      <c r="I183" s="13" t="s">
        <v>1548</v>
      </c>
      <c r="J183" s="13" t="s">
        <v>1549</v>
      </c>
      <c r="K183" s="13" t="s">
        <v>1550</v>
      </c>
      <c r="L183" s="13" t="s">
        <v>528</v>
      </c>
      <c r="M183" s="13" t="n">
        <v>2641.01</v>
      </c>
      <c r="N183" s="13" t="n">
        <v>41.12</v>
      </c>
      <c r="O183" s="13" t="n">
        <v>52</v>
      </c>
      <c r="P183" s="13" t="s">
        <v>529</v>
      </c>
      <c r="Q183" s="13" t="s">
        <v>1449</v>
      </c>
      <c r="R183" s="13" t="s">
        <v>369</v>
      </c>
      <c r="S183" s="13" t="s">
        <v>369</v>
      </c>
      <c r="T183" s="13" t="s">
        <v>61</v>
      </c>
      <c r="U183" s="13"/>
    </row>
    <row r="184" customFormat="false" ht="18" hidden="false" customHeight="true" outlineLevel="0" collapsed="false">
      <c r="A184" s="13" t="n">
        <v>183</v>
      </c>
      <c r="B184" s="13" t="s">
        <v>1551</v>
      </c>
      <c r="C184" s="13" t="s">
        <v>159</v>
      </c>
      <c r="D184" s="13" t="s">
        <v>160</v>
      </c>
      <c r="E184" s="13" t="s">
        <v>50</v>
      </c>
      <c r="F184" s="13" t="s">
        <v>51</v>
      </c>
      <c r="G184" s="13" t="s">
        <v>689</v>
      </c>
      <c r="H184" s="13" t="s">
        <v>1552</v>
      </c>
      <c r="I184" s="13" t="s">
        <v>1553</v>
      </c>
      <c r="J184" s="13" t="s">
        <v>1554</v>
      </c>
      <c r="K184" s="13" t="s">
        <v>1555</v>
      </c>
      <c r="L184" s="13" t="s">
        <v>803</v>
      </c>
      <c r="M184" s="13" t="n">
        <v>893.7</v>
      </c>
      <c r="N184" s="13" t="n">
        <v>0.31</v>
      </c>
      <c r="O184" s="13" t="n">
        <v>83</v>
      </c>
      <c r="P184" s="13" t="s">
        <v>804</v>
      </c>
      <c r="Q184" s="13" t="s">
        <v>1556</v>
      </c>
      <c r="R184" s="13" t="s">
        <v>595</v>
      </c>
      <c r="S184" s="13" t="s">
        <v>595</v>
      </c>
      <c r="T184" s="13" t="s">
        <v>61</v>
      </c>
      <c r="U184" s="13"/>
    </row>
    <row r="185" customFormat="false" ht="18" hidden="false" customHeight="true" outlineLevel="0" collapsed="false">
      <c r="A185" s="13" t="n">
        <v>184</v>
      </c>
      <c r="B185" s="13" t="s">
        <v>1557</v>
      </c>
      <c r="C185" s="13" t="s">
        <v>255</v>
      </c>
      <c r="D185" s="13" t="s">
        <v>256</v>
      </c>
      <c r="E185" s="13" t="s">
        <v>161</v>
      </c>
      <c r="F185" s="13" t="s">
        <v>51</v>
      </c>
      <c r="G185" s="13" t="s">
        <v>296</v>
      </c>
      <c r="H185" s="13" t="s">
        <v>1558</v>
      </c>
      <c r="I185" s="13" t="s">
        <v>1559</v>
      </c>
      <c r="J185" s="13" t="s">
        <v>1560</v>
      </c>
      <c r="K185" s="13" t="s">
        <v>1561</v>
      </c>
      <c r="L185" s="13" t="s">
        <v>861</v>
      </c>
      <c r="M185" s="13" t="n">
        <v>336.77</v>
      </c>
      <c r="N185" s="13" t="n">
        <v>0.27</v>
      </c>
      <c r="O185" s="13" t="n">
        <v>290</v>
      </c>
      <c r="P185" s="13" t="s">
        <v>862</v>
      </c>
      <c r="Q185" s="13" t="s">
        <v>1562</v>
      </c>
      <c r="R185" s="13" t="s">
        <v>1267</v>
      </c>
      <c r="S185" s="13" t="s">
        <v>1267</v>
      </c>
      <c r="T185" s="13" t="s">
        <v>61</v>
      </c>
      <c r="U185" s="13"/>
    </row>
    <row r="186" customFormat="false" ht="18" hidden="false" customHeight="true" outlineLevel="0" collapsed="false">
      <c r="A186" s="14" t="n">
        <v>185</v>
      </c>
      <c r="B186" s="14" t="s">
        <v>1563</v>
      </c>
      <c r="C186" s="14" t="s">
        <v>159</v>
      </c>
      <c r="D186" s="14" t="s">
        <v>160</v>
      </c>
      <c r="E186" s="14" t="s">
        <v>161</v>
      </c>
      <c r="F186" s="14" t="s">
        <v>295</v>
      </c>
      <c r="G186" s="14" t="s">
        <v>285</v>
      </c>
      <c r="H186" s="14" t="s">
        <v>1564</v>
      </c>
      <c r="I186" s="14"/>
      <c r="J186" s="14" t="s">
        <v>1565</v>
      </c>
      <c r="K186" s="14" t="s">
        <v>1566</v>
      </c>
      <c r="L186" s="14" t="s">
        <v>1567</v>
      </c>
      <c r="M186" s="14" t="n">
        <v>316.68</v>
      </c>
      <c r="N186" s="14" t="n">
        <v>0.22</v>
      </c>
      <c r="O186" s="14" t="n">
        <v>258</v>
      </c>
      <c r="P186" s="14" t="s">
        <v>1568</v>
      </c>
      <c r="Q186" s="14" t="s">
        <v>1569</v>
      </c>
      <c r="R186" s="14" t="s">
        <v>1570</v>
      </c>
      <c r="S186" s="14" t="s">
        <v>1570</v>
      </c>
      <c r="T186" s="14" t="s">
        <v>61</v>
      </c>
      <c r="U186" s="14" t="s">
        <v>272</v>
      </c>
    </row>
    <row r="187" customFormat="false" ht="18" hidden="false" customHeight="true" outlineLevel="0" collapsed="false">
      <c r="A187" s="13" t="n">
        <v>186</v>
      </c>
      <c r="B187" s="13" t="s">
        <v>1571</v>
      </c>
      <c r="C187" s="13" t="s">
        <v>48</v>
      </c>
      <c r="D187" s="13" t="s">
        <v>49</v>
      </c>
      <c r="E187" s="13" t="s">
        <v>91</v>
      </c>
      <c r="F187" s="13" t="s">
        <v>780</v>
      </c>
      <c r="G187" s="13" t="s">
        <v>533</v>
      </c>
      <c r="H187" s="13" t="s">
        <v>1572</v>
      </c>
      <c r="I187" s="13" t="s">
        <v>1573</v>
      </c>
      <c r="J187" s="13" t="s">
        <v>1574</v>
      </c>
      <c r="K187" s="13" t="s">
        <v>1575</v>
      </c>
      <c r="L187" s="13" t="s">
        <v>1576</v>
      </c>
      <c r="M187" s="13" t="n">
        <v>2424.59</v>
      </c>
      <c r="N187" s="13" t="n">
        <v>26.4</v>
      </c>
      <c r="O187" s="13" t="n">
        <v>214</v>
      </c>
      <c r="P187" s="13" t="s">
        <v>1577</v>
      </c>
      <c r="Q187" s="13" t="s">
        <v>1578</v>
      </c>
      <c r="R187" s="13" t="s">
        <v>1236</v>
      </c>
      <c r="S187" s="13" t="s">
        <v>1236</v>
      </c>
      <c r="T187" s="13" t="s">
        <v>61</v>
      </c>
      <c r="U187" s="13"/>
    </row>
    <row r="188" customFormat="false" ht="18" hidden="false" customHeight="true" outlineLevel="0" collapsed="false">
      <c r="A188" s="13" t="n">
        <v>187</v>
      </c>
      <c r="B188" s="13" t="s">
        <v>1579</v>
      </c>
      <c r="C188" s="13" t="s">
        <v>113</v>
      </c>
      <c r="D188" s="13" t="s">
        <v>114</v>
      </c>
      <c r="E188" s="13" t="s">
        <v>79</v>
      </c>
      <c r="F188" s="13" t="s">
        <v>465</v>
      </c>
      <c r="G188" s="13" t="s">
        <v>562</v>
      </c>
      <c r="H188" s="13" t="s">
        <v>1580</v>
      </c>
      <c r="I188" s="13" t="s">
        <v>1581</v>
      </c>
      <c r="J188" s="13" t="s">
        <v>1582</v>
      </c>
      <c r="K188" s="13" t="s">
        <v>1583</v>
      </c>
      <c r="L188" s="13" t="s">
        <v>1584</v>
      </c>
      <c r="M188" s="13" t="n">
        <v>1118.09</v>
      </c>
      <c r="N188" s="13" t="n">
        <v>2.17</v>
      </c>
      <c r="O188" s="13" t="n">
        <v>108</v>
      </c>
      <c r="P188" s="13" t="s">
        <v>1585</v>
      </c>
      <c r="Q188" s="13" t="s">
        <v>1586</v>
      </c>
      <c r="R188" s="13" t="s">
        <v>1179</v>
      </c>
      <c r="S188" s="13" t="s">
        <v>1179</v>
      </c>
      <c r="T188" s="13" t="s">
        <v>61</v>
      </c>
      <c r="U188" s="13"/>
    </row>
    <row r="189" customFormat="false" ht="18" hidden="false" customHeight="true" outlineLevel="0" collapsed="false">
      <c r="A189" s="13" t="n">
        <v>188</v>
      </c>
      <c r="B189" s="13" t="s">
        <v>1587</v>
      </c>
      <c r="C189" s="13" t="s">
        <v>48</v>
      </c>
      <c r="D189" s="13" t="s">
        <v>49</v>
      </c>
      <c r="E189" s="13" t="s">
        <v>79</v>
      </c>
      <c r="F189" s="13" t="s">
        <v>956</v>
      </c>
      <c r="G189" s="13" t="s">
        <v>562</v>
      </c>
      <c r="H189" s="13" t="s">
        <v>1588</v>
      </c>
      <c r="I189" s="13" t="s">
        <v>1589</v>
      </c>
      <c r="J189" s="13" t="s">
        <v>1590</v>
      </c>
      <c r="K189" s="13" t="s">
        <v>1591</v>
      </c>
      <c r="L189" s="13" t="s">
        <v>1289</v>
      </c>
      <c r="M189" s="13" t="n">
        <v>567.93</v>
      </c>
      <c r="N189" s="13" t="n">
        <v>1.26</v>
      </c>
      <c r="O189" s="13" t="n">
        <v>221</v>
      </c>
      <c r="P189" s="13" t="s">
        <v>1290</v>
      </c>
      <c r="Q189" s="13" t="s">
        <v>1592</v>
      </c>
      <c r="R189" s="13" t="s">
        <v>604</v>
      </c>
      <c r="S189" s="13" t="s">
        <v>604</v>
      </c>
      <c r="T189" s="13" t="s">
        <v>61</v>
      </c>
      <c r="U189" s="13"/>
    </row>
    <row r="190" customFormat="false" ht="18" hidden="false" customHeight="true" outlineLevel="0" collapsed="false">
      <c r="A190" s="13" t="n">
        <v>189</v>
      </c>
      <c r="B190" s="13" t="s">
        <v>1593</v>
      </c>
      <c r="C190" s="13" t="s">
        <v>63</v>
      </c>
      <c r="D190" s="13" t="s">
        <v>64</v>
      </c>
      <c r="E190" s="13" t="s">
        <v>91</v>
      </c>
      <c r="F190" s="13" t="s">
        <v>780</v>
      </c>
      <c r="G190" s="13" t="s">
        <v>186</v>
      </c>
      <c r="H190" s="13" t="s">
        <v>1594</v>
      </c>
      <c r="I190" s="13" t="s">
        <v>1595</v>
      </c>
      <c r="J190" s="13" t="s">
        <v>1596</v>
      </c>
      <c r="K190" s="13" t="s">
        <v>1597</v>
      </c>
      <c r="L190" s="13" t="s">
        <v>1163</v>
      </c>
      <c r="M190" s="13" t="n">
        <v>839.61</v>
      </c>
      <c r="N190" s="13" t="n">
        <v>13.04</v>
      </c>
      <c r="O190" s="13" t="n">
        <v>490</v>
      </c>
      <c r="P190" s="13" t="s">
        <v>1164</v>
      </c>
      <c r="Q190" s="13" t="s">
        <v>331</v>
      </c>
      <c r="R190" s="13" t="s">
        <v>1008</v>
      </c>
      <c r="S190" s="13" t="s">
        <v>1008</v>
      </c>
      <c r="T190" s="13" t="s">
        <v>61</v>
      </c>
      <c r="U190" s="13"/>
    </row>
    <row r="191" customFormat="false" ht="18" hidden="false" customHeight="true" outlineLevel="0" collapsed="false">
      <c r="A191" s="13" t="n">
        <v>190</v>
      </c>
      <c r="B191" s="13" t="s">
        <v>1598</v>
      </c>
      <c r="C191" s="13" t="s">
        <v>63</v>
      </c>
      <c r="D191" s="13" t="s">
        <v>64</v>
      </c>
      <c r="E191" s="13" t="s">
        <v>79</v>
      </c>
      <c r="F191" s="13" t="s">
        <v>513</v>
      </c>
      <c r="G191" s="13" t="s">
        <v>760</v>
      </c>
      <c r="H191" s="13" t="s">
        <v>1599</v>
      </c>
      <c r="I191" s="13" t="s">
        <v>1600</v>
      </c>
      <c r="J191" s="13" t="s">
        <v>1601</v>
      </c>
      <c r="K191" s="13" t="s">
        <v>1602</v>
      </c>
      <c r="L191" s="13" t="s">
        <v>1331</v>
      </c>
      <c r="M191" s="13" t="n">
        <v>2445.5</v>
      </c>
      <c r="N191" s="13" t="n">
        <v>2.67</v>
      </c>
      <c r="O191" s="13" t="n">
        <v>193</v>
      </c>
      <c r="P191" s="13" t="s">
        <v>1332</v>
      </c>
      <c r="Q191" s="13" t="s">
        <v>1603</v>
      </c>
      <c r="R191" s="13" t="s">
        <v>1604</v>
      </c>
      <c r="S191" s="13" t="s">
        <v>1604</v>
      </c>
      <c r="T191" s="13" t="s">
        <v>61</v>
      </c>
      <c r="U191" s="13"/>
    </row>
    <row r="192" customFormat="false" ht="18" hidden="false" customHeight="true" outlineLevel="0" collapsed="false">
      <c r="A192" s="13" t="n">
        <v>191</v>
      </c>
      <c r="B192" s="13" t="s">
        <v>1605</v>
      </c>
      <c r="C192" s="13" t="s">
        <v>63</v>
      </c>
      <c r="D192" s="13" t="s">
        <v>64</v>
      </c>
      <c r="E192" s="13" t="s">
        <v>161</v>
      </c>
      <c r="F192" s="13" t="s">
        <v>51</v>
      </c>
      <c r="G192" s="13" t="s">
        <v>334</v>
      </c>
      <c r="H192" s="13" t="s">
        <v>1606</v>
      </c>
      <c r="I192" s="13" t="s">
        <v>1607</v>
      </c>
      <c r="J192" s="13" t="s">
        <v>1608</v>
      </c>
      <c r="K192" s="13" t="s">
        <v>1609</v>
      </c>
      <c r="L192" s="13" t="s">
        <v>1032</v>
      </c>
      <c r="M192" s="13" t="n">
        <v>521.96</v>
      </c>
      <c r="N192" s="13" t="n">
        <v>0.38</v>
      </c>
      <c r="O192" s="13" t="n">
        <v>401</v>
      </c>
      <c r="P192" s="13" t="s">
        <v>1033</v>
      </c>
      <c r="Q192" s="13" t="s">
        <v>1610</v>
      </c>
      <c r="R192" s="13" t="s">
        <v>1611</v>
      </c>
      <c r="S192" s="13" t="s">
        <v>1611</v>
      </c>
      <c r="T192" s="13" t="s">
        <v>61</v>
      </c>
      <c r="U192" s="13"/>
    </row>
    <row r="193" customFormat="false" ht="18" hidden="false" customHeight="true" outlineLevel="0" collapsed="false">
      <c r="A193" s="13" t="n">
        <v>192</v>
      </c>
      <c r="B193" s="13" t="s">
        <v>1612</v>
      </c>
      <c r="C193" s="13" t="s">
        <v>159</v>
      </c>
      <c r="D193" s="13" t="s">
        <v>160</v>
      </c>
      <c r="E193" s="13" t="s">
        <v>91</v>
      </c>
      <c r="F193" s="13" t="s">
        <v>185</v>
      </c>
      <c r="G193" s="13" t="s">
        <v>533</v>
      </c>
      <c r="H193" s="13" t="s">
        <v>1613</v>
      </c>
      <c r="I193" s="13" t="s">
        <v>1614</v>
      </c>
      <c r="J193" s="13" t="s">
        <v>1615</v>
      </c>
      <c r="K193" s="13" t="s">
        <v>1616</v>
      </c>
      <c r="L193" s="13" t="s">
        <v>1617</v>
      </c>
      <c r="M193" s="13" t="n">
        <v>2133.28</v>
      </c>
      <c r="N193" s="13" t="n">
        <v>38.13</v>
      </c>
      <c r="O193" s="13" t="n">
        <v>141</v>
      </c>
      <c r="P193" s="13" t="s">
        <v>1618</v>
      </c>
      <c r="Q193" s="13" t="s">
        <v>1619</v>
      </c>
      <c r="R193" s="13" t="s">
        <v>985</v>
      </c>
      <c r="S193" s="13" t="s">
        <v>985</v>
      </c>
      <c r="T193" s="13" t="s">
        <v>61</v>
      </c>
      <c r="U193" s="13"/>
    </row>
    <row r="194" customFormat="false" ht="18" hidden="false" customHeight="true" outlineLevel="0" collapsed="false">
      <c r="A194" s="15" t="n">
        <v>193</v>
      </c>
      <c r="B194" s="15" t="s">
        <v>1620</v>
      </c>
      <c r="C194" s="15" t="s">
        <v>63</v>
      </c>
      <c r="D194" s="15" t="s">
        <v>64</v>
      </c>
      <c r="E194" s="15" t="s">
        <v>91</v>
      </c>
      <c r="F194" s="15" t="s">
        <v>780</v>
      </c>
      <c r="G194" s="15" t="s">
        <v>186</v>
      </c>
      <c r="H194" s="15" t="s">
        <v>1621</v>
      </c>
      <c r="I194" s="15" t="s">
        <v>1622</v>
      </c>
      <c r="J194" s="15" t="s">
        <v>1623</v>
      </c>
      <c r="K194" s="15" t="s">
        <v>1624</v>
      </c>
      <c r="L194" s="15" t="s">
        <v>1163</v>
      </c>
      <c r="M194" s="15" t="n">
        <v>14151.36</v>
      </c>
      <c r="N194" s="15" t="n">
        <v>27</v>
      </c>
      <c r="O194" s="15" t="n">
        <v>153</v>
      </c>
      <c r="P194" s="15" t="s">
        <v>1164</v>
      </c>
      <c r="Q194" s="15" t="s">
        <v>1449</v>
      </c>
      <c r="R194" s="15" t="s">
        <v>111</v>
      </c>
      <c r="S194" s="15" t="s">
        <v>111</v>
      </c>
      <c r="T194" s="15" t="s">
        <v>61</v>
      </c>
      <c r="U194" s="15" t="s">
        <v>343</v>
      </c>
    </row>
    <row r="195" customFormat="false" ht="18" hidden="false" customHeight="true" outlineLevel="0" collapsed="false">
      <c r="A195" s="15" t="n">
        <v>194</v>
      </c>
      <c r="B195" s="15" t="s">
        <v>1625</v>
      </c>
      <c r="C195" s="15" t="s">
        <v>63</v>
      </c>
      <c r="D195" s="15" t="s">
        <v>64</v>
      </c>
      <c r="E195" s="15" t="s">
        <v>79</v>
      </c>
      <c r="F195" s="15" t="s">
        <v>956</v>
      </c>
      <c r="G195" s="15" t="s">
        <v>197</v>
      </c>
      <c r="H195" s="15" t="s">
        <v>1626</v>
      </c>
      <c r="I195" s="15" t="s">
        <v>1627</v>
      </c>
      <c r="J195" s="15" t="s">
        <v>1628</v>
      </c>
      <c r="K195" s="15" t="s">
        <v>1629</v>
      </c>
      <c r="L195" s="15" t="s">
        <v>1045</v>
      </c>
      <c r="M195" s="15" t="n">
        <v>1008.14</v>
      </c>
      <c r="N195" s="15" t="n">
        <v>1.97</v>
      </c>
      <c r="O195" s="15" t="n">
        <v>135</v>
      </c>
      <c r="P195" s="15" t="s">
        <v>1046</v>
      </c>
      <c r="Q195" s="15" t="s">
        <v>1630</v>
      </c>
      <c r="R195" s="15" t="s">
        <v>1631</v>
      </c>
      <c r="S195" s="15" t="s">
        <v>1631</v>
      </c>
      <c r="T195" s="15" t="s">
        <v>61</v>
      </c>
      <c r="U195" s="15" t="s">
        <v>778</v>
      </c>
    </row>
    <row r="196" customFormat="false" ht="18" hidden="false" customHeight="true" outlineLevel="0" collapsed="false">
      <c r="A196" s="13" t="n">
        <v>195</v>
      </c>
      <c r="B196" s="13" t="s">
        <v>1632</v>
      </c>
      <c r="C196" s="13" t="s">
        <v>77</v>
      </c>
      <c r="D196" s="13" t="s">
        <v>78</v>
      </c>
      <c r="E196" s="13" t="s">
        <v>50</v>
      </c>
      <c r="F196" s="13" t="s">
        <v>51</v>
      </c>
      <c r="G196" s="13" t="s">
        <v>689</v>
      </c>
      <c r="H196" s="13" t="s">
        <v>1633</v>
      </c>
      <c r="I196" s="13" t="s">
        <v>1634</v>
      </c>
      <c r="J196" s="13" t="s">
        <v>1635</v>
      </c>
      <c r="K196" s="13" t="s">
        <v>1636</v>
      </c>
      <c r="L196" s="13" t="s">
        <v>803</v>
      </c>
      <c r="M196" s="13" t="n">
        <v>622.39</v>
      </c>
      <c r="N196" s="13" t="n">
        <v>0.6</v>
      </c>
      <c r="O196" s="13" t="n">
        <v>339</v>
      </c>
      <c r="P196" s="13" t="s">
        <v>804</v>
      </c>
      <c r="Q196" s="13" t="s">
        <v>224</v>
      </c>
      <c r="R196" s="13" t="s">
        <v>1366</v>
      </c>
      <c r="S196" s="13" t="s">
        <v>1366</v>
      </c>
      <c r="T196" s="13" t="s">
        <v>61</v>
      </c>
      <c r="U196" s="13"/>
    </row>
    <row r="197" customFormat="false" ht="18" hidden="false" customHeight="true" outlineLevel="0" collapsed="false">
      <c r="A197" s="16" t="n">
        <v>196</v>
      </c>
      <c r="B197" s="16" t="s">
        <v>1637</v>
      </c>
      <c r="C197" s="16" t="s">
        <v>77</v>
      </c>
      <c r="D197" s="16" t="s">
        <v>78</v>
      </c>
      <c r="E197" s="16" t="s">
        <v>50</v>
      </c>
      <c r="F197" s="16" t="s">
        <v>115</v>
      </c>
      <c r="G197" s="16" t="s">
        <v>52</v>
      </c>
      <c r="H197" s="16" t="s">
        <v>1638</v>
      </c>
      <c r="I197" s="16" t="s">
        <v>1639</v>
      </c>
      <c r="J197" s="16" t="s">
        <v>1640</v>
      </c>
      <c r="K197" s="16" t="s">
        <v>119</v>
      </c>
      <c r="L197" s="16" t="s">
        <v>120</v>
      </c>
      <c r="M197" s="16" t="n">
        <v>1205.21</v>
      </c>
      <c r="N197" s="16" t="n">
        <v>0.68</v>
      </c>
      <c r="O197" s="16" t="n">
        <v>0</v>
      </c>
      <c r="P197" s="16" t="s">
        <v>121</v>
      </c>
      <c r="Q197" s="16" t="s">
        <v>1641</v>
      </c>
      <c r="R197" s="16" t="s">
        <v>1642</v>
      </c>
      <c r="S197" s="16" t="s">
        <v>1643</v>
      </c>
      <c r="T197" s="16" t="s">
        <v>61</v>
      </c>
      <c r="U197" s="16" t="s">
        <v>325</v>
      </c>
    </row>
    <row r="198" customFormat="false" ht="18" hidden="false" customHeight="true" outlineLevel="0" collapsed="false">
      <c r="A198" s="13" t="n">
        <v>197</v>
      </c>
      <c r="B198" s="13" t="s">
        <v>1644</v>
      </c>
      <c r="C198" s="13" t="s">
        <v>77</v>
      </c>
      <c r="D198" s="13" t="s">
        <v>78</v>
      </c>
      <c r="E198" s="13" t="s">
        <v>79</v>
      </c>
      <c r="F198" s="13" t="s">
        <v>127</v>
      </c>
      <c r="G198" s="13" t="s">
        <v>760</v>
      </c>
      <c r="H198" s="13" t="s">
        <v>1645</v>
      </c>
      <c r="I198" s="13" t="s">
        <v>1646</v>
      </c>
      <c r="J198" s="13" t="s">
        <v>1647</v>
      </c>
      <c r="K198" s="13" t="s">
        <v>1648</v>
      </c>
      <c r="L198" s="13" t="s">
        <v>1649</v>
      </c>
      <c r="M198" s="13" t="n">
        <v>1029.6</v>
      </c>
      <c r="N198" s="13" t="n">
        <v>2.08</v>
      </c>
      <c r="O198" s="13" t="n">
        <v>392</v>
      </c>
      <c r="P198" s="13" t="s">
        <v>1650</v>
      </c>
      <c r="Q198" s="13" t="s">
        <v>1651</v>
      </c>
      <c r="R198" s="13" t="s">
        <v>1652</v>
      </c>
      <c r="S198" s="13" t="s">
        <v>1652</v>
      </c>
      <c r="T198" s="13" t="s">
        <v>61</v>
      </c>
      <c r="U198" s="13"/>
    </row>
    <row r="199" customFormat="false" ht="18" hidden="false" customHeight="true" outlineLevel="0" collapsed="false">
      <c r="A199" s="13" t="n">
        <v>198</v>
      </c>
      <c r="B199" s="13" t="s">
        <v>1653</v>
      </c>
      <c r="C199" s="13" t="s">
        <v>77</v>
      </c>
      <c r="D199" s="13" t="s">
        <v>78</v>
      </c>
      <c r="E199" s="13" t="s">
        <v>65</v>
      </c>
      <c r="F199" s="13" t="s">
        <v>438</v>
      </c>
      <c r="G199" s="13" t="s">
        <v>67</v>
      </c>
      <c r="H199" s="13" t="s">
        <v>1654</v>
      </c>
      <c r="I199" s="13" t="s">
        <v>1655</v>
      </c>
      <c r="J199" s="13" t="s">
        <v>1656</v>
      </c>
      <c r="K199" s="13" t="s">
        <v>1657</v>
      </c>
      <c r="L199" s="13" t="s">
        <v>1658</v>
      </c>
      <c r="M199" s="13" t="n">
        <v>194.22</v>
      </c>
      <c r="N199" s="13" t="n">
        <v>0.7</v>
      </c>
      <c r="O199" s="13" t="n">
        <v>405</v>
      </c>
      <c r="P199" s="13" t="s">
        <v>1659</v>
      </c>
      <c r="Q199" s="13" t="s">
        <v>1660</v>
      </c>
      <c r="R199" s="13" t="s">
        <v>1661</v>
      </c>
      <c r="S199" s="13" t="s">
        <v>1661</v>
      </c>
      <c r="T199" s="13" t="s">
        <v>61</v>
      </c>
      <c r="U199" s="13"/>
    </row>
    <row r="200" customFormat="false" ht="18" hidden="false" customHeight="true" outlineLevel="0" collapsed="false">
      <c r="A200" s="14" t="n">
        <v>199</v>
      </c>
      <c r="B200" s="14" t="s">
        <v>1662</v>
      </c>
      <c r="C200" s="14" t="s">
        <v>48</v>
      </c>
      <c r="D200" s="14" t="s">
        <v>49</v>
      </c>
      <c r="E200" s="14" t="s">
        <v>79</v>
      </c>
      <c r="F200" s="14" t="s">
        <v>1531</v>
      </c>
      <c r="G200" s="14" t="s">
        <v>128</v>
      </c>
      <c r="H200" s="14" t="s">
        <v>1663</v>
      </c>
      <c r="I200" s="14" t="s">
        <v>1664</v>
      </c>
      <c r="J200" s="14" t="s">
        <v>1665</v>
      </c>
      <c r="K200" s="14" t="s">
        <v>1666</v>
      </c>
      <c r="L200" s="14" t="s">
        <v>1667</v>
      </c>
      <c r="M200" s="14" t="n">
        <v>1427.18</v>
      </c>
      <c r="N200" s="14" t="n">
        <v>2.65</v>
      </c>
      <c r="O200" s="14" t="n">
        <v>26</v>
      </c>
      <c r="P200" s="14"/>
      <c r="Q200" s="14" t="s">
        <v>1668</v>
      </c>
      <c r="R200" s="14" t="s">
        <v>1669</v>
      </c>
      <c r="S200" s="14" t="s">
        <v>1669</v>
      </c>
      <c r="T200" s="14" t="s">
        <v>61</v>
      </c>
      <c r="U200" s="14" t="s">
        <v>1014</v>
      </c>
    </row>
    <row r="201" customFormat="false" ht="18" hidden="false" customHeight="true" outlineLevel="0" collapsed="false">
      <c r="A201" s="13" t="n">
        <v>200</v>
      </c>
      <c r="B201" s="13" t="s">
        <v>1670</v>
      </c>
      <c r="C201" s="13" t="s">
        <v>63</v>
      </c>
      <c r="D201" s="13" t="s">
        <v>64</v>
      </c>
      <c r="E201" s="13" t="s">
        <v>91</v>
      </c>
      <c r="F201" s="13" t="s">
        <v>780</v>
      </c>
      <c r="G201" s="13" t="s">
        <v>93</v>
      </c>
      <c r="H201" s="13" t="s">
        <v>1671</v>
      </c>
      <c r="I201" s="13" t="s">
        <v>1672</v>
      </c>
      <c r="J201" s="13" t="s">
        <v>1673</v>
      </c>
      <c r="K201" s="13" t="s">
        <v>1674</v>
      </c>
      <c r="L201" s="13" t="s">
        <v>1675</v>
      </c>
      <c r="M201" s="13" t="n">
        <v>3844.29</v>
      </c>
      <c r="N201" s="13" t="n">
        <v>12.25</v>
      </c>
      <c r="O201" s="13" t="n">
        <v>427</v>
      </c>
      <c r="P201" s="13" t="s">
        <v>1676</v>
      </c>
      <c r="Q201" s="13" t="s">
        <v>1677</v>
      </c>
      <c r="R201" s="13" t="s">
        <v>1026</v>
      </c>
      <c r="S201" s="13" t="s">
        <v>1026</v>
      </c>
      <c r="T201" s="13" t="s">
        <v>61</v>
      </c>
      <c r="U201" s="13"/>
    </row>
    <row r="202" customFormat="false" ht="18" hidden="false" customHeight="true" outlineLevel="0" collapsed="false">
      <c r="A202" s="13" t="n">
        <v>201</v>
      </c>
      <c r="B202" s="13" t="s">
        <v>1678</v>
      </c>
      <c r="C202" s="13" t="s">
        <v>255</v>
      </c>
      <c r="D202" s="13" t="s">
        <v>256</v>
      </c>
      <c r="E202" s="13" t="s">
        <v>161</v>
      </c>
      <c r="F202" s="13" t="s">
        <v>306</v>
      </c>
      <c r="G202" s="13" t="s">
        <v>207</v>
      </c>
      <c r="H202" s="13" t="s">
        <v>1679</v>
      </c>
      <c r="I202" s="13" t="s">
        <v>1680</v>
      </c>
      <c r="J202" s="13" t="s">
        <v>1681</v>
      </c>
      <c r="K202" s="13" t="s">
        <v>1682</v>
      </c>
      <c r="L202" s="13" t="s">
        <v>1683</v>
      </c>
      <c r="M202" s="13" t="n">
        <v>491.22</v>
      </c>
      <c r="N202" s="13" t="n">
        <v>0.32</v>
      </c>
      <c r="O202" s="13" t="n">
        <v>44</v>
      </c>
      <c r="P202" s="13" t="s">
        <v>1684</v>
      </c>
      <c r="Q202" s="13" t="s">
        <v>1188</v>
      </c>
      <c r="R202" s="13" t="s">
        <v>1685</v>
      </c>
      <c r="S202" s="13" t="s">
        <v>1685</v>
      </c>
      <c r="T202" s="13" t="s">
        <v>61</v>
      </c>
      <c r="U202" s="13"/>
    </row>
    <row r="203" customFormat="false" ht="18" hidden="false" customHeight="true" outlineLevel="0" collapsed="false">
      <c r="A203" s="13" t="n">
        <v>202</v>
      </c>
      <c r="B203" s="13" t="s">
        <v>1686</v>
      </c>
      <c r="C203" s="13" t="s">
        <v>255</v>
      </c>
      <c r="D203" s="13" t="s">
        <v>256</v>
      </c>
      <c r="E203" s="13" t="s">
        <v>91</v>
      </c>
      <c r="F203" s="13" t="s">
        <v>419</v>
      </c>
      <c r="G203" s="13" t="s">
        <v>93</v>
      </c>
      <c r="H203" s="13" t="s">
        <v>1687</v>
      </c>
      <c r="I203" s="13" t="s">
        <v>1688</v>
      </c>
      <c r="J203" s="13" t="s">
        <v>1689</v>
      </c>
      <c r="K203" s="13" t="s">
        <v>1690</v>
      </c>
      <c r="L203" s="13" t="s">
        <v>624</v>
      </c>
      <c r="M203" s="13" t="n">
        <v>638.73</v>
      </c>
      <c r="N203" s="13" t="n">
        <v>35.2</v>
      </c>
      <c r="O203" s="13" t="n">
        <v>43</v>
      </c>
      <c r="P203" s="13" t="s">
        <v>625</v>
      </c>
      <c r="Q203" s="13" t="s">
        <v>1691</v>
      </c>
      <c r="R203" s="13" t="s">
        <v>531</v>
      </c>
      <c r="S203" s="13" t="s">
        <v>531</v>
      </c>
      <c r="T203" s="13" t="s">
        <v>61</v>
      </c>
      <c r="U203" s="13"/>
    </row>
    <row r="204" customFormat="false" ht="18" hidden="false" customHeight="true" outlineLevel="0" collapsed="false">
      <c r="A204" s="13" t="n">
        <v>203</v>
      </c>
      <c r="B204" s="13" t="s">
        <v>1692</v>
      </c>
      <c r="C204" s="13" t="s">
        <v>125</v>
      </c>
      <c r="D204" s="13" t="s">
        <v>126</v>
      </c>
      <c r="E204" s="13" t="s">
        <v>65</v>
      </c>
      <c r="F204" s="13" t="s">
        <v>66</v>
      </c>
      <c r="G204" s="13" t="s">
        <v>274</v>
      </c>
      <c r="H204" s="13" t="s">
        <v>1693</v>
      </c>
      <c r="I204" s="13" t="s">
        <v>1694</v>
      </c>
      <c r="J204" s="13" t="s">
        <v>1695</v>
      </c>
      <c r="K204" s="13" t="s">
        <v>1696</v>
      </c>
      <c r="L204" s="13" t="s">
        <v>1697</v>
      </c>
      <c r="M204" s="13" t="n">
        <v>297.21</v>
      </c>
      <c r="N204" s="13" t="n">
        <v>0.36</v>
      </c>
      <c r="O204" s="13" t="n">
        <v>342</v>
      </c>
      <c r="P204" s="13" t="s">
        <v>1698</v>
      </c>
      <c r="Q204" s="13" t="s">
        <v>1699</v>
      </c>
      <c r="R204" s="13" t="s">
        <v>1700</v>
      </c>
      <c r="S204" s="13" t="s">
        <v>1700</v>
      </c>
      <c r="T204" s="13" t="s">
        <v>61</v>
      </c>
      <c r="U204" s="13"/>
    </row>
    <row r="205" customFormat="false" ht="18" hidden="false" customHeight="true" outlineLevel="0" collapsed="false">
      <c r="A205" s="15" t="n">
        <v>204</v>
      </c>
      <c r="B205" s="15" t="s">
        <v>1701</v>
      </c>
      <c r="C205" s="15" t="s">
        <v>125</v>
      </c>
      <c r="D205" s="15" t="s">
        <v>126</v>
      </c>
      <c r="E205" s="15" t="s">
        <v>91</v>
      </c>
      <c r="F205" s="15" t="s">
        <v>92</v>
      </c>
      <c r="G205" s="15" t="s">
        <v>420</v>
      </c>
      <c r="H205" s="15" t="s">
        <v>1702</v>
      </c>
      <c r="I205" s="15" t="s">
        <v>1703</v>
      </c>
      <c r="J205" s="15" t="s">
        <v>1704</v>
      </c>
      <c r="K205" s="15" t="s">
        <v>1705</v>
      </c>
      <c r="L205" s="15" t="s">
        <v>1228</v>
      </c>
      <c r="M205" s="15" t="n">
        <v>2669.91</v>
      </c>
      <c r="N205" s="15" t="n">
        <v>14.08</v>
      </c>
      <c r="O205" s="15" t="n">
        <v>0</v>
      </c>
      <c r="P205" s="15" t="s">
        <v>1229</v>
      </c>
      <c r="Q205" s="15" t="s">
        <v>1706</v>
      </c>
      <c r="R205" s="15" t="s">
        <v>1707</v>
      </c>
      <c r="S205" s="15" t="s">
        <v>1708</v>
      </c>
      <c r="T205" s="15" t="s">
        <v>61</v>
      </c>
      <c r="U205" s="15" t="s">
        <v>778</v>
      </c>
    </row>
    <row r="206" customFormat="false" ht="18" hidden="false" customHeight="true" outlineLevel="0" collapsed="false">
      <c r="A206" s="13" t="n">
        <v>205</v>
      </c>
      <c r="B206" s="13" t="s">
        <v>1709</v>
      </c>
      <c r="C206" s="13" t="s">
        <v>63</v>
      </c>
      <c r="D206" s="13" t="s">
        <v>64</v>
      </c>
      <c r="E206" s="13" t="s">
        <v>91</v>
      </c>
      <c r="F206" s="13" t="s">
        <v>587</v>
      </c>
      <c r="G206" s="13" t="s">
        <v>186</v>
      </c>
      <c r="H206" s="13" t="s">
        <v>1710</v>
      </c>
      <c r="I206" s="13" t="s">
        <v>1711</v>
      </c>
      <c r="J206" s="13" t="s">
        <v>1712</v>
      </c>
      <c r="K206" s="13" t="s">
        <v>1713</v>
      </c>
      <c r="L206" s="13" t="s">
        <v>1714</v>
      </c>
      <c r="M206" s="13" t="n">
        <v>3813.33</v>
      </c>
      <c r="N206" s="13" t="n">
        <v>36.08</v>
      </c>
      <c r="O206" s="13" t="n">
        <v>362</v>
      </c>
      <c r="P206" s="13" t="s">
        <v>1715</v>
      </c>
      <c r="Q206" s="13" t="s">
        <v>1105</v>
      </c>
      <c r="R206" s="13" t="s">
        <v>829</v>
      </c>
      <c r="S206" s="13" t="s">
        <v>829</v>
      </c>
      <c r="T206" s="13" t="s">
        <v>61</v>
      </c>
      <c r="U206" s="13"/>
    </row>
    <row r="207" customFormat="false" ht="18" hidden="false" customHeight="true" outlineLevel="0" collapsed="false">
      <c r="A207" s="13" t="n">
        <v>206</v>
      </c>
      <c r="B207" s="13" t="s">
        <v>1716</v>
      </c>
      <c r="C207" s="13" t="s">
        <v>48</v>
      </c>
      <c r="D207" s="13" t="s">
        <v>49</v>
      </c>
      <c r="E207" s="13" t="s">
        <v>161</v>
      </c>
      <c r="F207" s="13" t="s">
        <v>295</v>
      </c>
      <c r="G207" s="13" t="s">
        <v>163</v>
      </c>
      <c r="H207" s="13" t="s">
        <v>1717</v>
      </c>
      <c r="I207" s="13" t="s">
        <v>1718</v>
      </c>
      <c r="J207" s="13" t="s">
        <v>1719</v>
      </c>
      <c r="K207" s="13" t="s">
        <v>1720</v>
      </c>
      <c r="L207" s="13" t="s">
        <v>1721</v>
      </c>
      <c r="M207" s="13" t="n">
        <v>328.67</v>
      </c>
      <c r="N207" s="13" t="n">
        <v>0.24</v>
      </c>
      <c r="O207" s="13" t="n">
        <v>402</v>
      </c>
      <c r="P207" s="13" t="s">
        <v>1722</v>
      </c>
      <c r="Q207" s="13" t="s">
        <v>1723</v>
      </c>
      <c r="R207" s="13" t="s">
        <v>1724</v>
      </c>
      <c r="S207" s="13" t="s">
        <v>1724</v>
      </c>
      <c r="T207" s="13" t="s">
        <v>61</v>
      </c>
      <c r="U207" s="13"/>
    </row>
    <row r="208" customFormat="false" ht="18" hidden="false" customHeight="true" outlineLevel="0" collapsed="false">
      <c r="A208" s="13" t="n">
        <v>207</v>
      </c>
      <c r="B208" s="13" t="s">
        <v>1725</v>
      </c>
      <c r="C208" s="13" t="s">
        <v>173</v>
      </c>
      <c r="D208" s="13" t="s">
        <v>174</v>
      </c>
      <c r="E208" s="13" t="s">
        <v>161</v>
      </c>
      <c r="F208" s="13" t="s">
        <v>185</v>
      </c>
      <c r="G208" s="13" t="s">
        <v>334</v>
      </c>
      <c r="H208" s="13" t="s">
        <v>1726</v>
      </c>
      <c r="I208" s="13" t="s">
        <v>1727</v>
      </c>
      <c r="J208" s="13" t="s">
        <v>1728</v>
      </c>
      <c r="K208" s="13" t="s">
        <v>1729</v>
      </c>
      <c r="L208" s="13" t="s">
        <v>1131</v>
      </c>
      <c r="M208" s="13" t="n">
        <v>449.08</v>
      </c>
      <c r="N208" s="13" t="n">
        <v>0.27</v>
      </c>
      <c r="O208" s="13" t="n">
        <v>358</v>
      </c>
      <c r="P208" s="13" t="s">
        <v>1132</v>
      </c>
      <c r="Q208" s="13" t="s">
        <v>1730</v>
      </c>
      <c r="R208" s="13" t="s">
        <v>1731</v>
      </c>
      <c r="S208" s="13" t="s">
        <v>1731</v>
      </c>
      <c r="T208" s="13" t="s">
        <v>61</v>
      </c>
      <c r="U208" s="13"/>
    </row>
    <row r="209" customFormat="false" ht="18" hidden="false" customHeight="true" outlineLevel="0" collapsed="false">
      <c r="A209" s="13" t="n">
        <v>208</v>
      </c>
      <c r="B209" s="13" t="s">
        <v>1732</v>
      </c>
      <c r="C209" s="13" t="s">
        <v>63</v>
      </c>
      <c r="D209" s="13" t="s">
        <v>64</v>
      </c>
      <c r="E209" s="13" t="s">
        <v>50</v>
      </c>
      <c r="F209" s="13" t="s">
        <v>127</v>
      </c>
      <c r="G209" s="13" t="s">
        <v>808</v>
      </c>
      <c r="H209" s="13" t="s">
        <v>1733</v>
      </c>
      <c r="I209" s="13" t="s">
        <v>1734</v>
      </c>
      <c r="J209" s="13" t="s">
        <v>1735</v>
      </c>
      <c r="K209" s="13" t="s">
        <v>1736</v>
      </c>
      <c r="L209" s="13" t="s">
        <v>1737</v>
      </c>
      <c r="M209" s="13" t="n">
        <v>1254.9</v>
      </c>
      <c r="N209" s="13" t="n">
        <v>0.57</v>
      </c>
      <c r="O209" s="13" t="n">
        <v>203</v>
      </c>
      <c r="P209" s="13" t="s">
        <v>1738</v>
      </c>
      <c r="Q209" s="13" t="s">
        <v>1739</v>
      </c>
      <c r="R209" s="13" t="s">
        <v>271</v>
      </c>
      <c r="S209" s="13" t="s">
        <v>271</v>
      </c>
      <c r="T209" s="13" t="s">
        <v>61</v>
      </c>
      <c r="U209" s="13"/>
    </row>
    <row r="210" customFormat="false" ht="18" hidden="false" customHeight="true" outlineLevel="0" collapsed="false">
      <c r="A210" s="13" t="n">
        <v>209</v>
      </c>
      <c r="B210" s="13" t="s">
        <v>1740</v>
      </c>
      <c r="C210" s="13" t="s">
        <v>255</v>
      </c>
      <c r="D210" s="13" t="s">
        <v>256</v>
      </c>
      <c r="E210" s="13" t="s">
        <v>91</v>
      </c>
      <c r="F210" s="13" t="s">
        <v>92</v>
      </c>
      <c r="G210" s="13" t="s">
        <v>743</v>
      </c>
      <c r="H210" s="13" t="s">
        <v>1741</v>
      </c>
      <c r="I210" s="13" t="s">
        <v>1742</v>
      </c>
      <c r="J210" s="13" t="s">
        <v>1743</v>
      </c>
      <c r="K210" s="13" t="s">
        <v>1744</v>
      </c>
      <c r="L210" s="13" t="s">
        <v>1349</v>
      </c>
      <c r="M210" s="13" t="n">
        <v>3930.32</v>
      </c>
      <c r="N210" s="13" t="n">
        <v>29.01</v>
      </c>
      <c r="O210" s="13" t="n">
        <v>479</v>
      </c>
      <c r="P210" s="13" t="s">
        <v>1350</v>
      </c>
      <c r="Q210" s="13" t="s">
        <v>1745</v>
      </c>
      <c r="R210" s="13" t="s">
        <v>1642</v>
      </c>
      <c r="S210" s="13" t="s">
        <v>1642</v>
      </c>
      <c r="T210" s="13" t="s">
        <v>61</v>
      </c>
      <c r="U210" s="13"/>
    </row>
    <row r="211" customFormat="false" ht="18" hidden="false" customHeight="true" outlineLevel="0" collapsed="false">
      <c r="A211" s="13" t="n">
        <v>210</v>
      </c>
      <c r="B211" s="13" t="s">
        <v>1746</v>
      </c>
      <c r="C211" s="13" t="s">
        <v>113</v>
      </c>
      <c r="D211" s="13" t="s">
        <v>114</v>
      </c>
      <c r="E211" s="13" t="s">
        <v>65</v>
      </c>
      <c r="F211" s="13" t="s">
        <v>390</v>
      </c>
      <c r="G211" s="13" t="s">
        <v>67</v>
      </c>
      <c r="H211" s="13" t="s">
        <v>1747</v>
      </c>
      <c r="I211" s="13" t="s">
        <v>1748</v>
      </c>
      <c r="J211" s="13" t="s">
        <v>1749</v>
      </c>
      <c r="K211" s="13" t="s">
        <v>1750</v>
      </c>
      <c r="L211" s="13" t="s">
        <v>1751</v>
      </c>
      <c r="M211" s="13" t="n">
        <v>339.42</v>
      </c>
      <c r="N211" s="13" t="n">
        <v>0.21</v>
      </c>
      <c r="O211" s="13" t="n">
        <v>232</v>
      </c>
      <c r="P211" s="13" t="s">
        <v>1752</v>
      </c>
      <c r="Q211" s="13" t="s">
        <v>1753</v>
      </c>
      <c r="R211" s="13" t="s">
        <v>314</v>
      </c>
      <c r="S211" s="13" t="s">
        <v>314</v>
      </c>
      <c r="T211" s="13" t="s">
        <v>61</v>
      </c>
      <c r="U211" s="13"/>
    </row>
    <row r="212" customFormat="false" ht="18" hidden="false" customHeight="true" outlineLevel="0" collapsed="false">
      <c r="A212" s="15" t="n">
        <v>211</v>
      </c>
      <c r="B212" s="15" t="s">
        <v>1754</v>
      </c>
      <c r="C212" s="15" t="s">
        <v>48</v>
      </c>
      <c r="D212" s="15" t="s">
        <v>49</v>
      </c>
      <c r="E212" s="15" t="s">
        <v>161</v>
      </c>
      <c r="F212" s="15" t="s">
        <v>306</v>
      </c>
      <c r="G212" s="15" t="s">
        <v>285</v>
      </c>
      <c r="H212" s="15" t="s">
        <v>1755</v>
      </c>
      <c r="I212" s="15" t="s">
        <v>1756</v>
      </c>
      <c r="J212" s="15" t="s">
        <v>1757</v>
      </c>
      <c r="K212" s="15" t="s">
        <v>1758</v>
      </c>
      <c r="L212" s="15" t="s">
        <v>1186</v>
      </c>
      <c r="M212" s="15" t="n">
        <v>444.27</v>
      </c>
      <c r="N212" s="15" t="n">
        <v>0.41</v>
      </c>
      <c r="O212" s="15" t="n">
        <v>44</v>
      </c>
      <c r="P212" s="15" t="s">
        <v>1187</v>
      </c>
      <c r="Q212" s="15" t="s">
        <v>303</v>
      </c>
      <c r="R212" s="15" t="s">
        <v>242</v>
      </c>
      <c r="S212" s="15" t="s">
        <v>242</v>
      </c>
      <c r="T212" s="15" t="s">
        <v>61</v>
      </c>
      <c r="U212" s="15" t="s">
        <v>778</v>
      </c>
    </row>
    <row r="213" customFormat="false" ht="18" hidden="false" customHeight="true" outlineLevel="0" collapsed="false">
      <c r="A213" s="15" t="n">
        <v>212</v>
      </c>
      <c r="B213" s="15" t="s">
        <v>1759</v>
      </c>
      <c r="C213" s="15" t="s">
        <v>48</v>
      </c>
      <c r="D213" s="15" t="s">
        <v>49</v>
      </c>
      <c r="E213" s="15" t="s">
        <v>50</v>
      </c>
      <c r="F213" s="15" t="s">
        <v>51</v>
      </c>
      <c r="G213" s="15" t="s">
        <v>52</v>
      </c>
      <c r="H213" s="15" t="s">
        <v>1760</v>
      </c>
      <c r="I213" s="15" t="s">
        <v>1761</v>
      </c>
      <c r="J213" s="15" t="s">
        <v>1762</v>
      </c>
      <c r="K213" s="15" t="s">
        <v>1763</v>
      </c>
      <c r="L213" s="15" t="s">
        <v>57</v>
      </c>
      <c r="M213" s="15" t="n">
        <v>4855.76</v>
      </c>
      <c r="N213" s="15" t="n">
        <v>0.71</v>
      </c>
      <c r="O213" s="15" t="n">
        <v>390</v>
      </c>
      <c r="P213" s="15" t="s">
        <v>58</v>
      </c>
      <c r="Q213" s="15" t="s">
        <v>1764</v>
      </c>
      <c r="R213" s="15" t="s">
        <v>1765</v>
      </c>
      <c r="S213" s="15" t="s">
        <v>1765</v>
      </c>
      <c r="T213" s="15" t="s">
        <v>61</v>
      </c>
      <c r="U213" s="15" t="s">
        <v>343</v>
      </c>
    </row>
    <row r="214" customFormat="false" ht="18" hidden="false" customHeight="true" outlineLevel="0" collapsed="false">
      <c r="A214" s="15" t="n">
        <v>213</v>
      </c>
      <c r="B214" s="15" t="s">
        <v>1766</v>
      </c>
      <c r="C214" s="15" t="s">
        <v>255</v>
      </c>
      <c r="D214" s="15" t="s">
        <v>256</v>
      </c>
      <c r="E214" s="15" t="s">
        <v>161</v>
      </c>
      <c r="F214" s="15" t="s">
        <v>503</v>
      </c>
      <c r="G214" s="15" t="s">
        <v>689</v>
      </c>
      <c r="H214" s="15" t="s">
        <v>1767</v>
      </c>
      <c r="I214" s="15" t="s">
        <v>1768</v>
      </c>
      <c r="J214" s="15" t="s">
        <v>1769</v>
      </c>
      <c r="K214" s="15" t="s">
        <v>1770</v>
      </c>
      <c r="L214" s="15" t="s">
        <v>1298</v>
      </c>
      <c r="M214" s="15" t="n">
        <v>488.75</v>
      </c>
      <c r="N214" s="15" t="n">
        <v>0.85</v>
      </c>
      <c r="O214" s="15" t="n">
        <v>43</v>
      </c>
      <c r="P214" s="15" t="s">
        <v>1299</v>
      </c>
      <c r="Q214" s="15" t="s">
        <v>1771</v>
      </c>
      <c r="R214" s="15" t="s">
        <v>1772</v>
      </c>
      <c r="S214" s="15" t="s">
        <v>1772</v>
      </c>
      <c r="T214" s="15" t="s">
        <v>61</v>
      </c>
      <c r="U214" s="15" t="s">
        <v>453</v>
      </c>
    </row>
    <row r="215" customFormat="false" ht="18" hidden="false" customHeight="true" outlineLevel="0" collapsed="false">
      <c r="A215" s="13" t="n">
        <v>214</v>
      </c>
      <c r="B215" s="13" t="s">
        <v>1773</v>
      </c>
      <c r="C215" s="13" t="s">
        <v>77</v>
      </c>
      <c r="D215" s="13" t="s">
        <v>78</v>
      </c>
      <c r="E215" s="13" t="s">
        <v>50</v>
      </c>
      <c r="F215" s="13" t="s">
        <v>51</v>
      </c>
      <c r="G215" s="13" t="s">
        <v>689</v>
      </c>
      <c r="H215" s="13" t="s">
        <v>1774</v>
      </c>
      <c r="I215" s="13" t="s">
        <v>1775</v>
      </c>
      <c r="J215" s="13" t="s">
        <v>1776</v>
      </c>
      <c r="K215" s="13" t="s">
        <v>976</v>
      </c>
      <c r="L215" s="13" t="s">
        <v>803</v>
      </c>
      <c r="M215" s="13" t="n">
        <v>761.37</v>
      </c>
      <c r="N215" s="13" t="n">
        <v>0.7</v>
      </c>
      <c r="O215" s="13" t="n">
        <v>16</v>
      </c>
      <c r="P215" s="13" t="s">
        <v>804</v>
      </c>
      <c r="Q215" s="13" t="s">
        <v>510</v>
      </c>
      <c r="R215" s="13" t="s">
        <v>1777</v>
      </c>
      <c r="S215" s="13" t="s">
        <v>1777</v>
      </c>
      <c r="T215" s="13" t="s">
        <v>61</v>
      </c>
      <c r="U215" s="13"/>
    </row>
    <row r="216" customFormat="false" ht="18" hidden="false" customHeight="true" outlineLevel="0" collapsed="false">
      <c r="A216" s="13" t="n">
        <v>215</v>
      </c>
      <c r="B216" s="13" t="s">
        <v>1778</v>
      </c>
      <c r="C216" s="13" t="s">
        <v>113</v>
      </c>
      <c r="D216" s="13" t="s">
        <v>114</v>
      </c>
      <c r="E216" s="13" t="s">
        <v>91</v>
      </c>
      <c r="F216" s="13" t="s">
        <v>587</v>
      </c>
      <c r="G216" s="13" t="s">
        <v>93</v>
      </c>
      <c r="H216" s="13" t="s">
        <v>1779</v>
      </c>
      <c r="I216" s="13" t="s">
        <v>1780</v>
      </c>
      <c r="J216" s="13" t="s">
        <v>1781</v>
      </c>
      <c r="K216" s="13" t="s">
        <v>1782</v>
      </c>
      <c r="L216" s="13" t="s">
        <v>1783</v>
      </c>
      <c r="M216" s="13" t="n">
        <v>659.2</v>
      </c>
      <c r="N216" s="13" t="n">
        <v>44.03</v>
      </c>
      <c r="O216" s="13" t="n">
        <v>290</v>
      </c>
      <c r="P216" s="13" t="s">
        <v>1784</v>
      </c>
      <c r="Q216" s="13" t="s">
        <v>1785</v>
      </c>
      <c r="R216" s="13" t="s">
        <v>1786</v>
      </c>
      <c r="S216" s="13" t="s">
        <v>1786</v>
      </c>
      <c r="T216" s="13" t="s">
        <v>61</v>
      </c>
      <c r="U216" s="13"/>
    </row>
    <row r="217" customFormat="false" ht="18" hidden="false" customHeight="true" outlineLevel="0" collapsed="false">
      <c r="A217" s="13" t="n">
        <v>216</v>
      </c>
      <c r="B217" s="13" t="s">
        <v>1787</v>
      </c>
      <c r="C217" s="13" t="s">
        <v>77</v>
      </c>
      <c r="D217" s="13" t="s">
        <v>78</v>
      </c>
      <c r="E217" s="13" t="s">
        <v>65</v>
      </c>
      <c r="F217" s="13" t="s">
        <v>227</v>
      </c>
      <c r="G217" s="13" t="s">
        <v>724</v>
      </c>
      <c r="H217" s="13" t="s">
        <v>1788</v>
      </c>
      <c r="I217" s="13" t="s">
        <v>1789</v>
      </c>
      <c r="J217" s="13" t="s">
        <v>1790</v>
      </c>
      <c r="K217" s="13" t="s">
        <v>1791</v>
      </c>
      <c r="L217" s="13" t="s">
        <v>1792</v>
      </c>
      <c r="M217" s="13" t="n">
        <v>264.99</v>
      </c>
      <c r="N217" s="13" t="n">
        <v>1.36</v>
      </c>
      <c r="O217" s="13" t="n">
        <v>409</v>
      </c>
      <c r="P217" s="13" t="s">
        <v>1793</v>
      </c>
      <c r="Q217" s="13" t="s">
        <v>1794</v>
      </c>
      <c r="R217" s="13" t="s">
        <v>1795</v>
      </c>
      <c r="S217" s="13" t="s">
        <v>1795</v>
      </c>
      <c r="T217" s="13" t="s">
        <v>61</v>
      </c>
      <c r="U217" s="13"/>
    </row>
    <row r="218" customFormat="false" ht="18" hidden="false" customHeight="true" outlineLevel="0" collapsed="false">
      <c r="A218" s="13" t="n">
        <v>217</v>
      </c>
      <c r="B218" s="13" t="s">
        <v>1796</v>
      </c>
      <c r="C218" s="13" t="s">
        <v>113</v>
      </c>
      <c r="D218" s="13" t="s">
        <v>114</v>
      </c>
      <c r="E218" s="13" t="s">
        <v>50</v>
      </c>
      <c r="F218" s="13" t="s">
        <v>115</v>
      </c>
      <c r="G218" s="13" t="s">
        <v>52</v>
      </c>
      <c r="H218" s="13" t="s">
        <v>1797</v>
      </c>
      <c r="I218" s="13" t="s">
        <v>1798</v>
      </c>
      <c r="J218" s="13" t="s">
        <v>1799</v>
      </c>
      <c r="K218" s="13" t="s">
        <v>1800</v>
      </c>
      <c r="L218" s="13" t="s">
        <v>120</v>
      </c>
      <c r="M218" s="13" t="n">
        <v>1074.12</v>
      </c>
      <c r="N218" s="13" t="n">
        <v>0.56</v>
      </c>
      <c r="O218" s="13" t="n">
        <v>415</v>
      </c>
      <c r="P218" s="13" t="s">
        <v>121</v>
      </c>
      <c r="Q218" s="13" t="s">
        <v>1801</v>
      </c>
      <c r="R218" s="13" t="s">
        <v>1366</v>
      </c>
      <c r="S218" s="13" t="s">
        <v>1366</v>
      </c>
      <c r="T218" s="13" t="s">
        <v>61</v>
      </c>
      <c r="U218" s="13"/>
    </row>
    <row r="219" customFormat="false" ht="18" hidden="false" customHeight="true" outlineLevel="0" collapsed="false">
      <c r="A219" s="13" t="n">
        <v>218</v>
      </c>
      <c r="B219" s="13" t="s">
        <v>1802</v>
      </c>
      <c r="C219" s="13" t="s">
        <v>173</v>
      </c>
      <c r="D219" s="13" t="s">
        <v>174</v>
      </c>
      <c r="E219" s="13" t="s">
        <v>91</v>
      </c>
      <c r="F219" s="13" t="s">
        <v>780</v>
      </c>
      <c r="G219" s="13" t="s">
        <v>743</v>
      </c>
      <c r="H219" s="13" t="s">
        <v>1803</v>
      </c>
      <c r="I219" s="13" t="s">
        <v>1804</v>
      </c>
      <c r="J219" s="13" t="s">
        <v>1805</v>
      </c>
      <c r="K219" s="13" t="s">
        <v>1806</v>
      </c>
      <c r="L219" s="13" t="s">
        <v>1447</v>
      </c>
      <c r="M219" s="13" t="n">
        <v>3475.38</v>
      </c>
      <c r="N219" s="13" t="n">
        <v>22.31</v>
      </c>
      <c r="O219" s="13" t="n">
        <v>243</v>
      </c>
      <c r="P219" s="13" t="s">
        <v>1448</v>
      </c>
      <c r="Q219" s="13" t="s">
        <v>1807</v>
      </c>
      <c r="R219" s="13" t="s">
        <v>777</v>
      </c>
      <c r="S219" s="13" t="s">
        <v>777</v>
      </c>
      <c r="T219" s="13" t="s">
        <v>61</v>
      </c>
      <c r="U219" s="13"/>
    </row>
    <row r="220" customFormat="false" ht="18" hidden="false" customHeight="true" outlineLevel="0" collapsed="false">
      <c r="A220" s="14" t="n">
        <v>219</v>
      </c>
      <c r="B220" s="14" t="s">
        <v>1808</v>
      </c>
      <c r="C220" s="14" t="s">
        <v>77</v>
      </c>
      <c r="D220" s="14" t="s">
        <v>78</v>
      </c>
      <c r="E220" s="14" t="s">
        <v>50</v>
      </c>
      <c r="F220" s="14" t="s">
        <v>138</v>
      </c>
      <c r="G220" s="14" t="s">
        <v>808</v>
      </c>
      <c r="H220" s="14" t="s">
        <v>1809</v>
      </c>
      <c r="I220" s="14" t="s">
        <v>1810</v>
      </c>
      <c r="J220" s="14" t="s">
        <v>1811</v>
      </c>
      <c r="K220" s="14" t="s">
        <v>1812</v>
      </c>
      <c r="L220" s="14"/>
      <c r="M220" s="14" t="n">
        <v>671.5</v>
      </c>
      <c r="N220" s="14" t="n">
        <v>0.68</v>
      </c>
      <c r="O220" s="14" t="n">
        <v>268</v>
      </c>
      <c r="P220" s="14" t="s">
        <v>814</v>
      </c>
      <c r="Q220" s="14" t="s">
        <v>1813</v>
      </c>
      <c r="R220" s="14" t="s">
        <v>1814</v>
      </c>
      <c r="S220" s="14" t="s">
        <v>1814</v>
      </c>
      <c r="T220" s="14" t="s">
        <v>61</v>
      </c>
      <c r="U220" s="14" t="s">
        <v>1107</v>
      </c>
    </row>
    <row r="221" customFormat="false" ht="18" hidden="false" customHeight="true" outlineLevel="0" collapsed="false">
      <c r="A221" s="13" t="n">
        <v>220</v>
      </c>
      <c r="B221" s="13" t="s">
        <v>1815</v>
      </c>
      <c r="C221" s="13" t="s">
        <v>173</v>
      </c>
      <c r="D221" s="13" t="s">
        <v>174</v>
      </c>
      <c r="E221" s="13" t="s">
        <v>50</v>
      </c>
      <c r="F221" s="13" t="s">
        <v>51</v>
      </c>
      <c r="G221" s="13" t="s">
        <v>52</v>
      </c>
      <c r="H221" s="13" t="s">
        <v>1816</v>
      </c>
      <c r="I221" s="13" t="s">
        <v>1817</v>
      </c>
      <c r="J221" s="13" t="s">
        <v>1818</v>
      </c>
      <c r="K221" s="13" t="s">
        <v>1819</v>
      </c>
      <c r="L221" s="13" t="s">
        <v>57</v>
      </c>
      <c r="M221" s="13" t="n">
        <v>512.84</v>
      </c>
      <c r="N221" s="13" t="n">
        <v>0.73</v>
      </c>
      <c r="O221" s="13" t="n">
        <v>398</v>
      </c>
      <c r="P221" s="13" t="s">
        <v>58</v>
      </c>
      <c r="Q221" s="13" t="s">
        <v>1820</v>
      </c>
      <c r="R221" s="13" t="s">
        <v>1821</v>
      </c>
      <c r="S221" s="13" t="s">
        <v>1821</v>
      </c>
      <c r="T221" s="13" t="s">
        <v>61</v>
      </c>
      <c r="U221" s="13"/>
    </row>
    <row r="222" customFormat="false" ht="18" hidden="false" customHeight="true" outlineLevel="0" collapsed="false">
      <c r="A222" s="13" t="n">
        <v>221</v>
      </c>
      <c r="B222" s="13" t="s">
        <v>1822</v>
      </c>
      <c r="C222" s="13" t="s">
        <v>63</v>
      </c>
      <c r="D222" s="13" t="s">
        <v>64</v>
      </c>
      <c r="E222" s="13" t="s">
        <v>91</v>
      </c>
      <c r="F222" s="13" t="s">
        <v>587</v>
      </c>
      <c r="G222" s="13" t="s">
        <v>533</v>
      </c>
      <c r="H222" s="13" t="s">
        <v>1823</v>
      </c>
      <c r="I222" s="13" t="s">
        <v>1824</v>
      </c>
      <c r="J222" s="13" t="s">
        <v>1825</v>
      </c>
      <c r="K222" s="13" t="s">
        <v>1826</v>
      </c>
      <c r="L222" s="13" t="s">
        <v>869</v>
      </c>
      <c r="M222" s="13" t="n">
        <v>3050.3</v>
      </c>
      <c r="N222" s="13" t="n">
        <v>26.85</v>
      </c>
      <c r="O222" s="13" t="n">
        <v>298</v>
      </c>
      <c r="P222" s="13" t="s">
        <v>870</v>
      </c>
      <c r="Q222" s="13" t="s">
        <v>1230</v>
      </c>
      <c r="R222" s="13" t="s">
        <v>1827</v>
      </c>
      <c r="S222" s="13" t="s">
        <v>1827</v>
      </c>
      <c r="T222" s="13" t="s">
        <v>61</v>
      </c>
      <c r="U222" s="13"/>
    </row>
    <row r="223" customFormat="false" ht="18" hidden="false" customHeight="true" outlineLevel="0" collapsed="false">
      <c r="A223" s="13" t="n">
        <v>222</v>
      </c>
      <c r="B223" s="13" t="s">
        <v>1828</v>
      </c>
      <c r="C223" s="13" t="s">
        <v>113</v>
      </c>
      <c r="D223" s="13" t="s">
        <v>114</v>
      </c>
      <c r="E223" s="13" t="s">
        <v>65</v>
      </c>
      <c r="F223" s="13" t="s">
        <v>245</v>
      </c>
      <c r="G223" s="13" t="s">
        <v>103</v>
      </c>
      <c r="H223" s="13" t="s">
        <v>1829</v>
      </c>
      <c r="I223" s="13" t="s">
        <v>1830</v>
      </c>
      <c r="J223" s="13" t="s">
        <v>1831</v>
      </c>
      <c r="K223" s="13" t="s">
        <v>1832</v>
      </c>
      <c r="L223" s="13" t="s">
        <v>1833</v>
      </c>
      <c r="M223" s="13" t="n">
        <v>113.92</v>
      </c>
      <c r="N223" s="13" t="n">
        <v>1.23</v>
      </c>
      <c r="O223" s="13" t="n">
        <v>347</v>
      </c>
      <c r="P223" s="13" t="s">
        <v>1834</v>
      </c>
      <c r="Q223" s="13" t="s">
        <v>1835</v>
      </c>
      <c r="R223" s="13" t="s">
        <v>1836</v>
      </c>
      <c r="S223" s="13" t="s">
        <v>1836</v>
      </c>
      <c r="T223" s="13" t="s">
        <v>61</v>
      </c>
      <c r="U223" s="13"/>
    </row>
    <row r="224" customFormat="false" ht="18" hidden="false" customHeight="true" outlineLevel="0" collapsed="false">
      <c r="A224" s="13" t="n">
        <v>223</v>
      </c>
      <c r="B224" s="13" t="s">
        <v>1837</v>
      </c>
      <c r="C224" s="13" t="s">
        <v>173</v>
      </c>
      <c r="D224" s="13" t="s">
        <v>174</v>
      </c>
      <c r="E224" s="13" t="s">
        <v>161</v>
      </c>
      <c r="F224" s="13" t="s">
        <v>295</v>
      </c>
      <c r="G224" s="13" t="s">
        <v>175</v>
      </c>
      <c r="H224" s="13" t="s">
        <v>1838</v>
      </c>
      <c r="I224" s="13" t="s">
        <v>1839</v>
      </c>
      <c r="J224" s="13" t="s">
        <v>1840</v>
      </c>
      <c r="K224" s="13" t="s">
        <v>1841</v>
      </c>
      <c r="L224" s="13" t="s">
        <v>1842</v>
      </c>
      <c r="M224" s="13" t="n">
        <v>299.24</v>
      </c>
      <c r="N224" s="13" t="n">
        <v>0.43</v>
      </c>
      <c r="O224" s="13" t="n">
        <v>6</v>
      </c>
      <c r="P224" s="13" t="s">
        <v>1843</v>
      </c>
      <c r="Q224" s="13" t="s">
        <v>1844</v>
      </c>
      <c r="R224" s="13" t="s">
        <v>1845</v>
      </c>
      <c r="S224" s="13" t="s">
        <v>1845</v>
      </c>
      <c r="T224" s="13" t="s">
        <v>61</v>
      </c>
      <c r="U224" s="13"/>
    </row>
    <row r="225" customFormat="false" ht="18" hidden="false" customHeight="true" outlineLevel="0" collapsed="false">
      <c r="A225" s="13" t="n">
        <v>224</v>
      </c>
      <c r="B225" s="13" t="s">
        <v>1846</v>
      </c>
      <c r="C225" s="13" t="s">
        <v>63</v>
      </c>
      <c r="D225" s="13" t="s">
        <v>64</v>
      </c>
      <c r="E225" s="13" t="s">
        <v>50</v>
      </c>
      <c r="F225" s="13" t="s">
        <v>51</v>
      </c>
      <c r="G225" s="13" t="s">
        <v>217</v>
      </c>
      <c r="H225" s="13" t="s">
        <v>1847</v>
      </c>
      <c r="I225" s="13" t="s">
        <v>1848</v>
      </c>
      <c r="J225" s="13" t="s">
        <v>1849</v>
      </c>
      <c r="K225" s="13" t="s">
        <v>1850</v>
      </c>
      <c r="L225" s="13" t="s">
        <v>927</v>
      </c>
      <c r="M225" s="13" t="n">
        <v>597.48</v>
      </c>
      <c r="N225" s="13" t="n">
        <v>0.65</v>
      </c>
      <c r="O225" s="13" t="n">
        <v>100</v>
      </c>
      <c r="P225" s="13" t="s">
        <v>928</v>
      </c>
      <c r="Q225" s="13" t="s">
        <v>1851</v>
      </c>
      <c r="R225" s="13" t="s">
        <v>994</v>
      </c>
      <c r="S225" s="13" t="s">
        <v>994</v>
      </c>
      <c r="T225" s="13" t="s">
        <v>61</v>
      </c>
      <c r="U225" s="13"/>
    </row>
    <row r="226" customFormat="false" ht="18" hidden="false" customHeight="true" outlineLevel="0" collapsed="false">
      <c r="A226" s="13" t="n">
        <v>225</v>
      </c>
      <c r="B226" s="13" t="s">
        <v>1852</v>
      </c>
      <c r="C226" s="13" t="s">
        <v>125</v>
      </c>
      <c r="D226" s="13" t="s">
        <v>126</v>
      </c>
      <c r="E226" s="13" t="s">
        <v>50</v>
      </c>
      <c r="F226" s="13" t="s">
        <v>51</v>
      </c>
      <c r="G226" s="13" t="s">
        <v>808</v>
      </c>
      <c r="H226" s="13" t="s">
        <v>1853</v>
      </c>
      <c r="I226" s="13" t="s">
        <v>1854</v>
      </c>
      <c r="J226" s="13" t="s">
        <v>1855</v>
      </c>
      <c r="K226" s="13" t="s">
        <v>1856</v>
      </c>
      <c r="L226" s="13" t="s">
        <v>1857</v>
      </c>
      <c r="M226" s="13" t="n">
        <v>624.23</v>
      </c>
      <c r="N226" s="13" t="n">
        <v>0.41</v>
      </c>
      <c r="O226" s="13" t="n">
        <v>185</v>
      </c>
      <c r="P226" s="13" t="s">
        <v>1858</v>
      </c>
      <c r="Q226" s="13" t="s">
        <v>1859</v>
      </c>
      <c r="R226" s="13" t="s">
        <v>1860</v>
      </c>
      <c r="S226" s="13" t="s">
        <v>1860</v>
      </c>
      <c r="T226" s="13" t="s">
        <v>61</v>
      </c>
      <c r="U226" s="13"/>
    </row>
    <row r="227" customFormat="false" ht="18" hidden="false" customHeight="true" outlineLevel="0" collapsed="false">
      <c r="A227" s="13" t="n">
        <v>226</v>
      </c>
      <c r="B227" s="13" t="s">
        <v>1861</v>
      </c>
      <c r="C227" s="13" t="s">
        <v>63</v>
      </c>
      <c r="D227" s="13" t="s">
        <v>64</v>
      </c>
      <c r="E227" s="13" t="s">
        <v>50</v>
      </c>
      <c r="F227" s="13" t="s">
        <v>115</v>
      </c>
      <c r="G227" s="13" t="s">
        <v>689</v>
      </c>
      <c r="H227" s="13" t="s">
        <v>1862</v>
      </c>
      <c r="I227" s="13" t="s">
        <v>1863</v>
      </c>
      <c r="J227" s="13" t="s">
        <v>1864</v>
      </c>
      <c r="K227" s="13" t="s">
        <v>1865</v>
      </c>
      <c r="L227" s="13" t="s">
        <v>694</v>
      </c>
      <c r="M227" s="13" t="n">
        <v>570.43</v>
      </c>
      <c r="N227" s="13" t="n">
        <v>0.69</v>
      </c>
      <c r="O227" s="13" t="n">
        <v>72</v>
      </c>
      <c r="P227" s="13" t="s">
        <v>695</v>
      </c>
      <c r="Q227" s="13" t="s">
        <v>1866</v>
      </c>
      <c r="R227" s="13" t="s">
        <v>1867</v>
      </c>
      <c r="S227" s="13" t="s">
        <v>1867</v>
      </c>
      <c r="T227" s="13" t="s">
        <v>61</v>
      </c>
      <c r="U227" s="13"/>
    </row>
    <row r="228" customFormat="false" ht="18" hidden="false" customHeight="true" outlineLevel="0" collapsed="false">
      <c r="A228" s="13" t="n">
        <v>227</v>
      </c>
      <c r="B228" s="13" t="s">
        <v>1868</v>
      </c>
      <c r="C228" s="13" t="s">
        <v>159</v>
      </c>
      <c r="D228" s="13" t="s">
        <v>160</v>
      </c>
      <c r="E228" s="13" t="s">
        <v>161</v>
      </c>
      <c r="F228" s="13" t="s">
        <v>51</v>
      </c>
      <c r="G228" s="13" t="s">
        <v>285</v>
      </c>
      <c r="H228" s="13" t="s">
        <v>1869</v>
      </c>
      <c r="I228" s="13" t="s">
        <v>1870</v>
      </c>
      <c r="J228" s="13" t="s">
        <v>1871</v>
      </c>
      <c r="K228" s="13" t="s">
        <v>1872</v>
      </c>
      <c r="L228" s="13" t="s">
        <v>290</v>
      </c>
      <c r="M228" s="13" t="n">
        <v>194.83</v>
      </c>
      <c r="N228" s="13" t="n">
        <v>0.28</v>
      </c>
      <c r="O228" s="13" t="n">
        <v>414</v>
      </c>
      <c r="P228" s="13" t="s">
        <v>291</v>
      </c>
      <c r="Q228" s="13" t="s">
        <v>1873</v>
      </c>
      <c r="R228" s="13" t="s">
        <v>1061</v>
      </c>
      <c r="S228" s="13" t="s">
        <v>1061</v>
      </c>
      <c r="T228" s="13" t="s">
        <v>61</v>
      </c>
      <c r="U228" s="13"/>
    </row>
    <row r="229" customFormat="false" ht="18" hidden="false" customHeight="true" outlineLevel="0" collapsed="false">
      <c r="A229" s="15" t="n">
        <v>228</v>
      </c>
      <c r="B229" s="15" t="s">
        <v>1874</v>
      </c>
      <c r="C229" s="15" t="s">
        <v>77</v>
      </c>
      <c r="D229" s="15" t="s">
        <v>78</v>
      </c>
      <c r="E229" s="15" t="s">
        <v>50</v>
      </c>
      <c r="F229" s="15" t="s">
        <v>115</v>
      </c>
      <c r="G229" s="15" t="s">
        <v>689</v>
      </c>
      <c r="H229" s="15" t="s">
        <v>1875</v>
      </c>
      <c r="I229" s="15" t="s">
        <v>1876</v>
      </c>
      <c r="J229" s="15" t="s">
        <v>1877</v>
      </c>
      <c r="K229" s="15" t="s">
        <v>1878</v>
      </c>
      <c r="L229" s="15" t="s">
        <v>694</v>
      </c>
      <c r="M229" s="15" t="n">
        <v>1117.5</v>
      </c>
      <c r="N229" s="15" t="n">
        <v>0.37</v>
      </c>
      <c r="O229" s="15" t="n">
        <v>210</v>
      </c>
      <c r="P229" s="15" t="s">
        <v>695</v>
      </c>
      <c r="Q229" s="15" t="s">
        <v>1879</v>
      </c>
      <c r="R229" s="15" t="s">
        <v>1880</v>
      </c>
      <c r="S229" s="15" t="s">
        <v>1880</v>
      </c>
      <c r="T229" s="15" t="s">
        <v>61</v>
      </c>
      <c r="U229" s="15" t="s">
        <v>283</v>
      </c>
    </row>
    <row r="230" customFormat="false" ht="18" hidden="false" customHeight="true" outlineLevel="0" collapsed="false">
      <c r="A230" s="15" t="n">
        <v>229</v>
      </c>
      <c r="B230" s="15" t="s">
        <v>1881</v>
      </c>
      <c r="C230" s="15" t="s">
        <v>255</v>
      </c>
      <c r="D230" s="15" t="s">
        <v>256</v>
      </c>
      <c r="E230" s="15" t="s">
        <v>50</v>
      </c>
      <c r="F230" s="15" t="s">
        <v>503</v>
      </c>
      <c r="G230" s="15" t="s">
        <v>808</v>
      </c>
      <c r="H230" s="15" t="s">
        <v>1882</v>
      </c>
      <c r="I230" s="15" t="s">
        <v>1883</v>
      </c>
      <c r="J230" s="15" t="s">
        <v>1884</v>
      </c>
      <c r="K230" s="15" t="s">
        <v>1885</v>
      </c>
      <c r="L230" s="15" t="s">
        <v>1340</v>
      </c>
      <c r="M230" s="15" t="n">
        <v>8129.37</v>
      </c>
      <c r="N230" s="15" t="n">
        <v>0.78</v>
      </c>
      <c r="O230" s="15" t="n">
        <v>158</v>
      </c>
      <c r="P230" s="15" t="s">
        <v>1341</v>
      </c>
      <c r="Q230" s="15" t="s">
        <v>1886</v>
      </c>
      <c r="R230" s="15" t="s">
        <v>1887</v>
      </c>
      <c r="S230" s="15" t="s">
        <v>1887</v>
      </c>
      <c r="T230" s="15" t="s">
        <v>61</v>
      </c>
      <c r="U230" s="15" t="s">
        <v>343</v>
      </c>
    </row>
    <row r="231" customFormat="false" ht="18" hidden="false" customHeight="true" outlineLevel="0" collapsed="false">
      <c r="A231" s="15" t="n">
        <v>230</v>
      </c>
      <c r="B231" s="15" t="s">
        <v>1888</v>
      </c>
      <c r="C231" s="15" t="s">
        <v>113</v>
      </c>
      <c r="D231" s="15" t="s">
        <v>114</v>
      </c>
      <c r="E231" s="15" t="s">
        <v>65</v>
      </c>
      <c r="F231" s="15" t="s">
        <v>513</v>
      </c>
      <c r="G231" s="15" t="s">
        <v>562</v>
      </c>
      <c r="H231" s="15" t="s">
        <v>1889</v>
      </c>
      <c r="I231" s="15" t="s">
        <v>1890</v>
      </c>
      <c r="J231" s="15" t="s">
        <v>1891</v>
      </c>
      <c r="K231" s="15" t="s">
        <v>1892</v>
      </c>
      <c r="L231" s="15" t="s">
        <v>567</v>
      </c>
      <c r="M231" s="15" t="n">
        <v>1185.77</v>
      </c>
      <c r="N231" s="15" t="n">
        <v>2.33</v>
      </c>
      <c r="O231" s="15" t="n">
        <v>101</v>
      </c>
      <c r="P231" s="15" t="s">
        <v>568</v>
      </c>
      <c r="Q231" s="15" t="s">
        <v>1893</v>
      </c>
      <c r="R231" s="15" t="s">
        <v>1894</v>
      </c>
      <c r="S231" s="15" t="s">
        <v>1894</v>
      </c>
      <c r="T231" s="15" t="s">
        <v>61</v>
      </c>
      <c r="U231" s="15" t="s">
        <v>453</v>
      </c>
    </row>
    <row r="232" customFormat="false" ht="18" hidden="false" customHeight="true" outlineLevel="0" collapsed="false">
      <c r="A232" s="13" t="n">
        <v>231</v>
      </c>
      <c r="B232" s="13" t="s">
        <v>1895</v>
      </c>
      <c r="C232" s="13" t="s">
        <v>113</v>
      </c>
      <c r="D232" s="13" t="s">
        <v>114</v>
      </c>
      <c r="E232" s="13" t="s">
        <v>65</v>
      </c>
      <c r="F232" s="13" t="s">
        <v>438</v>
      </c>
      <c r="G232" s="13" t="s">
        <v>724</v>
      </c>
      <c r="H232" s="13" t="s">
        <v>1896</v>
      </c>
      <c r="I232" s="13" t="s">
        <v>1897</v>
      </c>
      <c r="J232" s="13" t="s">
        <v>1898</v>
      </c>
      <c r="K232" s="13" t="s">
        <v>1363</v>
      </c>
      <c r="L232" s="13" t="s">
        <v>1364</v>
      </c>
      <c r="M232" s="13" t="n">
        <v>410.48</v>
      </c>
      <c r="N232" s="13" t="n">
        <v>1.26</v>
      </c>
      <c r="O232" s="13" t="n">
        <v>371</v>
      </c>
      <c r="P232" s="13" t="s">
        <v>1365</v>
      </c>
      <c r="Q232" s="13" t="s">
        <v>575</v>
      </c>
      <c r="R232" s="13" t="s">
        <v>1899</v>
      </c>
      <c r="S232" s="13" t="s">
        <v>1899</v>
      </c>
      <c r="T232" s="13" t="s">
        <v>61</v>
      </c>
      <c r="U232" s="13"/>
    </row>
    <row r="233" customFormat="false" ht="18" hidden="false" customHeight="true" outlineLevel="0" collapsed="false">
      <c r="A233" s="13" t="n">
        <v>232</v>
      </c>
      <c r="B233" s="13" t="s">
        <v>1900</v>
      </c>
      <c r="C233" s="13" t="s">
        <v>255</v>
      </c>
      <c r="D233" s="13" t="s">
        <v>256</v>
      </c>
      <c r="E233" s="13" t="s">
        <v>79</v>
      </c>
      <c r="F233" s="13" t="s">
        <v>513</v>
      </c>
      <c r="G233" s="13" t="s">
        <v>80</v>
      </c>
      <c r="H233" s="13" t="s">
        <v>1901</v>
      </c>
      <c r="I233" s="13" t="s">
        <v>1902</v>
      </c>
      <c r="J233" s="13" t="s">
        <v>1903</v>
      </c>
      <c r="K233" s="13" t="s">
        <v>1904</v>
      </c>
      <c r="L233" s="13" t="s">
        <v>617</v>
      </c>
      <c r="M233" s="13" t="n">
        <v>981.28</v>
      </c>
      <c r="N233" s="13" t="n">
        <v>2.77</v>
      </c>
      <c r="O233" s="13" t="n">
        <v>66</v>
      </c>
      <c r="P233" s="13" t="s">
        <v>618</v>
      </c>
      <c r="Q233" s="13" t="s">
        <v>1905</v>
      </c>
      <c r="R233" s="13" t="s">
        <v>1906</v>
      </c>
      <c r="S233" s="13" t="s">
        <v>1906</v>
      </c>
      <c r="T233" s="13" t="s">
        <v>61</v>
      </c>
      <c r="U233" s="13"/>
    </row>
    <row r="234" customFormat="false" ht="18" hidden="false" customHeight="true" outlineLevel="0" collapsed="false">
      <c r="A234" s="13" t="n">
        <v>233</v>
      </c>
      <c r="B234" s="13" t="s">
        <v>1907</v>
      </c>
      <c r="C234" s="13" t="s">
        <v>173</v>
      </c>
      <c r="D234" s="13" t="s">
        <v>174</v>
      </c>
      <c r="E234" s="13" t="s">
        <v>91</v>
      </c>
      <c r="F234" s="13" t="s">
        <v>419</v>
      </c>
      <c r="G234" s="13" t="s">
        <v>139</v>
      </c>
      <c r="H234" s="13" t="s">
        <v>1908</v>
      </c>
      <c r="I234" s="13" t="s">
        <v>1909</v>
      </c>
      <c r="J234" s="13" t="s">
        <v>1910</v>
      </c>
      <c r="K234" s="13" t="s">
        <v>1911</v>
      </c>
      <c r="L234" s="13" t="s">
        <v>1912</v>
      </c>
      <c r="M234" s="13" t="n">
        <v>2988.29</v>
      </c>
      <c r="N234" s="13" t="n">
        <v>20.31</v>
      </c>
      <c r="O234" s="13" t="n">
        <v>131</v>
      </c>
      <c r="P234" s="13" t="s">
        <v>1913</v>
      </c>
      <c r="Q234" s="13" t="s">
        <v>1914</v>
      </c>
      <c r="R234" s="13" t="s">
        <v>350</v>
      </c>
      <c r="S234" s="13" t="s">
        <v>350</v>
      </c>
      <c r="T234" s="13" t="s">
        <v>61</v>
      </c>
      <c r="U234" s="13"/>
    </row>
    <row r="235" customFormat="false" ht="18" hidden="false" customHeight="true" outlineLevel="0" collapsed="false">
      <c r="A235" s="16" t="n">
        <v>234</v>
      </c>
      <c r="B235" s="16" t="s">
        <v>1915</v>
      </c>
      <c r="C235" s="16" t="s">
        <v>77</v>
      </c>
      <c r="D235" s="16" t="s">
        <v>78</v>
      </c>
      <c r="E235" s="16" t="s">
        <v>161</v>
      </c>
      <c r="F235" s="16" t="s">
        <v>306</v>
      </c>
      <c r="G235" s="16" t="s">
        <v>257</v>
      </c>
      <c r="H235" s="16" t="s">
        <v>1916</v>
      </c>
      <c r="I235" s="16" t="s">
        <v>1917</v>
      </c>
      <c r="J235" s="16" t="s">
        <v>1918</v>
      </c>
      <c r="K235" s="16" t="s">
        <v>1919</v>
      </c>
      <c r="L235" s="16" t="s">
        <v>320</v>
      </c>
      <c r="M235" s="16" t="n">
        <v>110.67</v>
      </c>
      <c r="N235" s="16" t="n">
        <v>0.24</v>
      </c>
      <c r="O235" s="16" t="n">
        <v>0</v>
      </c>
      <c r="P235" s="16" t="s">
        <v>321</v>
      </c>
      <c r="Q235" s="16" t="s">
        <v>1920</v>
      </c>
      <c r="R235" s="16" t="s">
        <v>194</v>
      </c>
      <c r="S235" s="16" t="s">
        <v>1921</v>
      </c>
      <c r="T235" s="16" t="s">
        <v>61</v>
      </c>
      <c r="U235" s="16" t="s">
        <v>325</v>
      </c>
    </row>
    <row r="236" customFormat="false" ht="18" hidden="false" customHeight="true" outlineLevel="0" collapsed="false">
      <c r="A236" s="13" t="n">
        <v>235</v>
      </c>
      <c r="B236" s="13" t="s">
        <v>1922</v>
      </c>
      <c r="C236" s="13" t="s">
        <v>173</v>
      </c>
      <c r="D236" s="13" t="s">
        <v>174</v>
      </c>
      <c r="E236" s="13" t="s">
        <v>65</v>
      </c>
      <c r="F236" s="13" t="s">
        <v>227</v>
      </c>
      <c r="G236" s="13" t="s">
        <v>103</v>
      </c>
      <c r="H236" s="13" t="s">
        <v>1923</v>
      </c>
      <c r="I236" s="13" t="s">
        <v>1924</v>
      </c>
      <c r="J236" s="13" t="s">
        <v>1925</v>
      </c>
      <c r="K236" s="13" t="s">
        <v>1926</v>
      </c>
      <c r="L236" s="13" t="s">
        <v>1927</v>
      </c>
      <c r="M236" s="13" t="n">
        <v>83.86</v>
      </c>
      <c r="N236" s="13" t="n">
        <v>0.23</v>
      </c>
      <c r="O236" s="13" t="n">
        <v>364</v>
      </c>
      <c r="P236" s="13" t="s">
        <v>1928</v>
      </c>
      <c r="Q236" s="13" t="s">
        <v>1929</v>
      </c>
      <c r="R236" s="13" t="s">
        <v>1930</v>
      </c>
      <c r="S236" s="13" t="s">
        <v>1930</v>
      </c>
      <c r="T236" s="13" t="s">
        <v>61</v>
      </c>
      <c r="U236" s="13"/>
    </row>
    <row r="237" customFormat="false" ht="18" hidden="false" customHeight="true" outlineLevel="0" collapsed="false">
      <c r="A237" s="13" t="n">
        <v>236</v>
      </c>
      <c r="B237" s="13" t="s">
        <v>1931</v>
      </c>
      <c r="C237" s="13" t="s">
        <v>159</v>
      </c>
      <c r="D237" s="13" t="s">
        <v>160</v>
      </c>
      <c r="E237" s="13" t="s">
        <v>161</v>
      </c>
      <c r="F237" s="13" t="s">
        <v>51</v>
      </c>
      <c r="G237" s="13" t="s">
        <v>175</v>
      </c>
      <c r="H237" s="13" t="s">
        <v>1932</v>
      </c>
      <c r="I237" s="13" t="s">
        <v>1933</v>
      </c>
      <c r="J237" s="13" t="s">
        <v>1934</v>
      </c>
      <c r="K237" s="13" t="s">
        <v>1935</v>
      </c>
      <c r="L237" s="13" t="s">
        <v>180</v>
      </c>
      <c r="M237" s="13" t="n">
        <v>463.1</v>
      </c>
      <c r="N237" s="13" t="n">
        <v>0.32</v>
      </c>
      <c r="O237" s="13" t="n">
        <v>146</v>
      </c>
      <c r="P237" s="13" t="s">
        <v>181</v>
      </c>
      <c r="Q237" s="13" t="s">
        <v>1124</v>
      </c>
      <c r="R237" s="13" t="s">
        <v>1936</v>
      </c>
      <c r="S237" s="13" t="s">
        <v>1936</v>
      </c>
      <c r="T237" s="13" t="s">
        <v>61</v>
      </c>
      <c r="U237" s="13"/>
    </row>
    <row r="238" customFormat="false" ht="18" hidden="false" customHeight="true" outlineLevel="0" collapsed="false">
      <c r="A238" s="14" t="n">
        <v>237</v>
      </c>
      <c r="B238" s="14" t="s">
        <v>1937</v>
      </c>
      <c r="C238" s="14" t="s">
        <v>125</v>
      </c>
      <c r="D238" s="14" t="s">
        <v>126</v>
      </c>
      <c r="E238" s="14" t="s">
        <v>50</v>
      </c>
      <c r="F238" s="14" t="s">
        <v>51</v>
      </c>
      <c r="G238" s="14" t="s">
        <v>217</v>
      </c>
      <c r="H238" s="14" t="s">
        <v>1938</v>
      </c>
      <c r="I238" s="14" t="s">
        <v>1939</v>
      </c>
      <c r="J238" s="14" t="s">
        <v>1940</v>
      </c>
      <c r="K238" s="14" t="s">
        <v>1941</v>
      </c>
      <c r="L238" s="14" t="s">
        <v>927</v>
      </c>
      <c r="M238" s="14" t="n">
        <v>1233.64</v>
      </c>
      <c r="N238" s="14" t="n">
        <v>0.73</v>
      </c>
      <c r="O238" s="14" t="n">
        <v>71</v>
      </c>
      <c r="P238" s="14"/>
      <c r="Q238" s="14" t="s">
        <v>359</v>
      </c>
      <c r="R238" s="14" t="s">
        <v>1731</v>
      </c>
      <c r="S238" s="14" t="s">
        <v>1731</v>
      </c>
      <c r="T238" s="14" t="s">
        <v>61</v>
      </c>
      <c r="U238" s="14" t="s">
        <v>1014</v>
      </c>
    </row>
    <row r="239" customFormat="false" ht="18" hidden="false" customHeight="true" outlineLevel="0" collapsed="false">
      <c r="A239" s="14" t="n">
        <v>238</v>
      </c>
      <c r="B239" s="14" t="s">
        <v>1942</v>
      </c>
      <c r="C239" s="14" t="s">
        <v>63</v>
      </c>
      <c r="D239" s="14" t="s">
        <v>64</v>
      </c>
      <c r="E239" s="14" t="s">
        <v>161</v>
      </c>
      <c r="F239" s="14" t="s">
        <v>822</v>
      </c>
      <c r="G239" s="14" t="s">
        <v>207</v>
      </c>
      <c r="H239" s="14" t="s">
        <v>1943</v>
      </c>
      <c r="I239" s="14" t="s">
        <v>1944</v>
      </c>
      <c r="J239" s="14" t="s">
        <v>1945</v>
      </c>
      <c r="K239" s="14"/>
      <c r="L239" s="14" t="s">
        <v>1489</v>
      </c>
      <c r="M239" s="14" t="n">
        <v>187.49</v>
      </c>
      <c r="N239" s="14" t="n">
        <v>0.21</v>
      </c>
      <c r="O239" s="14" t="n">
        <v>276</v>
      </c>
      <c r="P239" s="14" t="s">
        <v>1490</v>
      </c>
      <c r="Q239" s="14" t="s">
        <v>170</v>
      </c>
      <c r="R239" s="14" t="s">
        <v>147</v>
      </c>
      <c r="S239" s="14" t="s">
        <v>147</v>
      </c>
      <c r="T239" s="14" t="s">
        <v>61</v>
      </c>
      <c r="U239" s="14" t="s">
        <v>1048</v>
      </c>
    </row>
    <row r="240" customFormat="false" ht="18" hidden="false" customHeight="true" outlineLevel="0" collapsed="false">
      <c r="A240" s="13" t="n">
        <v>239</v>
      </c>
      <c r="B240" s="13" t="s">
        <v>1946</v>
      </c>
      <c r="C240" s="13" t="s">
        <v>77</v>
      </c>
      <c r="D240" s="13" t="s">
        <v>78</v>
      </c>
      <c r="E240" s="13" t="s">
        <v>91</v>
      </c>
      <c r="F240" s="13" t="s">
        <v>92</v>
      </c>
      <c r="G240" s="13" t="s">
        <v>420</v>
      </c>
      <c r="H240" s="13" t="s">
        <v>1947</v>
      </c>
      <c r="I240" s="13" t="s">
        <v>1948</v>
      </c>
      <c r="J240" s="13" t="s">
        <v>1949</v>
      </c>
      <c r="K240" s="13" t="s">
        <v>1950</v>
      </c>
      <c r="L240" s="13" t="s">
        <v>1228</v>
      </c>
      <c r="M240" s="13" t="n">
        <v>2427.87</v>
      </c>
      <c r="N240" s="13" t="n">
        <v>38.1</v>
      </c>
      <c r="O240" s="13" t="n">
        <v>103</v>
      </c>
      <c r="P240" s="13" t="s">
        <v>1229</v>
      </c>
      <c r="Q240" s="13" t="s">
        <v>1951</v>
      </c>
      <c r="R240" s="13" t="s">
        <v>1685</v>
      </c>
      <c r="S240" s="13" t="s">
        <v>1685</v>
      </c>
      <c r="T240" s="13" t="s">
        <v>61</v>
      </c>
      <c r="U240" s="13"/>
    </row>
    <row r="241" customFormat="false" ht="18" hidden="false" customHeight="true" outlineLevel="0" collapsed="false">
      <c r="A241" s="13" t="n">
        <v>240</v>
      </c>
      <c r="B241" s="13" t="s">
        <v>1952</v>
      </c>
      <c r="C241" s="13" t="s">
        <v>173</v>
      </c>
      <c r="D241" s="13" t="s">
        <v>174</v>
      </c>
      <c r="E241" s="13" t="s">
        <v>91</v>
      </c>
      <c r="F241" s="13" t="s">
        <v>780</v>
      </c>
      <c r="G241" s="13" t="s">
        <v>139</v>
      </c>
      <c r="H241" s="13" t="s">
        <v>1953</v>
      </c>
      <c r="I241" s="13" t="s">
        <v>1954</v>
      </c>
      <c r="J241" s="13" t="s">
        <v>1955</v>
      </c>
      <c r="K241" s="13" t="s">
        <v>1956</v>
      </c>
      <c r="L241" s="13" t="s">
        <v>785</v>
      </c>
      <c r="M241" s="13" t="n">
        <v>2073.39</v>
      </c>
      <c r="N241" s="13" t="n">
        <v>46.95</v>
      </c>
      <c r="O241" s="13" t="n">
        <v>224</v>
      </c>
      <c r="P241" s="13" t="s">
        <v>786</v>
      </c>
      <c r="Q241" s="13" t="s">
        <v>626</v>
      </c>
      <c r="R241" s="13" t="s">
        <v>1957</v>
      </c>
      <c r="S241" s="13" t="s">
        <v>1957</v>
      </c>
      <c r="T241" s="13" t="s">
        <v>61</v>
      </c>
      <c r="U241" s="13"/>
    </row>
    <row r="242" customFormat="false" ht="18" hidden="false" customHeight="true" outlineLevel="0" collapsed="false">
      <c r="A242" s="13" t="n">
        <v>241</v>
      </c>
      <c r="B242" s="13" t="s">
        <v>1958</v>
      </c>
      <c r="C242" s="13" t="s">
        <v>173</v>
      </c>
      <c r="D242" s="13" t="s">
        <v>174</v>
      </c>
      <c r="E242" s="13" t="s">
        <v>161</v>
      </c>
      <c r="F242" s="13" t="s">
        <v>185</v>
      </c>
      <c r="G242" s="13" t="s">
        <v>257</v>
      </c>
      <c r="H242" s="13" t="s">
        <v>1959</v>
      </c>
      <c r="I242" s="13" t="s">
        <v>1960</v>
      </c>
      <c r="J242" s="13" t="s">
        <v>1961</v>
      </c>
      <c r="K242" s="13" t="s">
        <v>1962</v>
      </c>
      <c r="L242" s="13" t="s">
        <v>641</v>
      </c>
      <c r="M242" s="13" t="n">
        <v>433.98</v>
      </c>
      <c r="N242" s="13" t="n">
        <v>0.3</v>
      </c>
      <c r="O242" s="13" t="n">
        <v>471</v>
      </c>
      <c r="P242" s="13" t="s">
        <v>642</v>
      </c>
      <c r="Q242" s="13" t="s">
        <v>1963</v>
      </c>
      <c r="R242" s="13" t="s">
        <v>1964</v>
      </c>
      <c r="S242" s="13" t="s">
        <v>1964</v>
      </c>
      <c r="T242" s="13" t="s">
        <v>61</v>
      </c>
      <c r="U242" s="13"/>
    </row>
    <row r="243" customFormat="false" ht="18" hidden="false" customHeight="true" outlineLevel="0" collapsed="false">
      <c r="A243" s="13" t="n">
        <v>242</v>
      </c>
      <c r="B243" s="13" t="s">
        <v>1965</v>
      </c>
      <c r="C243" s="13" t="s">
        <v>63</v>
      </c>
      <c r="D243" s="13" t="s">
        <v>64</v>
      </c>
      <c r="E243" s="13" t="s">
        <v>50</v>
      </c>
      <c r="F243" s="13" t="s">
        <v>127</v>
      </c>
      <c r="G243" s="13" t="s">
        <v>689</v>
      </c>
      <c r="H243" s="13" t="s">
        <v>1966</v>
      </c>
      <c r="I243" s="13" t="s">
        <v>1967</v>
      </c>
      <c r="J243" s="13" t="s">
        <v>1968</v>
      </c>
      <c r="K243" s="13" t="s">
        <v>1969</v>
      </c>
      <c r="L243" s="13" t="s">
        <v>1970</v>
      </c>
      <c r="M243" s="13" t="n">
        <v>757.17</v>
      </c>
      <c r="N243" s="13" t="n">
        <v>0.74</v>
      </c>
      <c r="O243" s="13" t="n">
        <v>114</v>
      </c>
      <c r="P243" s="13" t="s">
        <v>1971</v>
      </c>
      <c r="Q243" s="13" t="s">
        <v>1972</v>
      </c>
      <c r="R243" s="13" t="s">
        <v>1973</v>
      </c>
      <c r="S243" s="13" t="s">
        <v>1973</v>
      </c>
      <c r="T243" s="13" t="s">
        <v>61</v>
      </c>
      <c r="U243" s="13"/>
    </row>
    <row r="244" customFormat="false" ht="18" hidden="false" customHeight="true" outlineLevel="0" collapsed="false">
      <c r="A244" s="13" t="n">
        <v>243</v>
      </c>
      <c r="B244" s="13" t="s">
        <v>1974</v>
      </c>
      <c r="C244" s="13" t="s">
        <v>63</v>
      </c>
      <c r="D244" s="13" t="s">
        <v>64</v>
      </c>
      <c r="E244" s="13" t="s">
        <v>161</v>
      </c>
      <c r="F244" s="13" t="s">
        <v>162</v>
      </c>
      <c r="G244" s="13" t="s">
        <v>334</v>
      </c>
      <c r="H244" s="13" t="s">
        <v>1975</v>
      </c>
      <c r="I244" s="13" t="s">
        <v>1976</v>
      </c>
      <c r="J244" s="13" t="s">
        <v>1977</v>
      </c>
      <c r="K244" s="13" t="s">
        <v>1978</v>
      </c>
      <c r="L244" s="13" t="s">
        <v>339</v>
      </c>
      <c r="M244" s="13" t="n">
        <v>193.41</v>
      </c>
      <c r="N244" s="13" t="n">
        <v>0.39</v>
      </c>
      <c r="O244" s="13" t="n">
        <v>37</v>
      </c>
      <c r="P244" s="13" t="s">
        <v>340</v>
      </c>
      <c r="Q244" s="13" t="s">
        <v>661</v>
      </c>
      <c r="R244" s="13" t="s">
        <v>946</v>
      </c>
      <c r="S244" s="13" t="s">
        <v>946</v>
      </c>
      <c r="T244" s="13" t="s">
        <v>61</v>
      </c>
      <c r="U244" s="13"/>
    </row>
    <row r="245" customFormat="false" ht="18" hidden="false" customHeight="true" outlineLevel="0" collapsed="false">
      <c r="A245" s="13" t="n">
        <v>244</v>
      </c>
      <c r="B245" s="13" t="s">
        <v>1979</v>
      </c>
      <c r="C245" s="13" t="s">
        <v>113</v>
      </c>
      <c r="D245" s="13" t="s">
        <v>114</v>
      </c>
      <c r="E245" s="13" t="s">
        <v>79</v>
      </c>
      <c r="F245" s="13" t="s">
        <v>956</v>
      </c>
      <c r="G245" s="13" t="s">
        <v>562</v>
      </c>
      <c r="H245" s="13" t="s">
        <v>1980</v>
      </c>
      <c r="I245" s="13" t="s">
        <v>1981</v>
      </c>
      <c r="J245" s="13" t="s">
        <v>1982</v>
      </c>
      <c r="K245" s="13" t="s">
        <v>1983</v>
      </c>
      <c r="L245" s="13" t="s">
        <v>1289</v>
      </c>
      <c r="M245" s="13" t="n">
        <v>1797.46</v>
      </c>
      <c r="N245" s="13" t="n">
        <v>2.72</v>
      </c>
      <c r="O245" s="13" t="n">
        <v>343</v>
      </c>
      <c r="P245" s="13" t="s">
        <v>1290</v>
      </c>
      <c r="Q245" s="13" t="s">
        <v>1984</v>
      </c>
      <c r="R245" s="13" t="s">
        <v>930</v>
      </c>
      <c r="S245" s="13" t="s">
        <v>930</v>
      </c>
      <c r="T245" s="13" t="s">
        <v>61</v>
      </c>
      <c r="U245" s="13"/>
    </row>
    <row r="246" customFormat="false" ht="18" hidden="false" customHeight="true" outlineLevel="0" collapsed="false">
      <c r="A246" s="13" t="n">
        <v>245</v>
      </c>
      <c r="B246" s="13" t="s">
        <v>1985</v>
      </c>
      <c r="C246" s="13" t="s">
        <v>125</v>
      </c>
      <c r="D246" s="13" t="s">
        <v>126</v>
      </c>
      <c r="E246" s="13" t="s">
        <v>50</v>
      </c>
      <c r="F246" s="13" t="s">
        <v>51</v>
      </c>
      <c r="G246" s="13" t="s">
        <v>217</v>
      </c>
      <c r="H246" s="13" t="s">
        <v>1986</v>
      </c>
      <c r="I246" s="13" t="s">
        <v>1987</v>
      </c>
      <c r="J246" s="13" t="s">
        <v>1988</v>
      </c>
      <c r="K246" s="13" t="s">
        <v>1989</v>
      </c>
      <c r="L246" s="13" t="s">
        <v>927</v>
      </c>
      <c r="M246" s="13" t="n">
        <v>1275.76</v>
      </c>
      <c r="N246" s="13" t="n">
        <v>0.61</v>
      </c>
      <c r="O246" s="13" t="n">
        <v>363</v>
      </c>
      <c r="P246" s="13" t="s">
        <v>928</v>
      </c>
      <c r="Q246" s="13" t="s">
        <v>1990</v>
      </c>
      <c r="R246" s="13" t="s">
        <v>1222</v>
      </c>
      <c r="S246" s="13" t="s">
        <v>1222</v>
      </c>
      <c r="T246" s="13" t="s">
        <v>61</v>
      </c>
      <c r="U246" s="13"/>
    </row>
    <row r="247" customFormat="false" ht="18" hidden="false" customHeight="true" outlineLevel="0" collapsed="false">
      <c r="A247" s="13" t="n">
        <v>246</v>
      </c>
      <c r="B247" s="13" t="s">
        <v>1991</v>
      </c>
      <c r="C247" s="13" t="s">
        <v>173</v>
      </c>
      <c r="D247" s="13" t="s">
        <v>174</v>
      </c>
      <c r="E247" s="13" t="s">
        <v>161</v>
      </c>
      <c r="F247" s="13" t="s">
        <v>162</v>
      </c>
      <c r="G247" s="13" t="s">
        <v>285</v>
      </c>
      <c r="H247" s="13" t="s">
        <v>1992</v>
      </c>
      <c r="I247" s="13" t="s">
        <v>1993</v>
      </c>
      <c r="J247" s="13" t="s">
        <v>1994</v>
      </c>
      <c r="K247" s="13" t="s">
        <v>1995</v>
      </c>
      <c r="L247" s="13" t="s">
        <v>1996</v>
      </c>
      <c r="M247" s="13" t="n">
        <v>407.24</v>
      </c>
      <c r="N247" s="13" t="n">
        <v>0.4</v>
      </c>
      <c r="O247" s="13" t="n">
        <v>417</v>
      </c>
      <c r="P247" s="13" t="s">
        <v>1997</v>
      </c>
      <c r="Q247" s="13" t="s">
        <v>1998</v>
      </c>
      <c r="R247" s="13" t="s">
        <v>1125</v>
      </c>
      <c r="S247" s="13" t="s">
        <v>1125</v>
      </c>
      <c r="T247" s="13" t="s">
        <v>61</v>
      </c>
      <c r="U247" s="13"/>
    </row>
    <row r="248" customFormat="false" ht="18" hidden="false" customHeight="true" outlineLevel="0" collapsed="false">
      <c r="A248" s="13" t="n">
        <v>247</v>
      </c>
      <c r="B248" s="13" t="s">
        <v>1999</v>
      </c>
      <c r="C248" s="13" t="s">
        <v>159</v>
      </c>
      <c r="D248" s="13" t="s">
        <v>160</v>
      </c>
      <c r="E248" s="13" t="s">
        <v>91</v>
      </c>
      <c r="F248" s="13" t="s">
        <v>92</v>
      </c>
      <c r="G248" s="13" t="s">
        <v>186</v>
      </c>
      <c r="H248" s="13" t="s">
        <v>2000</v>
      </c>
      <c r="I248" s="13" t="s">
        <v>2001</v>
      </c>
      <c r="J248" s="13" t="s">
        <v>2002</v>
      </c>
      <c r="K248" s="13" t="s">
        <v>2003</v>
      </c>
      <c r="L248" s="13" t="s">
        <v>2004</v>
      </c>
      <c r="M248" s="13" t="n">
        <v>1938.43</v>
      </c>
      <c r="N248" s="13" t="n">
        <v>27.48</v>
      </c>
      <c r="O248" s="13" t="n">
        <v>440</v>
      </c>
      <c r="P248" s="13" t="s">
        <v>2005</v>
      </c>
      <c r="Q248" s="13" t="s">
        <v>610</v>
      </c>
      <c r="R248" s="13" t="s">
        <v>2006</v>
      </c>
      <c r="S248" s="13" t="s">
        <v>2006</v>
      </c>
      <c r="T248" s="13" t="s">
        <v>61</v>
      </c>
      <c r="U248" s="13"/>
    </row>
    <row r="249" customFormat="false" ht="18" hidden="false" customHeight="true" outlineLevel="0" collapsed="false">
      <c r="A249" s="13" t="n">
        <v>248</v>
      </c>
      <c r="B249" s="13" t="s">
        <v>2007</v>
      </c>
      <c r="C249" s="13" t="s">
        <v>77</v>
      </c>
      <c r="D249" s="13" t="s">
        <v>78</v>
      </c>
      <c r="E249" s="13" t="s">
        <v>50</v>
      </c>
      <c r="F249" s="13" t="s">
        <v>115</v>
      </c>
      <c r="G249" s="13" t="s">
        <v>217</v>
      </c>
      <c r="H249" s="13" t="s">
        <v>2008</v>
      </c>
      <c r="I249" s="13" t="s">
        <v>2009</v>
      </c>
      <c r="J249" s="13" t="s">
        <v>2010</v>
      </c>
      <c r="K249" s="13" t="s">
        <v>2011</v>
      </c>
      <c r="L249" s="13" t="s">
        <v>366</v>
      </c>
      <c r="M249" s="13" t="n">
        <v>223.42</v>
      </c>
      <c r="N249" s="13" t="n">
        <v>0.89</v>
      </c>
      <c r="O249" s="13" t="n">
        <v>173</v>
      </c>
      <c r="P249" s="13" t="s">
        <v>367</v>
      </c>
      <c r="Q249" s="13" t="s">
        <v>2012</v>
      </c>
      <c r="R249" s="13" t="s">
        <v>888</v>
      </c>
      <c r="S249" s="13" t="s">
        <v>888</v>
      </c>
      <c r="T249" s="13" t="s">
        <v>61</v>
      </c>
      <c r="U249" s="13"/>
    </row>
    <row r="250" customFormat="false" ht="18" hidden="false" customHeight="true" outlineLevel="0" collapsed="false">
      <c r="A250" s="13" t="n">
        <v>249</v>
      </c>
      <c r="B250" s="13" t="s">
        <v>2013</v>
      </c>
      <c r="C250" s="13" t="s">
        <v>77</v>
      </c>
      <c r="D250" s="13" t="s">
        <v>78</v>
      </c>
      <c r="E250" s="13" t="s">
        <v>161</v>
      </c>
      <c r="F250" s="13" t="s">
        <v>295</v>
      </c>
      <c r="G250" s="13" t="s">
        <v>207</v>
      </c>
      <c r="H250" s="13" t="s">
        <v>2014</v>
      </c>
      <c r="I250" s="13" t="s">
        <v>2015</v>
      </c>
      <c r="J250" s="13" t="s">
        <v>2016</v>
      </c>
      <c r="K250" s="13" t="s">
        <v>2017</v>
      </c>
      <c r="L250" s="13" t="s">
        <v>2018</v>
      </c>
      <c r="M250" s="13" t="n">
        <v>377.55</v>
      </c>
      <c r="N250" s="13" t="n">
        <v>0.32</v>
      </c>
      <c r="O250" s="13" t="n">
        <v>236</v>
      </c>
      <c r="P250" s="13" t="s">
        <v>2019</v>
      </c>
      <c r="Q250" s="13" t="s">
        <v>2020</v>
      </c>
      <c r="R250" s="13" t="s">
        <v>1384</v>
      </c>
      <c r="S250" s="13" t="s">
        <v>1384</v>
      </c>
      <c r="T250" s="13" t="s">
        <v>61</v>
      </c>
      <c r="U250" s="13"/>
    </row>
    <row r="251" customFormat="false" ht="18" hidden="false" customHeight="true" outlineLevel="0" collapsed="false">
      <c r="A251" s="13" t="n">
        <v>250</v>
      </c>
      <c r="B251" s="13" t="s">
        <v>2021</v>
      </c>
      <c r="C251" s="13" t="s">
        <v>77</v>
      </c>
      <c r="D251" s="13" t="s">
        <v>78</v>
      </c>
      <c r="E251" s="13" t="s">
        <v>91</v>
      </c>
      <c r="F251" s="13" t="s">
        <v>780</v>
      </c>
      <c r="G251" s="13" t="s">
        <v>186</v>
      </c>
      <c r="H251" s="13" t="s">
        <v>2022</v>
      </c>
      <c r="I251" s="13" t="s">
        <v>2023</v>
      </c>
      <c r="J251" s="13" t="s">
        <v>2024</v>
      </c>
      <c r="K251" s="13" t="s">
        <v>1624</v>
      </c>
      <c r="L251" s="13" t="s">
        <v>1163</v>
      </c>
      <c r="M251" s="13" t="n">
        <v>325.5</v>
      </c>
      <c r="N251" s="13" t="n">
        <v>34.67</v>
      </c>
      <c r="O251" s="13" t="n">
        <v>285</v>
      </c>
      <c r="P251" s="13" t="s">
        <v>1164</v>
      </c>
      <c r="Q251" s="13" t="s">
        <v>1449</v>
      </c>
      <c r="R251" s="13" t="s">
        <v>2025</v>
      </c>
      <c r="S251" s="13" t="s">
        <v>2025</v>
      </c>
      <c r="T251" s="13" t="s">
        <v>61</v>
      </c>
      <c r="U251" s="13"/>
    </row>
    <row r="252" customFormat="false" ht="18" hidden="false" customHeight="true" outlineLevel="0" collapsed="false">
      <c r="A252" s="15" t="n">
        <v>251</v>
      </c>
      <c r="B252" s="15" t="s">
        <v>2026</v>
      </c>
      <c r="C252" s="15" t="s">
        <v>77</v>
      </c>
      <c r="D252" s="15" t="s">
        <v>78</v>
      </c>
      <c r="E252" s="15" t="s">
        <v>50</v>
      </c>
      <c r="F252" s="15" t="s">
        <v>503</v>
      </c>
      <c r="G252" s="15" t="s">
        <v>352</v>
      </c>
      <c r="H252" s="15" t="s">
        <v>2027</v>
      </c>
      <c r="I252" s="15" t="s">
        <v>2028</v>
      </c>
      <c r="J252" s="15" t="s">
        <v>2029</v>
      </c>
      <c r="K252" s="15" t="s">
        <v>1265</v>
      </c>
      <c r="L252" s="15" t="s">
        <v>508</v>
      </c>
      <c r="M252" s="15" t="n">
        <v>897.87</v>
      </c>
      <c r="N252" s="15" t="n">
        <v>0.79</v>
      </c>
      <c r="O252" s="15" t="n">
        <v>375</v>
      </c>
      <c r="P252" s="15" t="s">
        <v>509</v>
      </c>
      <c r="Q252" s="15" t="s">
        <v>1266</v>
      </c>
      <c r="R252" s="15" t="s">
        <v>2030</v>
      </c>
      <c r="S252" s="15" t="s">
        <v>2030</v>
      </c>
      <c r="T252" s="15" t="s">
        <v>61</v>
      </c>
      <c r="U252" s="15" t="s">
        <v>283</v>
      </c>
    </row>
    <row r="253" customFormat="false" ht="18" hidden="false" customHeight="true" outlineLevel="0" collapsed="false">
      <c r="A253" s="13" t="n">
        <v>252</v>
      </c>
      <c r="B253" s="13" t="s">
        <v>2031</v>
      </c>
      <c r="C253" s="13" t="s">
        <v>173</v>
      </c>
      <c r="D253" s="13" t="s">
        <v>174</v>
      </c>
      <c r="E253" s="13" t="s">
        <v>65</v>
      </c>
      <c r="F253" s="13" t="s">
        <v>390</v>
      </c>
      <c r="G253" s="13" t="s">
        <v>67</v>
      </c>
      <c r="H253" s="13" t="s">
        <v>2032</v>
      </c>
      <c r="I253" s="13" t="s">
        <v>2033</v>
      </c>
      <c r="J253" s="13" t="s">
        <v>2034</v>
      </c>
      <c r="K253" s="13" t="s">
        <v>1750</v>
      </c>
      <c r="L253" s="13" t="s">
        <v>1751</v>
      </c>
      <c r="M253" s="13" t="n">
        <v>115.54</v>
      </c>
      <c r="N253" s="13" t="n">
        <v>1.28</v>
      </c>
      <c r="O253" s="13" t="n">
        <v>74</v>
      </c>
      <c r="P253" s="13" t="s">
        <v>1752</v>
      </c>
      <c r="Q253" s="13" t="s">
        <v>2035</v>
      </c>
      <c r="R253" s="13" t="s">
        <v>2036</v>
      </c>
      <c r="S253" s="13" t="s">
        <v>2036</v>
      </c>
      <c r="T253" s="13" t="s">
        <v>61</v>
      </c>
      <c r="U253" s="13"/>
    </row>
    <row r="254" customFormat="false" ht="18" hidden="false" customHeight="true" outlineLevel="0" collapsed="false">
      <c r="A254" s="13" t="n">
        <v>253</v>
      </c>
      <c r="B254" s="13" t="s">
        <v>2037</v>
      </c>
      <c r="C254" s="13" t="s">
        <v>48</v>
      </c>
      <c r="D254" s="13" t="s">
        <v>49</v>
      </c>
      <c r="E254" s="13" t="s">
        <v>161</v>
      </c>
      <c r="F254" s="13" t="s">
        <v>162</v>
      </c>
      <c r="G254" s="13" t="s">
        <v>334</v>
      </c>
      <c r="H254" s="13" t="s">
        <v>2038</v>
      </c>
      <c r="I254" s="13" t="s">
        <v>2039</v>
      </c>
      <c r="J254" s="13" t="s">
        <v>2040</v>
      </c>
      <c r="K254" s="13" t="s">
        <v>2041</v>
      </c>
      <c r="L254" s="13" t="s">
        <v>339</v>
      </c>
      <c r="M254" s="13" t="n">
        <v>508.99</v>
      </c>
      <c r="N254" s="13" t="n">
        <v>0.35</v>
      </c>
      <c r="O254" s="13" t="n">
        <v>491</v>
      </c>
      <c r="P254" s="13" t="s">
        <v>340</v>
      </c>
      <c r="Q254" s="13" t="s">
        <v>1491</v>
      </c>
      <c r="R254" s="13" t="s">
        <v>1384</v>
      </c>
      <c r="S254" s="13" t="s">
        <v>1384</v>
      </c>
      <c r="T254" s="13" t="s">
        <v>61</v>
      </c>
      <c r="U254" s="13"/>
    </row>
    <row r="255" customFormat="false" ht="18" hidden="false" customHeight="true" outlineLevel="0" collapsed="false">
      <c r="A255" s="13" t="n">
        <v>254</v>
      </c>
      <c r="B255" s="13" t="s">
        <v>2042</v>
      </c>
      <c r="C255" s="13" t="s">
        <v>77</v>
      </c>
      <c r="D255" s="13" t="s">
        <v>78</v>
      </c>
      <c r="E255" s="13" t="s">
        <v>65</v>
      </c>
      <c r="F255" s="13" t="s">
        <v>438</v>
      </c>
      <c r="G255" s="13" t="s">
        <v>391</v>
      </c>
      <c r="H255" s="13" t="s">
        <v>2043</v>
      </c>
      <c r="I255" s="13" t="s">
        <v>2044</v>
      </c>
      <c r="J255" s="13" t="s">
        <v>2045</v>
      </c>
      <c r="K255" s="13" t="s">
        <v>2046</v>
      </c>
      <c r="L255" s="13" t="s">
        <v>2047</v>
      </c>
      <c r="M255" s="13" t="n">
        <v>407.2</v>
      </c>
      <c r="N255" s="13" t="n">
        <v>1.06</v>
      </c>
      <c r="O255" s="13" t="n">
        <v>152</v>
      </c>
      <c r="P255" s="13" t="s">
        <v>2048</v>
      </c>
      <c r="Q255" s="13" t="s">
        <v>156</v>
      </c>
      <c r="R255" s="13" t="s">
        <v>576</v>
      </c>
      <c r="S255" s="13" t="s">
        <v>576</v>
      </c>
      <c r="T255" s="13" t="s">
        <v>61</v>
      </c>
      <c r="U255" s="13"/>
    </row>
    <row r="256" customFormat="false" ht="18" hidden="false" customHeight="true" outlineLevel="0" collapsed="false">
      <c r="A256" s="13" t="n">
        <v>255</v>
      </c>
      <c r="B256" s="13" t="s">
        <v>2049</v>
      </c>
      <c r="C256" s="13" t="s">
        <v>159</v>
      </c>
      <c r="D256" s="13" t="s">
        <v>160</v>
      </c>
      <c r="E256" s="13" t="s">
        <v>79</v>
      </c>
      <c r="F256" s="13" t="s">
        <v>127</v>
      </c>
      <c r="G256" s="13" t="s">
        <v>80</v>
      </c>
      <c r="H256" s="13" t="s">
        <v>2050</v>
      </c>
      <c r="I256" s="13" t="s">
        <v>2051</v>
      </c>
      <c r="J256" s="13" t="s">
        <v>2052</v>
      </c>
      <c r="K256" s="13" t="s">
        <v>2053</v>
      </c>
      <c r="L256" s="13" t="s">
        <v>1138</v>
      </c>
      <c r="M256" s="13" t="n">
        <v>1946.54</v>
      </c>
      <c r="N256" s="13" t="n">
        <v>1.31</v>
      </c>
      <c r="O256" s="13" t="n">
        <v>46</v>
      </c>
      <c r="P256" s="13" t="s">
        <v>1139</v>
      </c>
      <c r="Q256" s="13" t="s">
        <v>2054</v>
      </c>
      <c r="R256" s="13" t="s">
        <v>2055</v>
      </c>
      <c r="S256" s="13" t="s">
        <v>2055</v>
      </c>
      <c r="T256" s="13" t="s">
        <v>61</v>
      </c>
      <c r="U256" s="13"/>
    </row>
    <row r="257" customFormat="false" ht="18" hidden="false" customHeight="true" outlineLevel="0" collapsed="false">
      <c r="A257" s="13" t="n">
        <v>256</v>
      </c>
      <c r="B257" s="13" t="s">
        <v>2056</v>
      </c>
      <c r="C257" s="13" t="s">
        <v>48</v>
      </c>
      <c r="D257" s="13" t="s">
        <v>49</v>
      </c>
      <c r="E257" s="13" t="s">
        <v>79</v>
      </c>
      <c r="F257" s="13" t="s">
        <v>465</v>
      </c>
      <c r="G257" s="13" t="s">
        <v>733</v>
      </c>
      <c r="H257" s="13" t="s">
        <v>2057</v>
      </c>
      <c r="I257" s="13" t="s">
        <v>2058</v>
      </c>
      <c r="J257" s="13" t="s">
        <v>2059</v>
      </c>
      <c r="K257" s="13" t="s">
        <v>2060</v>
      </c>
      <c r="L257" s="13" t="s">
        <v>2061</v>
      </c>
      <c r="M257" s="13" t="n">
        <v>1222.03</v>
      </c>
      <c r="N257" s="13" t="n">
        <v>2.33</v>
      </c>
      <c r="O257" s="13" t="n">
        <v>456</v>
      </c>
      <c r="P257" s="13" t="s">
        <v>2062</v>
      </c>
      <c r="Q257" s="13" t="s">
        <v>2063</v>
      </c>
      <c r="R257" s="13" t="s">
        <v>2064</v>
      </c>
      <c r="S257" s="13" t="s">
        <v>2064</v>
      </c>
      <c r="T257" s="13" t="s">
        <v>61</v>
      </c>
      <c r="U257" s="13"/>
    </row>
    <row r="258" customFormat="false" ht="18" hidden="false" customHeight="true" outlineLevel="0" collapsed="false">
      <c r="A258" s="13" t="n">
        <v>257</v>
      </c>
      <c r="B258" s="13" t="s">
        <v>2065</v>
      </c>
      <c r="C258" s="13" t="s">
        <v>173</v>
      </c>
      <c r="D258" s="13" t="s">
        <v>174</v>
      </c>
      <c r="E258" s="13" t="s">
        <v>50</v>
      </c>
      <c r="F258" s="13" t="s">
        <v>503</v>
      </c>
      <c r="G258" s="13" t="s">
        <v>352</v>
      </c>
      <c r="H258" s="13" t="s">
        <v>2066</v>
      </c>
      <c r="I258" s="13" t="s">
        <v>2067</v>
      </c>
      <c r="J258" s="13" t="s">
        <v>2068</v>
      </c>
      <c r="K258" s="13" t="s">
        <v>2069</v>
      </c>
      <c r="L258" s="13" t="s">
        <v>508</v>
      </c>
      <c r="M258" s="13" t="n">
        <v>276.61</v>
      </c>
      <c r="N258" s="13" t="n">
        <v>0.52</v>
      </c>
      <c r="O258" s="13" t="n">
        <v>316</v>
      </c>
      <c r="P258" s="13" t="s">
        <v>509</v>
      </c>
      <c r="Q258" s="13" t="s">
        <v>584</v>
      </c>
      <c r="R258" s="13" t="s">
        <v>1899</v>
      </c>
      <c r="S258" s="13" t="s">
        <v>1899</v>
      </c>
      <c r="T258" s="13" t="s">
        <v>61</v>
      </c>
      <c r="U258" s="13"/>
    </row>
    <row r="259" customFormat="false" ht="18" hidden="false" customHeight="true" outlineLevel="0" collapsed="false">
      <c r="A259" s="13" t="n">
        <v>258</v>
      </c>
      <c r="B259" s="13" t="s">
        <v>2070</v>
      </c>
      <c r="C259" s="13" t="s">
        <v>48</v>
      </c>
      <c r="D259" s="13" t="s">
        <v>49</v>
      </c>
      <c r="E259" s="13" t="s">
        <v>91</v>
      </c>
      <c r="F259" s="13" t="s">
        <v>92</v>
      </c>
      <c r="G259" s="13" t="s">
        <v>93</v>
      </c>
      <c r="H259" s="13" t="s">
        <v>2071</v>
      </c>
      <c r="I259" s="13" t="s">
        <v>2072</v>
      </c>
      <c r="J259" s="13" t="s">
        <v>2073</v>
      </c>
      <c r="K259" s="13" t="s">
        <v>2074</v>
      </c>
      <c r="L259" s="13" t="s">
        <v>98</v>
      </c>
      <c r="M259" s="13" t="n">
        <v>1141.3</v>
      </c>
      <c r="N259" s="13" t="n">
        <v>27.37</v>
      </c>
      <c r="O259" s="13" t="n">
        <v>326</v>
      </c>
      <c r="P259" s="13" t="s">
        <v>99</v>
      </c>
      <c r="Q259" s="13" t="s">
        <v>2075</v>
      </c>
      <c r="R259" s="13" t="s">
        <v>1026</v>
      </c>
      <c r="S259" s="13" t="s">
        <v>1026</v>
      </c>
      <c r="T259" s="13" t="s">
        <v>61</v>
      </c>
      <c r="U259" s="13"/>
    </row>
    <row r="260" customFormat="false" ht="18" hidden="false" customHeight="true" outlineLevel="0" collapsed="false">
      <c r="A260" s="13" t="n">
        <v>259</v>
      </c>
      <c r="B260" s="13" t="s">
        <v>2076</v>
      </c>
      <c r="C260" s="13" t="s">
        <v>63</v>
      </c>
      <c r="D260" s="13" t="s">
        <v>64</v>
      </c>
      <c r="E260" s="13" t="s">
        <v>91</v>
      </c>
      <c r="F260" s="13" t="s">
        <v>419</v>
      </c>
      <c r="G260" s="13" t="s">
        <v>533</v>
      </c>
      <c r="H260" s="13" t="s">
        <v>2077</v>
      </c>
      <c r="I260" s="13" t="s">
        <v>2078</v>
      </c>
      <c r="J260" s="13" t="s">
        <v>2079</v>
      </c>
      <c r="K260" s="13" t="s">
        <v>2080</v>
      </c>
      <c r="L260" s="13" t="s">
        <v>2081</v>
      </c>
      <c r="M260" s="13" t="n">
        <v>588.18</v>
      </c>
      <c r="N260" s="13" t="n">
        <v>51.77</v>
      </c>
      <c r="O260" s="13" t="n">
        <v>93</v>
      </c>
      <c r="P260" s="13" t="s">
        <v>2082</v>
      </c>
      <c r="Q260" s="13" t="s">
        <v>1054</v>
      </c>
      <c r="R260" s="13" t="s">
        <v>1211</v>
      </c>
      <c r="S260" s="13" t="s">
        <v>1211</v>
      </c>
      <c r="T260" s="13" t="s">
        <v>61</v>
      </c>
      <c r="U260" s="13"/>
    </row>
    <row r="261" customFormat="false" ht="18" hidden="false" customHeight="true" outlineLevel="0" collapsed="false">
      <c r="A261" s="13" t="n">
        <v>260</v>
      </c>
      <c r="B261" s="13" t="s">
        <v>2083</v>
      </c>
      <c r="C261" s="13" t="s">
        <v>113</v>
      </c>
      <c r="D261" s="13" t="s">
        <v>114</v>
      </c>
      <c r="E261" s="13" t="s">
        <v>65</v>
      </c>
      <c r="F261" s="13" t="s">
        <v>66</v>
      </c>
      <c r="G261" s="13" t="s">
        <v>274</v>
      </c>
      <c r="H261" s="13" t="s">
        <v>2084</v>
      </c>
      <c r="I261" s="13" t="s">
        <v>2085</v>
      </c>
      <c r="J261" s="13" t="s">
        <v>2086</v>
      </c>
      <c r="K261" s="13" t="s">
        <v>1696</v>
      </c>
      <c r="L261" s="13" t="s">
        <v>1697</v>
      </c>
      <c r="M261" s="13" t="n">
        <v>469.36</v>
      </c>
      <c r="N261" s="13" t="n">
        <v>1.48</v>
      </c>
      <c r="O261" s="13" t="n">
        <v>334</v>
      </c>
      <c r="P261" s="13" t="s">
        <v>1698</v>
      </c>
      <c r="Q261" s="13" t="s">
        <v>2087</v>
      </c>
      <c r="R261" s="13" t="s">
        <v>2036</v>
      </c>
      <c r="S261" s="13" t="s">
        <v>2036</v>
      </c>
      <c r="T261" s="13" t="s">
        <v>61</v>
      </c>
      <c r="U261" s="13"/>
    </row>
    <row r="262" customFormat="false" ht="18" hidden="false" customHeight="true" outlineLevel="0" collapsed="false">
      <c r="A262" s="13" t="n">
        <v>261</v>
      </c>
      <c r="B262" s="13" t="s">
        <v>2088</v>
      </c>
      <c r="C262" s="13" t="s">
        <v>48</v>
      </c>
      <c r="D262" s="13" t="s">
        <v>49</v>
      </c>
      <c r="E262" s="13" t="s">
        <v>91</v>
      </c>
      <c r="F262" s="13" t="s">
        <v>780</v>
      </c>
      <c r="G262" s="13" t="s">
        <v>186</v>
      </c>
      <c r="H262" s="13" t="s">
        <v>2089</v>
      </c>
      <c r="I262" s="13" t="s">
        <v>2090</v>
      </c>
      <c r="J262" s="13" t="s">
        <v>2091</v>
      </c>
      <c r="K262" s="13" t="s">
        <v>2092</v>
      </c>
      <c r="L262" s="13" t="s">
        <v>1163</v>
      </c>
      <c r="M262" s="13" t="n">
        <v>1437.9</v>
      </c>
      <c r="N262" s="13" t="n">
        <v>23.35</v>
      </c>
      <c r="O262" s="13" t="n">
        <v>478</v>
      </c>
      <c r="P262" s="13" t="s">
        <v>1164</v>
      </c>
      <c r="Q262" s="13" t="s">
        <v>871</v>
      </c>
      <c r="R262" s="13" t="s">
        <v>282</v>
      </c>
      <c r="S262" s="13" t="s">
        <v>282</v>
      </c>
      <c r="T262" s="13" t="s">
        <v>61</v>
      </c>
      <c r="U262" s="13"/>
    </row>
    <row r="263" customFormat="false" ht="18" hidden="false" customHeight="true" outlineLevel="0" collapsed="false">
      <c r="A263" s="13" t="n">
        <v>262</v>
      </c>
      <c r="B263" s="13" t="s">
        <v>2093</v>
      </c>
      <c r="C263" s="13" t="s">
        <v>255</v>
      </c>
      <c r="D263" s="13" t="s">
        <v>256</v>
      </c>
      <c r="E263" s="13" t="s">
        <v>79</v>
      </c>
      <c r="F263" s="13" t="s">
        <v>127</v>
      </c>
      <c r="G263" s="13" t="s">
        <v>760</v>
      </c>
      <c r="H263" s="13" t="s">
        <v>2094</v>
      </c>
      <c r="I263" s="13" t="s">
        <v>2095</v>
      </c>
      <c r="J263" s="13" t="s">
        <v>2096</v>
      </c>
      <c r="K263" s="13" t="s">
        <v>1648</v>
      </c>
      <c r="L263" s="13" t="s">
        <v>1649</v>
      </c>
      <c r="M263" s="13" t="n">
        <v>1385.32</v>
      </c>
      <c r="N263" s="13" t="n">
        <v>1.93</v>
      </c>
      <c r="O263" s="13" t="n">
        <v>23</v>
      </c>
      <c r="P263" s="13" t="s">
        <v>1650</v>
      </c>
      <c r="Q263" s="13" t="s">
        <v>2097</v>
      </c>
      <c r="R263" s="13" t="s">
        <v>1899</v>
      </c>
      <c r="S263" s="13" t="s">
        <v>1899</v>
      </c>
      <c r="T263" s="13" t="s">
        <v>61</v>
      </c>
      <c r="U263" s="13"/>
    </row>
    <row r="264" customFormat="false" ht="18" hidden="false" customHeight="true" outlineLevel="0" collapsed="false">
      <c r="A264" s="14" t="n">
        <v>263</v>
      </c>
      <c r="B264" s="14" t="s">
        <v>2098</v>
      </c>
      <c r="C264" s="14" t="s">
        <v>173</v>
      </c>
      <c r="D264" s="14" t="s">
        <v>174</v>
      </c>
      <c r="E264" s="14" t="s">
        <v>65</v>
      </c>
      <c r="F264" s="14"/>
      <c r="G264" s="14" t="s">
        <v>149</v>
      </c>
      <c r="H264" s="14" t="s">
        <v>2099</v>
      </c>
      <c r="I264" s="14" t="s">
        <v>2100</v>
      </c>
      <c r="J264" s="14" t="s">
        <v>2101</v>
      </c>
      <c r="K264" s="14" t="s">
        <v>249</v>
      </c>
      <c r="L264" s="14" t="s">
        <v>250</v>
      </c>
      <c r="M264" s="14" t="n">
        <v>358.67</v>
      </c>
      <c r="N264" s="14" t="n">
        <v>0.29</v>
      </c>
      <c r="O264" s="14" t="n">
        <v>74</v>
      </c>
      <c r="P264" s="14" t="s">
        <v>251</v>
      </c>
      <c r="Q264" s="14" t="s">
        <v>379</v>
      </c>
      <c r="R264" s="14" t="s">
        <v>1423</v>
      </c>
      <c r="S264" s="14" t="s">
        <v>1423</v>
      </c>
      <c r="T264" s="14" t="s">
        <v>61</v>
      </c>
      <c r="U264" s="14" t="s">
        <v>89</v>
      </c>
    </row>
    <row r="265" customFormat="false" ht="18" hidden="false" customHeight="true" outlineLevel="0" collapsed="false">
      <c r="A265" s="13" t="n">
        <v>264</v>
      </c>
      <c r="B265" s="13" t="s">
        <v>2102</v>
      </c>
      <c r="C265" s="13" t="s">
        <v>125</v>
      </c>
      <c r="D265" s="13" t="s">
        <v>126</v>
      </c>
      <c r="E265" s="13" t="s">
        <v>65</v>
      </c>
      <c r="F265" s="13" t="s">
        <v>371</v>
      </c>
      <c r="G265" s="13" t="s">
        <v>391</v>
      </c>
      <c r="H265" s="13" t="s">
        <v>2103</v>
      </c>
      <c r="I265" s="13" t="s">
        <v>2104</v>
      </c>
      <c r="J265" s="13" t="s">
        <v>2105</v>
      </c>
      <c r="K265" s="13" t="s">
        <v>2106</v>
      </c>
      <c r="L265" s="13" t="s">
        <v>2107</v>
      </c>
      <c r="M265" s="13" t="n">
        <v>300.45</v>
      </c>
      <c r="N265" s="13" t="n">
        <v>0.54</v>
      </c>
      <c r="O265" s="13" t="n">
        <v>456</v>
      </c>
      <c r="P265" s="13" t="s">
        <v>2108</v>
      </c>
      <c r="Q265" s="13" t="s">
        <v>2109</v>
      </c>
      <c r="R265" s="13" t="s">
        <v>1274</v>
      </c>
      <c r="S265" s="13" t="s">
        <v>1274</v>
      </c>
      <c r="T265" s="13" t="s">
        <v>61</v>
      </c>
      <c r="U265" s="13"/>
    </row>
    <row r="266" customFormat="false" ht="18" hidden="false" customHeight="true" outlineLevel="0" collapsed="false">
      <c r="A266" s="13" t="n">
        <v>265</v>
      </c>
      <c r="B266" s="13" t="s">
        <v>2110</v>
      </c>
      <c r="C266" s="13" t="s">
        <v>63</v>
      </c>
      <c r="D266" s="13" t="s">
        <v>64</v>
      </c>
      <c r="E266" s="13" t="s">
        <v>65</v>
      </c>
      <c r="F266" s="13" t="s">
        <v>390</v>
      </c>
      <c r="G266" s="13" t="s">
        <v>103</v>
      </c>
      <c r="H266" s="13" t="s">
        <v>2111</v>
      </c>
      <c r="I266" s="13" t="s">
        <v>2112</v>
      </c>
      <c r="J266" s="13" t="s">
        <v>2113</v>
      </c>
      <c r="K266" s="13" t="s">
        <v>2114</v>
      </c>
      <c r="L266" s="13" t="s">
        <v>2115</v>
      </c>
      <c r="M266" s="13" t="n">
        <v>94.7</v>
      </c>
      <c r="N266" s="13" t="n">
        <v>1.42</v>
      </c>
      <c r="O266" s="13" t="n">
        <v>155</v>
      </c>
      <c r="P266" s="13" t="s">
        <v>2116</v>
      </c>
      <c r="Q266" s="13" t="s">
        <v>2117</v>
      </c>
      <c r="R266" s="13" t="s">
        <v>1814</v>
      </c>
      <c r="S266" s="13" t="s">
        <v>1814</v>
      </c>
      <c r="T266" s="13" t="s">
        <v>61</v>
      </c>
      <c r="U266" s="13"/>
    </row>
    <row r="267" customFormat="false" ht="18" hidden="false" customHeight="true" outlineLevel="0" collapsed="false">
      <c r="A267" s="13" t="n">
        <v>266</v>
      </c>
      <c r="B267" s="13" t="s">
        <v>2118</v>
      </c>
      <c r="C267" s="13" t="s">
        <v>255</v>
      </c>
      <c r="D267" s="13" t="s">
        <v>256</v>
      </c>
      <c r="E267" s="13" t="s">
        <v>65</v>
      </c>
      <c r="F267" s="13" t="s">
        <v>245</v>
      </c>
      <c r="G267" s="13" t="s">
        <v>149</v>
      </c>
      <c r="H267" s="13" t="s">
        <v>2119</v>
      </c>
      <c r="I267" s="13" t="s">
        <v>2120</v>
      </c>
      <c r="J267" s="13" t="s">
        <v>2121</v>
      </c>
      <c r="K267" s="13" t="s">
        <v>249</v>
      </c>
      <c r="L267" s="13" t="s">
        <v>250</v>
      </c>
      <c r="M267" s="13" t="n">
        <v>422.25</v>
      </c>
      <c r="N267" s="13" t="n">
        <v>1.23</v>
      </c>
      <c r="O267" s="13" t="n">
        <v>496</v>
      </c>
      <c r="P267" s="13" t="s">
        <v>251</v>
      </c>
      <c r="Q267" s="13" t="s">
        <v>2122</v>
      </c>
      <c r="R267" s="13" t="s">
        <v>1814</v>
      </c>
      <c r="S267" s="13" t="s">
        <v>1814</v>
      </c>
      <c r="T267" s="13" t="s">
        <v>61</v>
      </c>
      <c r="U267" s="13"/>
    </row>
    <row r="268" customFormat="false" ht="18" hidden="false" customHeight="true" outlineLevel="0" collapsed="false">
      <c r="A268" s="13" t="n">
        <v>267</v>
      </c>
      <c r="B268" s="13" t="s">
        <v>2123</v>
      </c>
      <c r="C268" s="13" t="s">
        <v>173</v>
      </c>
      <c r="D268" s="13" t="s">
        <v>174</v>
      </c>
      <c r="E268" s="13" t="s">
        <v>91</v>
      </c>
      <c r="F268" s="13" t="s">
        <v>419</v>
      </c>
      <c r="G268" s="13" t="s">
        <v>93</v>
      </c>
      <c r="H268" s="13" t="s">
        <v>2124</v>
      </c>
      <c r="I268" s="13" t="s">
        <v>2125</v>
      </c>
      <c r="J268" s="13" t="s">
        <v>2126</v>
      </c>
      <c r="K268" s="13" t="s">
        <v>1690</v>
      </c>
      <c r="L268" s="13" t="s">
        <v>624</v>
      </c>
      <c r="M268" s="13" t="n">
        <v>251.56</v>
      </c>
      <c r="N268" s="13" t="n">
        <v>48.39</v>
      </c>
      <c r="O268" s="13" t="n">
        <v>103</v>
      </c>
      <c r="P268" s="13" t="s">
        <v>625</v>
      </c>
      <c r="Q268" s="13" t="s">
        <v>610</v>
      </c>
      <c r="R268" s="13" t="s">
        <v>2127</v>
      </c>
      <c r="S268" s="13" t="s">
        <v>2127</v>
      </c>
      <c r="T268" s="13" t="s">
        <v>61</v>
      </c>
      <c r="U268" s="13"/>
    </row>
    <row r="269" customFormat="false" ht="18" hidden="false" customHeight="true" outlineLevel="0" collapsed="false">
      <c r="A269" s="16" t="n">
        <v>268</v>
      </c>
      <c r="B269" s="16" t="s">
        <v>2128</v>
      </c>
      <c r="C269" s="16" t="s">
        <v>63</v>
      </c>
      <c r="D269" s="16" t="s">
        <v>64</v>
      </c>
      <c r="E269" s="16" t="s">
        <v>79</v>
      </c>
      <c r="F269" s="16" t="s">
        <v>196</v>
      </c>
      <c r="G269" s="16" t="s">
        <v>562</v>
      </c>
      <c r="H269" s="16" t="s">
        <v>2129</v>
      </c>
      <c r="I269" s="16" t="s">
        <v>2130</v>
      </c>
      <c r="J269" s="16" t="s">
        <v>2131</v>
      </c>
      <c r="K269" s="16" t="s">
        <v>2132</v>
      </c>
      <c r="L269" s="16" t="s">
        <v>2133</v>
      </c>
      <c r="M269" s="16" t="n">
        <v>479.7</v>
      </c>
      <c r="N269" s="16" t="n">
        <v>2.64</v>
      </c>
      <c r="O269" s="16" t="n">
        <v>0</v>
      </c>
      <c r="P269" s="16" t="s">
        <v>2134</v>
      </c>
      <c r="Q269" s="16" t="s">
        <v>2135</v>
      </c>
      <c r="R269" s="16" t="s">
        <v>2136</v>
      </c>
      <c r="S269" s="16" t="s">
        <v>1708</v>
      </c>
      <c r="T269" s="16" t="s">
        <v>61</v>
      </c>
      <c r="U269" s="16" t="s">
        <v>325</v>
      </c>
    </row>
    <row r="270" customFormat="false" ht="18" hidden="false" customHeight="true" outlineLevel="0" collapsed="false">
      <c r="A270" s="13" t="n">
        <v>269</v>
      </c>
      <c r="B270" s="13" t="s">
        <v>2137</v>
      </c>
      <c r="C270" s="13" t="s">
        <v>125</v>
      </c>
      <c r="D270" s="13" t="s">
        <v>126</v>
      </c>
      <c r="E270" s="13" t="s">
        <v>91</v>
      </c>
      <c r="F270" s="13" t="s">
        <v>780</v>
      </c>
      <c r="G270" s="13" t="s">
        <v>93</v>
      </c>
      <c r="H270" s="13" t="s">
        <v>2138</v>
      </c>
      <c r="I270" s="13" t="s">
        <v>2139</v>
      </c>
      <c r="J270" s="13" t="s">
        <v>2140</v>
      </c>
      <c r="K270" s="13" t="s">
        <v>2141</v>
      </c>
      <c r="L270" s="13" t="s">
        <v>1675</v>
      </c>
      <c r="M270" s="13" t="n">
        <v>1992.88</v>
      </c>
      <c r="N270" s="13" t="n">
        <v>19.27</v>
      </c>
      <c r="O270" s="13" t="n">
        <v>188</v>
      </c>
      <c r="P270" s="13" t="s">
        <v>1676</v>
      </c>
      <c r="Q270" s="13" t="s">
        <v>2142</v>
      </c>
      <c r="R270" s="13" t="s">
        <v>1026</v>
      </c>
      <c r="S270" s="13" t="s">
        <v>1026</v>
      </c>
      <c r="T270" s="13" t="s">
        <v>61</v>
      </c>
      <c r="U270" s="13"/>
    </row>
    <row r="271" customFormat="false" ht="18" hidden="false" customHeight="true" outlineLevel="0" collapsed="false">
      <c r="A271" s="15" t="n">
        <v>270</v>
      </c>
      <c r="B271" s="15" t="s">
        <v>1253</v>
      </c>
      <c r="C271" s="15" t="s">
        <v>255</v>
      </c>
      <c r="D271" s="15" t="s">
        <v>256</v>
      </c>
      <c r="E271" s="15" t="s">
        <v>65</v>
      </c>
      <c r="F271" s="15" t="s">
        <v>115</v>
      </c>
      <c r="G271" s="15" t="s">
        <v>372</v>
      </c>
      <c r="H271" s="15" t="s">
        <v>1254</v>
      </c>
      <c r="I271" s="15" t="s">
        <v>1255</v>
      </c>
      <c r="J271" s="15" t="s">
        <v>1256</v>
      </c>
      <c r="K271" s="15" t="s">
        <v>1257</v>
      </c>
      <c r="L271" s="15" t="s">
        <v>1258</v>
      </c>
      <c r="M271" s="15" t="n">
        <v>208.58</v>
      </c>
      <c r="N271" s="15" t="n">
        <v>1.36</v>
      </c>
      <c r="O271" s="15" t="n">
        <v>95</v>
      </c>
      <c r="P271" s="15" t="s">
        <v>1259</v>
      </c>
      <c r="Q271" s="15" t="s">
        <v>110</v>
      </c>
      <c r="R271" s="15" t="s">
        <v>1260</v>
      </c>
      <c r="S271" s="15" t="s">
        <v>1260</v>
      </c>
      <c r="T271" s="15" t="s">
        <v>61</v>
      </c>
      <c r="U271" s="15" t="s">
        <v>283</v>
      </c>
    </row>
    <row r="272" customFormat="false" ht="18" hidden="false" customHeight="true" outlineLevel="0" collapsed="false">
      <c r="A272" s="13" t="n">
        <v>271</v>
      </c>
      <c r="B272" s="13" t="s">
        <v>2143</v>
      </c>
      <c r="C272" s="13" t="s">
        <v>63</v>
      </c>
      <c r="D272" s="13" t="s">
        <v>64</v>
      </c>
      <c r="E272" s="13" t="s">
        <v>65</v>
      </c>
      <c r="F272" s="13" t="s">
        <v>371</v>
      </c>
      <c r="G272" s="13" t="s">
        <v>103</v>
      </c>
      <c r="H272" s="13" t="s">
        <v>2144</v>
      </c>
      <c r="I272" s="13" t="s">
        <v>2145</v>
      </c>
      <c r="J272" s="13" t="s">
        <v>2146</v>
      </c>
      <c r="K272" s="13" t="s">
        <v>2147</v>
      </c>
      <c r="L272" s="13" t="s">
        <v>2148</v>
      </c>
      <c r="M272" s="13" t="n">
        <v>162.14</v>
      </c>
      <c r="N272" s="13" t="n">
        <v>1.33</v>
      </c>
      <c r="O272" s="13" t="n">
        <v>209</v>
      </c>
      <c r="P272" s="13" t="s">
        <v>2149</v>
      </c>
      <c r="Q272" s="13" t="s">
        <v>2150</v>
      </c>
      <c r="R272" s="13" t="s">
        <v>2151</v>
      </c>
      <c r="S272" s="13" t="s">
        <v>2151</v>
      </c>
      <c r="T272" s="13" t="s">
        <v>61</v>
      </c>
      <c r="U272" s="13"/>
    </row>
    <row r="273" customFormat="false" ht="18" hidden="false" customHeight="true" outlineLevel="0" collapsed="false">
      <c r="A273" s="13" t="n">
        <v>272</v>
      </c>
      <c r="B273" s="13" t="s">
        <v>2152</v>
      </c>
      <c r="C273" s="13" t="s">
        <v>159</v>
      </c>
      <c r="D273" s="13" t="s">
        <v>160</v>
      </c>
      <c r="E273" s="13" t="s">
        <v>79</v>
      </c>
      <c r="F273" s="13" t="s">
        <v>127</v>
      </c>
      <c r="G273" s="13" t="s">
        <v>80</v>
      </c>
      <c r="H273" s="13" t="s">
        <v>2153</v>
      </c>
      <c r="I273" s="13" t="s">
        <v>2154</v>
      </c>
      <c r="J273" s="13" t="s">
        <v>2155</v>
      </c>
      <c r="K273" s="13" t="s">
        <v>2156</v>
      </c>
      <c r="L273" s="13" t="s">
        <v>1138</v>
      </c>
      <c r="M273" s="13" t="n">
        <v>438.91</v>
      </c>
      <c r="N273" s="13" t="n">
        <v>1.55</v>
      </c>
      <c r="O273" s="13" t="n">
        <v>76</v>
      </c>
      <c r="P273" s="13" t="s">
        <v>1139</v>
      </c>
      <c r="Q273" s="13" t="s">
        <v>2157</v>
      </c>
      <c r="R273" s="13" t="s">
        <v>627</v>
      </c>
      <c r="S273" s="13" t="s">
        <v>627</v>
      </c>
      <c r="T273" s="13" t="s">
        <v>61</v>
      </c>
      <c r="U273" s="13"/>
    </row>
    <row r="274" customFormat="false" ht="18" hidden="false" customHeight="true" outlineLevel="0" collapsed="false">
      <c r="A274" s="13" t="n">
        <v>273</v>
      </c>
      <c r="B274" s="13" t="s">
        <v>2158</v>
      </c>
      <c r="C274" s="13" t="s">
        <v>48</v>
      </c>
      <c r="D274" s="13" t="s">
        <v>49</v>
      </c>
      <c r="E274" s="13" t="s">
        <v>50</v>
      </c>
      <c r="F274" s="13" t="s">
        <v>503</v>
      </c>
      <c r="G274" s="13" t="s">
        <v>352</v>
      </c>
      <c r="H274" s="13" t="s">
        <v>2159</v>
      </c>
      <c r="I274" s="13" t="s">
        <v>2160</v>
      </c>
      <c r="J274" s="13" t="s">
        <v>2161</v>
      </c>
      <c r="K274" s="13" t="s">
        <v>2162</v>
      </c>
      <c r="L274" s="13" t="s">
        <v>508</v>
      </c>
      <c r="M274" s="13" t="n">
        <v>913.84</v>
      </c>
      <c r="N274" s="13" t="n">
        <v>0.53</v>
      </c>
      <c r="O274" s="13" t="n">
        <v>29</v>
      </c>
      <c r="P274" s="13" t="s">
        <v>509</v>
      </c>
      <c r="Q274" s="13" t="s">
        <v>2163</v>
      </c>
      <c r="R274" s="13" t="s">
        <v>2164</v>
      </c>
      <c r="S274" s="13" t="s">
        <v>2164</v>
      </c>
      <c r="T274" s="13" t="s">
        <v>61</v>
      </c>
      <c r="U274" s="13"/>
    </row>
    <row r="275" customFormat="false" ht="18" hidden="false" customHeight="true" outlineLevel="0" collapsed="false">
      <c r="A275" s="16" t="n">
        <v>274</v>
      </c>
      <c r="B275" s="16" t="s">
        <v>2165</v>
      </c>
      <c r="C275" s="16" t="s">
        <v>159</v>
      </c>
      <c r="D275" s="16" t="s">
        <v>160</v>
      </c>
      <c r="E275" s="16" t="s">
        <v>65</v>
      </c>
      <c r="F275" s="16" t="s">
        <v>66</v>
      </c>
      <c r="G275" s="16" t="s">
        <v>67</v>
      </c>
      <c r="H275" s="16" t="s">
        <v>2166</v>
      </c>
      <c r="I275" s="16" t="s">
        <v>2167</v>
      </c>
      <c r="J275" s="16" t="s">
        <v>2168</v>
      </c>
      <c r="K275" s="16" t="s">
        <v>71</v>
      </c>
      <c r="L275" s="16" t="s">
        <v>72</v>
      </c>
      <c r="M275" s="16" t="n">
        <v>452.45</v>
      </c>
      <c r="N275" s="16" t="n">
        <v>1.46</v>
      </c>
      <c r="O275" s="16" t="n">
        <v>0</v>
      </c>
      <c r="P275" s="16" t="s">
        <v>73</v>
      </c>
      <c r="Q275" s="16" t="s">
        <v>1929</v>
      </c>
      <c r="R275" s="16" t="s">
        <v>1179</v>
      </c>
      <c r="S275" s="16" t="s">
        <v>2169</v>
      </c>
      <c r="T275" s="16" t="s">
        <v>61</v>
      </c>
      <c r="U275" s="16" t="s">
        <v>325</v>
      </c>
    </row>
    <row r="276" customFormat="false" ht="18" hidden="false" customHeight="true" outlineLevel="0" collapsed="false">
      <c r="A276" s="15" t="n">
        <v>275</v>
      </c>
      <c r="B276" s="15" t="s">
        <v>2170</v>
      </c>
      <c r="C276" s="15" t="s">
        <v>48</v>
      </c>
      <c r="D276" s="15" t="s">
        <v>49</v>
      </c>
      <c r="E276" s="15" t="s">
        <v>91</v>
      </c>
      <c r="F276" s="15" t="s">
        <v>138</v>
      </c>
      <c r="G276" s="15" t="s">
        <v>139</v>
      </c>
      <c r="H276" s="15" t="s">
        <v>2171</v>
      </c>
      <c r="I276" s="15" t="s">
        <v>2172</v>
      </c>
      <c r="J276" s="15" t="s">
        <v>2173</v>
      </c>
      <c r="K276" s="15" t="s">
        <v>2174</v>
      </c>
      <c r="L276" s="15" t="s">
        <v>144</v>
      </c>
      <c r="M276" s="15" t="n">
        <v>477.67</v>
      </c>
      <c r="N276" s="15" t="n">
        <v>20.31</v>
      </c>
      <c r="O276" s="15" t="n">
        <v>70</v>
      </c>
      <c r="P276" s="15" t="s">
        <v>145</v>
      </c>
      <c r="Q276" s="15" t="s">
        <v>2175</v>
      </c>
      <c r="R276" s="15" t="s">
        <v>473</v>
      </c>
      <c r="S276" s="15" t="s">
        <v>473</v>
      </c>
      <c r="T276" s="15" t="s">
        <v>61</v>
      </c>
      <c r="U276" s="15" t="s">
        <v>778</v>
      </c>
    </row>
    <row r="277" customFormat="false" ht="18" hidden="false" customHeight="true" outlineLevel="0" collapsed="false">
      <c r="A277" s="13" t="n">
        <v>276</v>
      </c>
      <c r="B277" s="13" t="s">
        <v>2176</v>
      </c>
      <c r="C277" s="13" t="s">
        <v>125</v>
      </c>
      <c r="D277" s="13" t="s">
        <v>126</v>
      </c>
      <c r="E277" s="13" t="s">
        <v>50</v>
      </c>
      <c r="F277" s="13" t="s">
        <v>51</v>
      </c>
      <c r="G277" s="13" t="s">
        <v>808</v>
      </c>
      <c r="H277" s="13" t="s">
        <v>2177</v>
      </c>
      <c r="I277" s="13" t="s">
        <v>2178</v>
      </c>
      <c r="J277" s="13" t="s">
        <v>2179</v>
      </c>
      <c r="K277" s="13" t="s">
        <v>2180</v>
      </c>
      <c r="L277" s="13" t="s">
        <v>1857</v>
      </c>
      <c r="M277" s="13" t="n">
        <v>824.74</v>
      </c>
      <c r="N277" s="13" t="n">
        <v>0.42</v>
      </c>
      <c r="O277" s="13" t="n">
        <v>343</v>
      </c>
      <c r="P277" s="13" t="s">
        <v>1858</v>
      </c>
      <c r="Q277" s="13" t="s">
        <v>2181</v>
      </c>
      <c r="R277" s="13" t="s">
        <v>2182</v>
      </c>
      <c r="S277" s="13" t="s">
        <v>2182</v>
      </c>
      <c r="T277" s="13" t="s">
        <v>61</v>
      </c>
      <c r="U277" s="13"/>
    </row>
    <row r="278" customFormat="false" ht="18" hidden="false" customHeight="true" outlineLevel="0" collapsed="false">
      <c r="A278" s="13" t="n">
        <v>277</v>
      </c>
      <c r="B278" s="13" t="s">
        <v>2183</v>
      </c>
      <c r="C278" s="13" t="s">
        <v>255</v>
      </c>
      <c r="D278" s="13" t="s">
        <v>256</v>
      </c>
      <c r="E278" s="13" t="s">
        <v>79</v>
      </c>
      <c r="F278" s="13" t="s">
        <v>196</v>
      </c>
      <c r="G278" s="13" t="s">
        <v>562</v>
      </c>
      <c r="H278" s="13" t="s">
        <v>2184</v>
      </c>
      <c r="I278" s="13" t="s">
        <v>2185</v>
      </c>
      <c r="J278" s="13" t="s">
        <v>2186</v>
      </c>
      <c r="K278" s="13" t="s">
        <v>2187</v>
      </c>
      <c r="L278" s="13" t="s">
        <v>2133</v>
      </c>
      <c r="M278" s="13" t="n">
        <v>429.17</v>
      </c>
      <c r="N278" s="13" t="n">
        <v>2.21</v>
      </c>
      <c r="O278" s="13" t="n">
        <v>463</v>
      </c>
      <c r="P278" s="13" t="s">
        <v>2134</v>
      </c>
      <c r="Q278" s="13" t="s">
        <v>2188</v>
      </c>
      <c r="R278" s="13" t="s">
        <v>2189</v>
      </c>
      <c r="S278" s="13" t="s">
        <v>2189</v>
      </c>
      <c r="T278" s="13" t="s">
        <v>61</v>
      </c>
      <c r="U278" s="13"/>
    </row>
    <row r="279" customFormat="false" ht="18" hidden="false" customHeight="true" outlineLevel="0" collapsed="false">
      <c r="A279" s="13" t="n">
        <v>278</v>
      </c>
      <c r="B279" s="13" t="s">
        <v>2190</v>
      </c>
      <c r="C279" s="13" t="s">
        <v>159</v>
      </c>
      <c r="D279" s="13" t="s">
        <v>160</v>
      </c>
      <c r="E279" s="13" t="s">
        <v>161</v>
      </c>
      <c r="F279" s="13" t="s">
        <v>185</v>
      </c>
      <c r="G279" s="13" t="s">
        <v>207</v>
      </c>
      <c r="H279" s="13" t="s">
        <v>2191</v>
      </c>
      <c r="I279" s="13" t="s">
        <v>2192</v>
      </c>
      <c r="J279" s="13" t="s">
        <v>2193</v>
      </c>
      <c r="K279" s="13" t="s">
        <v>2194</v>
      </c>
      <c r="L279" s="13" t="s">
        <v>1307</v>
      </c>
      <c r="M279" s="13" t="n">
        <v>289.95</v>
      </c>
      <c r="N279" s="13" t="n">
        <v>0.39</v>
      </c>
      <c r="O279" s="13" t="n">
        <v>66</v>
      </c>
      <c r="P279" s="13" t="s">
        <v>1308</v>
      </c>
      <c r="Q279" s="13" t="s">
        <v>2195</v>
      </c>
      <c r="R279" s="13" t="s">
        <v>2196</v>
      </c>
      <c r="S279" s="13" t="s">
        <v>2196</v>
      </c>
      <c r="T279" s="13" t="s">
        <v>61</v>
      </c>
      <c r="U279" s="13"/>
    </row>
    <row r="280" customFormat="false" ht="18" hidden="false" customHeight="true" outlineLevel="0" collapsed="false">
      <c r="A280" s="15" t="n">
        <v>279</v>
      </c>
      <c r="B280" s="15" t="s">
        <v>2197</v>
      </c>
      <c r="C280" s="15" t="s">
        <v>48</v>
      </c>
      <c r="D280" s="15" t="s">
        <v>49</v>
      </c>
      <c r="E280" s="15" t="s">
        <v>79</v>
      </c>
      <c r="F280" s="15" t="s">
        <v>51</v>
      </c>
      <c r="G280" s="15" t="s">
        <v>128</v>
      </c>
      <c r="H280" s="15" t="s">
        <v>2198</v>
      </c>
      <c r="I280" s="15" t="s">
        <v>2199</v>
      </c>
      <c r="J280" s="15" t="s">
        <v>2200</v>
      </c>
      <c r="K280" s="15" t="s">
        <v>2201</v>
      </c>
      <c r="L280" s="15" t="s">
        <v>547</v>
      </c>
      <c r="M280" s="15" t="n">
        <v>678.45</v>
      </c>
      <c r="N280" s="15" t="n">
        <v>1.43</v>
      </c>
      <c r="O280" s="15" t="n">
        <v>212</v>
      </c>
      <c r="P280" s="15" t="s">
        <v>548</v>
      </c>
      <c r="Q280" s="15" t="s">
        <v>2202</v>
      </c>
      <c r="R280" s="15" t="s">
        <v>2203</v>
      </c>
      <c r="S280" s="15" t="s">
        <v>2203</v>
      </c>
      <c r="T280" s="15" t="s">
        <v>61</v>
      </c>
      <c r="U280" s="15" t="s">
        <v>283</v>
      </c>
    </row>
    <row r="281" customFormat="false" ht="18" hidden="false" customHeight="true" outlineLevel="0" collapsed="false">
      <c r="A281" s="13" t="n">
        <v>280</v>
      </c>
      <c r="B281" s="13" t="s">
        <v>2204</v>
      </c>
      <c r="C281" s="13" t="s">
        <v>255</v>
      </c>
      <c r="D281" s="13" t="s">
        <v>256</v>
      </c>
      <c r="E281" s="13" t="s">
        <v>79</v>
      </c>
      <c r="F281" s="13" t="s">
        <v>127</v>
      </c>
      <c r="G281" s="13" t="s">
        <v>128</v>
      </c>
      <c r="H281" s="13" t="s">
        <v>2205</v>
      </c>
      <c r="I281" s="13" t="s">
        <v>2206</v>
      </c>
      <c r="J281" s="13" t="s">
        <v>2207</v>
      </c>
      <c r="K281" s="13" t="s">
        <v>2208</v>
      </c>
      <c r="L281" s="13" t="s">
        <v>133</v>
      </c>
      <c r="M281" s="13" t="n">
        <v>1207.29</v>
      </c>
      <c r="N281" s="13" t="n">
        <v>1.76</v>
      </c>
      <c r="O281" s="13" t="n">
        <v>275</v>
      </c>
      <c r="P281" s="13" t="s">
        <v>134</v>
      </c>
      <c r="Q281" s="13" t="s">
        <v>2209</v>
      </c>
      <c r="R281" s="13" t="s">
        <v>741</v>
      </c>
      <c r="S281" s="13" t="s">
        <v>741</v>
      </c>
      <c r="T281" s="13" t="s">
        <v>61</v>
      </c>
      <c r="U281" s="13"/>
    </row>
    <row r="282" customFormat="false" ht="18" hidden="false" customHeight="true" outlineLevel="0" collapsed="false">
      <c r="A282" s="13" t="n">
        <v>281</v>
      </c>
      <c r="B282" s="13" t="s">
        <v>2210</v>
      </c>
      <c r="C282" s="13" t="s">
        <v>77</v>
      </c>
      <c r="D282" s="13" t="s">
        <v>78</v>
      </c>
      <c r="E282" s="13" t="s">
        <v>50</v>
      </c>
      <c r="F282" s="13" t="s">
        <v>138</v>
      </c>
      <c r="G282" s="13" t="s">
        <v>808</v>
      </c>
      <c r="H282" s="13" t="s">
        <v>2211</v>
      </c>
      <c r="I282" s="13" t="s">
        <v>2212</v>
      </c>
      <c r="J282" s="13" t="s">
        <v>2213</v>
      </c>
      <c r="K282" s="13" t="s">
        <v>812</v>
      </c>
      <c r="L282" s="13" t="s">
        <v>813</v>
      </c>
      <c r="M282" s="13" t="n">
        <v>266</v>
      </c>
      <c r="N282" s="13" t="n">
        <v>0.87</v>
      </c>
      <c r="O282" s="13" t="n">
        <v>182</v>
      </c>
      <c r="P282" s="13" t="s">
        <v>814</v>
      </c>
      <c r="Q282" s="13" t="s">
        <v>2214</v>
      </c>
      <c r="R282" s="13" t="s">
        <v>2215</v>
      </c>
      <c r="S282" s="13" t="s">
        <v>2215</v>
      </c>
      <c r="T282" s="13" t="s">
        <v>61</v>
      </c>
      <c r="U282" s="13"/>
    </row>
    <row r="283" customFormat="false" ht="18" hidden="false" customHeight="true" outlineLevel="0" collapsed="false">
      <c r="A283" s="15" t="n">
        <v>282</v>
      </c>
      <c r="B283" s="15" t="s">
        <v>2216</v>
      </c>
      <c r="C283" s="15" t="s">
        <v>159</v>
      </c>
      <c r="D283" s="15" t="s">
        <v>160</v>
      </c>
      <c r="E283" s="15" t="s">
        <v>65</v>
      </c>
      <c r="F283" s="15" t="s">
        <v>438</v>
      </c>
      <c r="G283" s="15" t="s">
        <v>103</v>
      </c>
      <c r="H283" s="15" t="s">
        <v>2217</v>
      </c>
      <c r="I283" s="15" t="s">
        <v>2218</v>
      </c>
      <c r="J283" s="15" t="s">
        <v>2219</v>
      </c>
      <c r="K283" s="15" t="s">
        <v>2220</v>
      </c>
      <c r="L283" s="15" t="s">
        <v>2221</v>
      </c>
      <c r="M283" s="15" t="n">
        <v>206.19</v>
      </c>
      <c r="N283" s="15" t="n">
        <v>1.1</v>
      </c>
      <c r="O283" s="15" t="n">
        <v>376</v>
      </c>
      <c r="P283" s="15" t="s">
        <v>2222</v>
      </c>
      <c r="Q283" s="15" t="s">
        <v>2223</v>
      </c>
      <c r="R283" s="15" t="s">
        <v>2224</v>
      </c>
      <c r="S283" s="15" t="s">
        <v>2224</v>
      </c>
      <c r="T283" s="15" t="s">
        <v>61</v>
      </c>
      <c r="U283" s="15" t="s">
        <v>243</v>
      </c>
    </row>
    <row r="284" customFormat="false" ht="18" hidden="false" customHeight="true" outlineLevel="0" collapsed="false">
      <c r="A284" s="13" t="n">
        <v>283</v>
      </c>
      <c r="B284" s="13" t="s">
        <v>2225</v>
      </c>
      <c r="C284" s="13" t="s">
        <v>63</v>
      </c>
      <c r="D284" s="13" t="s">
        <v>64</v>
      </c>
      <c r="E284" s="13" t="s">
        <v>161</v>
      </c>
      <c r="F284" s="13" t="s">
        <v>429</v>
      </c>
      <c r="G284" s="13" t="s">
        <v>207</v>
      </c>
      <c r="H284" s="13" t="s">
        <v>2226</v>
      </c>
      <c r="I284" s="13" t="s">
        <v>2227</v>
      </c>
      <c r="J284" s="13" t="s">
        <v>2228</v>
      </c>
      <c r="K284" s="13" t="s">
        <v>2229</v>
      </c>
      <c r="L284" s="13" t="s">
        <v>434</v>
      </c>
      <c r="M284" s="13" t="n">
        <v>446.11</v>
      </c>
      <c r="N284" s="13" t="n">
        <v>0.36</v>
      </c>
      <c r="O284" s="13" t="n">
        <v>125</v>
      </c>
      <c r="P284" s="13" t="s">
        <v>435</v>
      </c>
      <c r="Q284" s="13" t="s">
        <v>916</v>
      </c>
      <c r="R284" s="13" t="s">
        <v>1930</v>
      </c>
      <c r="S284" s="13" t="s">
        <v>1930</v>
      </c>
      <c r="T284" s="13" t="s">
        <v>61</v>
      </c>
      <c r="U284" s="13"/>
    </row>
    <row r="285" customFormat="false" ht="18" hidden="false" customHeight="true" outlineLevel="0" collapsed="false">
      <c r="A285" s="13" t="n">
        <v>284</v>
      </c>
      <c r="B285" s="13" t="s">
        <v>2230</v>
      </c>
      <c r="C285" s="13" t="s">
        <v>48</v>
      </c>
      <c r="D285" s="13" t="s">
        <v>49</v>
      </c>
      <c r="E285" s="13" t="s">
        <v>161</v>
      </c>
      <c r="F285" s="13" t="s">
        <v>295</v>
      </c>
      <c r="G285" s="13" t="s">
        <v>334</v>
      </c>
      <c r="H285" s="13" t="s">
        <v>2231</v>
      </c>
      <c r="I285" s="13" t="s">
        <v>2232</v>
      </c>
      <c r="J285" s="13" t="s">
        <v>2233</v>
      </c>
      <c r="K285" s="13" t="s">
        <v>2234</v>
      </c>
      <c r="L285" s="13" t="s">
        <v>659</v>
      </c>
      <c r="M285" s="13" t="n">
        <v>326.14</v>
      </c>
      <c r="N285" s="13" t="n">
        <v>0.22</v>
      </c>
      <c r="O285" s="13" t="n">
        <v>32</v>
      </c>
      <c r="P285" s="13" t="s">
        <v>660</v>
      </c>
      <c r="Q285" s="13" t="s">
        <v>1098</v>
      </c>
      <c r="R285" s="13" t="s">
        <v>1510</v>
      </c>
      <c r="S285" s="13" t="s">
        <v>1510</v>
      </c>
      <c r="T285" s="13" t="s">
        <v>61</v>
      </c>
      <c r="U285" s="13"/>
    </row>
    <row r="286" customFormat="false" ht="18" hidden="false" customHeight="true" outlineLevel="0" collapsed="false">
      <c r="A286" s="14" t="n">
        <v>285</v>
      </c>
      <c r="B286" s="14" t="s">
        <v>2235</v>
      </c>
      <c r="C286" s="14" t="s">
        <v>173</v>
      </c>
      <c r="D286" s="14" t="s">
        <v>174</v>
      </c>
      <c r="E286" s="14" t="s">
        <v>161</v>
      </c>
      <c r="F286" s="14" t="s">
        <v>185</v>
      </c>
      <c r="G286" s="14" t="s">
        <v>163</v>
      </c>
      <c r="H286" s="14" t="s">
        <v>2236</v>
      </c>
      <c r="I286" s="14" t="s">
        <v>2237</v>
      </c>
      <c r="J286" s="14" t="s">
        <v>2238</v>
      </c>
      <c r="K286" s="14" t="s">
        <v>2239</v>
      </c>
      <c r="L286" s="14" t="s">
        <v>2240</v>
      </c>
      <c r="M286" s="14" t="n">
        <v>369.74</v>
      </c>
      <c r="N286" s="14" t="n">
        <v>0.23</v>
      </c>
      <c r="O286" s="14" t="n">
        <v>379</v>
      </c>
      <c r="P286" s="14"/>
      <c r="Q286" s="14" t="s">
        <v>1020</v>
      </c>
      <c r="R286" s="14" t="s">
        <v>2241</v>
      </c>
      <c r="S286" s="14" t="s">
        <v>2241</v>
      </c>
      <c r="T286" s="14" t="s">
        <v>61</v>
      </c>
      <c r="U286" s="14" t="s">
        <v>1014</v>
      </c>
    </row>
    <row r="287" customFormat="false" ht="18" hidden="false" customHeight="true" outlineLevel="0" collapsed="false">
      <c r="A287" s="13" t="n">
        <v>286</v>
      </c>
      <c r="B287" s="13" t="s">
        <v>2242</v>
      </c>
      <c r="C287" s="13" t="s">
        <v>255</v>
      </c>
      <c r="D287" s="13" t="s">
        <v>256</v>
      </c>
      <c r="E287" s="13" t="s">
        <v>79</v>
      </c>
      <c r="F287" s="13" t="s">
        <v>513</v>
      </c>
      <c r="G287" s="13" t="s">
        <v>128</v>
      </c>
      <c r="H287" s="13" t="s">
        <v>2243</v>
      </c>
      <c r="I287" s="13" t="s">
        <v>2244</v>
      </c>
      <c r="J287" s="13" t="s">
        <v>2245</v>
      </c>
      <c r="K287" s="13" t="s">
        <v>2246</v>
      </c>
      <c r="L287" s="13" t="s">
        <v>2247</v>
      </c>
      <c r="M287" s="13" t="n">
        <v>2458.72</v>
      </c>
      <c r="N287" s="13" t="n">
        <v>1.97</v>
      </c>
      <c r="O287" s="13" t="n">
        <v>93</v>
      </c>
      <c r="P287" s="13" t="s">
        <v>2248</v>
      </c>
      <c r="Q287" s="13" t="s">
        <v>2249</v>
      </c>
      <c r="R287" s="13" t="s">
        <v>2196</v>
      </c>
      <c r="S287" s="13" t="s">
        <v>2196</v>
      </c>
      <c r="T287" s="13" t="s">
        <v>61</v>
      </c>
      <c r="U287" s="13"/>
    </row>
    <row r="288" customFormat="false" ht="18" hidden="false" customHeight="true" outlineLevel="0" collapsed="false">
      <c r="A288" s="13" t="n">
        <v>287</v>
      </c>
      <c r="B288" s="13" t="s">
        <v>2250</v>
      </c>
      <c r="C288" s="13" t="s">
        <v>125</v>
      </c>
      <c r="D288" s="13" t="s">
        <v>126</v>
      </c>
      <c r="E288" s="13" t="s">
        <v>91</v>
      </c>
      <c r="F288" s="13" t="s">
        <v>587</v>
      </c>
      <c r="G288" s="13" t="s">
        <v>93</v>
      </c>
      <c r="H288" s="13" t="s">
        <v>2251</v>
      </c>
      <c r="I288" s="13" t="s">
        <v>2252</v>
      </c>
      <c r="J288" s="13" t="s">
        <v>2253</v>
      </c>
      <c r="K288" s="13" t="s">
        <v>2254</v>
      </c>
      <c r="L288" s="13" t="s">
        <v>1783</v>
      </c>
      <c r="M288" s="13" t="n">
        <v>1643.51</v>
      </c>
      <c r="N288" s="13" t="n">
        <v>40.99</v>
      </c>
      <c r="O288" s="13" t="n">
        <v>447</v>
      </c>
      <c r="P288" s="13" t="s">
        <v>1784</v>
      </c>
      <c r="Q288" s="13" t="s">
        <v>2255</v>
      </c>
      <c r="R288" s="13" t="s">
        <v>171</v>
      </c>
      <c r="S288" s="13" t="s">
        <v>171</v>
      </c>
      <c r="T288" s="13" t="s">
        <v>61</v>
      </c>
      <c r="U288" s="13"/>
    </row>
    <row r="289" customFormat="false" ht="18" hidden="false" customHeight="true" outlineLevel="0" collapsed="false">
      <c r="A289" s="15" t="n">
        <v>288</v>
      </c>
      <c r="B289" s="15" t="s">
        <v>2256</v>
      </c>
      <c r="C289" s="15" t="s">
        <v>125</v>
      </c>
      <c r="D289" s="15" t="s">
        <v>126</v>
      </c>
      <c r="E289" s="15" t="s">
        <v>79</v>
      </c>
      <c r="F289" s="15" t="s">
        <v>956</v>
      </c>
      <c r="G289" s="15" t="s">
        <v>760</v>
      </c>
      <c r="H289" s="15" t="s">
        <v>2257</v>
      </c>
      <c r="I289" s="15" t="s">
        <v>2258</v>
      </c>
      <c r="J289" s="15" t="s">
        <v>2259</v>
      </c>
      <c r="K289" s="15" t="s">
        <v>2260</v>
      </c>
      <c r="L289" s="15" t="s">
        <v>961</v>
      </c>
      <c r="M289" s="15" t="n">
        <v>2145.11</v>
      </c>
      <c r="N289" s="15" t="n">
        <v>2.14</v>
      </c>
      <c r="O289" s="15" t="n">
        <v>179</v>
      </c>
      <c r="P289" s="15" t="s">
        <v>962</v>
      </c>
      <c r="Q289" s="15" t="s">
        <v>1002</v>
      </c>
      <c r="R289" s="15" t="s">
        <v>2261</v>
      </c>
      <c r="S289" s="15" t="s">
        <v>2261</v>
      </c>
      <c r="T289" s="15" t="s">
        <v>61</v>
      </c>
      <c r="U289" s="15" t="s">
        <v>283</v>
      </c>
    </row>
    <row r="290" customFormat="false" ht="18" hidden="false" customHeight="true" outlineLevel="0" collapsed="false">
      <c r="A290" s="16" t="n">
        <v>289</v>
      </c>
      <c r="B290" s="16" t="s">
        <v>2262</v>
      </c>
      <c r="C290" s="16" t="s">
        <v>63</v>
      </c>
      <c r="D290" s="16" t="s">
        <v>64</v>
      </c>
      <c r="E290" s="16" t="s">
        <v>50</v>
      </c>
      <c r="F290" s="16" t="s">
        <v>503</v>
      </c>
      <c r="G290" s="16" t="s">
        <v>352</v>
      </c>
      <c r="H290" s="16" t="s">
        <v>2263</v>
      </c>
      <c r="I290" s="16" t="s">
        <v>2264</v>
      </c>
      <c r="J290" s="16" t="s">
        <v>2265</v>
      </c>
      <c r="K290" s="16" t="s">
        <v>2266</v>
      </c>
      <c r="L290" s="16" t="s">
        <v>508</v>
      </c>
      <c r="M290" s="16" t="n">
        <v>403.17</v>
      </c>
      <c r="N290" s="16" t="n">
        <v>0.52</v>
      </c>
      <c r="O290" s="16" t="n">
        <v>0</v>
      </c>
      <c r="P290" s="16" t="s">
        <v>509</v>
      </c>
      <c r="Q290" s="16" t="s">
        <v>2267</v>
      </c>
      <c r="R290" s="16" t="s">
        <v>2268</v>
      </c>
      <c r="S290" s="16" t="s">
        <v>2269</v>
      </c>
      <c r="T290" s="16" t="s">
        <v>61</v>
      </c>
      <c r="U290" s="16" t="s">
        <v>325</v>
      </c>
    </row>
    <row r="291" customFormat="false" ht="18" hidden="false" customHeight="true" outlineLevel="0" collapsed="false">
      <c r="A291" s="13" t="n">
        <v>290</v>
      </c>
      <c r="B291" s="13" t="s">
        <v>2270</v>
      </c>
      <c r="C291" s="13" t="s">
        <v>255</v>
      </c>
      <c r="D291" s="13" t="s">
        <v>256</v>
      </c>
      <c r="E291" s="13" t="s">
        <v>79</v>
      </c>
      <c r="F291" s="13" t="s">
        <v>465</v>
      </c>
      <c r="G291" s="13" t="s">
        <v>197</v>
      </c>
      <c r="H291" s="13" t="s">
        <v>2271</v>
      </c>
      <c r="I291" s="13" t="s">
        <v>2272</v>
      </c>
      <c r="J291" s="13" t="s">
        <v>2273</v>
      </c>
      <c r="K291" s="13" t="s">
        <v>2274</v>
      </c>
      <c r="L291" s="13" t="s">
        <v>991</v>
      </c>
      <c r="M291" s="13" t="n">
        <v>2029.05</v>
      </c>
      <c r="N291" s="13" t="n">
        <v>2.17</v>
      </c>
      <c r="O291" s="13" t="n">
        <v>422</v>
      </c>
      <c r="P291" s="13" t="s">
        <v>992</v>
      </c>
      <c r="Q291" s="13" t="s">
        <v>2275</v>
      </c>
      <c r="R291" s="13" t="s">
        <v>2276</v>
      </c>
      <c r="S291" s="13" t="s">
        <v>2276</v>
      </c>
      <c r="T291" s="13" t="s">
        <v>61</v>
      </c>
      <c r="U291" s="13"/>
    </row>
    <row r="292" customFormat="false" ht="18" hidden="false" customHeight="true" outlineLevel="0" collapsed="false">
      <c r="A292" s="13" t="n">
        <v>291</v>
      </c>
      <c r="B292" s="13" t="s">
        <v>2277</v>
      </c>
      <c r="C292" s="13" t="s">
        <v>63</v>
      </c>
      <c r="D292" s="13" t="s">
        <v>64</v>
      </c>
      <c r="E292" s="13" t="s">
        <v>91</v>
      </c>
      <c r="F292" s="13" t="s">
        <v>185</v>
      </c>
      <c r="G292" s="13" t="s">
        <v>743</v>
      </c>
      <c r="H292" s="13" t="s">
        <v>2278</v>
      </c>
      <c r="I292" s="13" t="s">
        <v>2279</v>
      </c>
      <c r="J292" s="13" t="s">
        <v>2280</v>
      </c>
      <c r="K292" s="13" t="s">
        <v>2281</v>
      </c>
      <c r="L292" s="13" t="s">
        <v>2282</v>
      </c>
      <c r="M292" s="13" t="n">
        <v>3463.17</v>
      </c>
      <c r="N292" s="13" t="n">
        <v>36.48</v>
      </c>
      <c r="O292" s="13" t="n">
        <v>346</v>
      </c>
      <c r="P292" s="13" t="s">
        <v>2283</v>
      </c>
      <c r="Q292" s="13" t="s">
        <v>2284</v>
      </c>
      <c r="R292" s="13" t="s">
        <v>994</v>
      </c>
      <c r="S292" s="13" t="s">
        <v>994</v>
      </c>
      <c r="T292" s="13" t="s">
        <v>61</v>
      </c>
      <c r="U292" s="13"/>
    </row>
    <row r="293" customFormat="false" ht="18" hidden="false" customHeight="true" outlineLevel="0" collapsed="false">
      <c r="A293" s="13" t="n">
        <v>292</v>
      </c>
      <c r="B293" s="13" t="s">
        <v>2285</v>
      </c>
      <c r="C293" s="13" t="s">
        <v>113</v>
      </c>
      <c r="D293" s="13" t="s">
        <v>114</v>
      </c>
      <c r="E293" s="13" t="s">
        <v>161</v>
      </c>
      <c r="F293" s="13" t="s">
        <v>51</v>
      </c>
      <c r="G293" s="13" t="s">
        <v>285</v>
      </c>
      <c r="H293" s="13" t="s">
        <v>2286</v>
      </c>
      <c r="I293" s="13" t="s">
        <v>2287</v>
      </c>
      <c r="J293" s="13" t="s">
        <v>2288</v>
      </c>
      <c r="K293" s="13" t="s">
        <v>2289</v>
      </c>
      <c r="L293" s="13" t="s">
        <v>290</v>
      </c>
      <c r="M293" s="13" t="n">
        <v>484.49</v>
      </c>
      <c r="N293" s="13" t="n">
        <v>0.2</v>
      </c>
      <c r="O293" s="13" t="n">
        <v>493</v>
      </c>
      <c r="P293" s="13" t="s">
        <v>291</v>
      </c>
      <c r="Q293" s="13" t="s">
        <v>1273</v>
      </c>
      <c r="R293" s="13" t="s">
        <v>282</v>
      </c>
      <c r="S293" s="13" t="s">
        <v>282</v>
      </c>
      <c r="T293" s="13" t="s">
        <v>61</v>
      </c>
      <c r="U293" s="13"/>
    </row>
    <row r="294" customFormat="false" ht="18" hidden="false" customHeight="true" outlineLevel="0" collapsed="false">
      <c r="A294" s="13" t="n">
        <v>293</v>
      </c>
      <c r="B294" s="13" t="s">
        <v>2290</v>
      </c>
      <c r="C294" s="13" t="s">
        <v>48</v>
      </c>
      <c r="D294" s="13" t="s">
        <v>49</v>
      </c>
      <c r="E294" s="13" t="s">
        <v>65</v>
      </c>
      <c r="F294" s="13" t="s">
        <v>438</v>
      </c>
      <c r="G294" s="13" t="s">
        <v>149</v>
      </c>
      <c r="H294" s="13" t="s">
        <v>2291</v>
      </c>
      <c r="I294" s="13" t="s">
        <v>2292</v>
      </c>
      <c r="J294" s="13" t="s">
        <v>2293</v>
      </c>
      <c r="K294" s="13" t="s">
        <v>885</v>
      </c>
      <c r="L294" s="13" t="s">
        <v>886</v>
      </c>
      <c r="M294" s="13" t="n">
        <v>448.19</v>
      </c>
      <c r="N294" s="13" t="n">
        <v>0.74</v>
      </c>
      <c r="O294" s="13" t="n">
        <v>41</v>
      </c>
      <c r="P294" s="13" t="s">
        <v>887</v>
      </c>
      <c r="Q294" s="13" t="s">
        <v>2087</v>
      </c>
      <c r="R294" s="13" t="s">
        <v>1517</v>
      </c>
      <c r="S294" s="13" t="s">
        <v>1517</v>
      </c>
      <c r="T294" s="13" t="s">
        <v>61</v>
      </c>
      <c r="U294" s="13"/>
    </row>
    <row r="295" customFormat="false" ht="18" hidden="false" customHeight="true" outlineLevel="0" collapsed="false">
      <c r="A295" s="13" t="n">
        <v>294</v>
      </c>
      <c r="B295" s="13" t="s">
        <v>2294</v>
      </c>
      <c r="C295" s="13" t="s">
        <v>113</v>
      </c>
      <c r="D295" s="13" t="s">
        <v>114</v>
      </c>
      <c r="E295" s="13" t="s">
        <v>79</v>
      </c>
      <c r="F295" s="13" t="s">
        <v>956</v>
      </c>
      <c r="G295" s="13" t="s">
        <v>197</v>
      </c>
      <c r="H295" s="13" t="s">
        <v>2295</v>
      </c>
      <c r="I295" s="13" t="s">
        <v>2296</v>
      </c>
      <c r="J295" s="13" t="s">
        <v>2297</v>
      </c>
      <c r="K295" s="13" t="s">
        <v>2298</v>
      </c>
      <c r="L295" s="13" t="s">
        <v>1045</v>
      </c>
      <c r="M295" s="13" t="n">
        <v>1360.89</v>
      </c>
      <c r="N295" s="13" t="n">
        <v>2.74</v>
      </c>
      <c r="O295" s="13" t="n">
        <v>31</v>
      </c>
      <c r="P295" s="13" t="s">
        <v>1046</v>
      </c>
      <c r="Q295" s="13" t="s">
        <v>2299</v>
      </c>
      <c r="R295" s="13" t="s">
        <v>2300</v>
      </c>
      <c r="S295" s="13" t="s">
        <v>2300</v>
      </c>
      <c r="T295" s="13" t="s">
        <v>61</v>
      </c>
      <c r="U295" s="13"/>
    </row>
    <row r="296" customFormat="false" ht="18" hidden="false" customHeight="true" outlineLevel="0" collapsed="false">
      <c r="A296" s="13" t="n">
        <v>295</v>
      </c>
      <c r="B296" s="13" t="s">
        <v>2301</v>
      </c>
      <c r="C296" s="13" t="s">
        <v>173</v>
      </c>
      <c r="D296" s="13" t="s">
        <v>174</v>
      </c>
      <c r="E296" s="13" t="s">
        <v>65</v>
      </c>
      <c r="F296" s="13" t="s">
        <v>371</v>
      </c>
      <c r="G296" s="13" t="s">
        <v>391</v>
      </c>
      <c r="H296" s="13" t="s">
        <v>2302</v>
      </c>
      <c r="I296" s="13" t="s">
        <v>2303</v>
      </c>
      <c r="J296" s="13" t="s">
        <v>2304</v>
      </c>
      <c r="K296" s="13" t="s">
        <v>2106</v>
      </c>
      <c r="L296" s="13" t="s">
        <v>2107</v>
      </c>
      <c r="M296" s="13" t="n">
        <v>103.33</v>
      </c>
      <c r="N296" s="13" t="n">
        <v>0.1</v>
      </c>
      <c r="O296" s="13" t="n">
        <v>369</v>
      </c>
      <c r="P296" s="13" t="s">
        <v>2108</v>
      </c>
      <c r="Q296" s="13" t="s">
        <v>74</v>
      </c>
      <c r="R296" s="13" t="s">
        <v>2305</v>
      </c>
      <c r="S296" s="13" t="s">
        <v>2305</v>
      </c>
      <c r="T296" s="13" t="s">
        <v>61</v>
      </c>
      <c r="U296" s="13"/>
    </row>
    <row r="297" customFormat="false" ht="18" hidden="false" customHeight="true" outlineLevel="0" collapsed="false">
      <c r="A297" s="13" t="n">
        <v>296</v>
      </c>
      <c r="B297" s="13" t="s">
        <v>2306</v>
      </c>
      <c r="C297" s="13" t="s">
        <v>159</v>
      </c>
      <c r="D297" s="13" t="s">
        <v>160</v>
      </c>
      <c r="E297" s="13" t="s">
        <v>79</v>
      </c>
      <c r="F297" s="13" t="s">
        <v>513</v>
      </c>
      <c r="G297" s="13" t="s">
        <v>80</v>
      </c>
      <c r="H297" s="13" t="s">
        <v>2307</v>
      </c>
      <c r="I297" s="13" t="s">
        <v>2308</v>
      </c>
      <c r="J297" s="13" t="s">
        <v>2309</v>
      </c>
      <c r="K297" s="13" t="s">
        <v>2310</v>
      </c>
      <c r="L297" s="13" t="s">
        <v>617</v>
      </c>
      <c r="M297" s="13" t="n">
        <v>885.56</v>
      </c>
      <c r="N297" s="13" t="n">
        <v>1.56</v>
      </c>
      <c r="O297" s="13" t="n">
        <v>440</v>
      </c>
      <c r="P297" s="13" t="s">
        <v>618</v>
      </c>
      <c r="Q297" s="13" t="s">
        <v>2311</v>
      </c>
      <c r="R297" s="13" t="s">
        <v>1055</v>
      </c>
      <c r="S297" s="13" t="s">
        <v>1055</v>
      </c>
      <c r="T297" s="13" t="s">
        <v>61</v>
      </c>
      <c r="U297" s="13"/>
    </row>
    <row r="298" customFormat="false" ht="18" hidden="false" customHeight="true" outlineLevel="0" collapsed="false">
      <c r="A298" s="13" t="n">
        <v>297</v>
      </c>
      <c r="B298" s="13" t="s">
        <v>2312</v>
      </c>
      <c r="C298" s="13" t="s">
        <v>63</v>
      </c>
      <c r="D298" s="13" t="s">
        <v>64</v>
      </c>
      <c r="E298" s="13" t="s">
        <v>65</v>
      </c>
      <c r="F298" s="13" t="s">
        <v>227</v>
      </c>
      <c r="G298" s="13" t="s">
        <v>724</v>
      </c>
      <c r="H298" s="13" t="s">
        <v>2313</v>
      </c>
      <c r="I298" s="13" t="s">
        <v>2314</v>
      </c>
      <c r="J298" s="13" t="s">
        <v>2315</v>
      </c>
      <c r="K298" s="13" t="s">
        <v>1791</v>
      </c>
      <c r="L298" s="13" t="s">
        <v>1792</v>
      </c>
      <c r="M298" s="13" t="n">
        <v>269.89</v>
      </c>
      <c r="N298" s="13" t="n">
        <v>0.91</v>
      </c>
      <c r="O298" s="13" t="n">
        <v>432</v>
      </c>
      <c r="P298" s="13" t="s">
        <v>1793</v>
      </c>
      <c r="Q298" s="13" t="s">
        <v>156</v>
      </c>
      <c r="R298" s="13" t="s">
        <v>1055</v>
      </c>
      <c r="S298" s="13" t="s">
        <v>1055</v>
      </c>
      <c r="T298" s="13" t="s">
        <v>61</v>
      </c>
      <c r="U298" s="13"/>
    </row>
    <row r="299" customFormat="false" ht="18" hidden="false" customHeight="true" outlineLevel="0" collapsed="false">
      <c r="A299" s="13" t="n">
        <v>298</v>
      </c>
      <c r="B299" s="13" t="s">
        <v>2316</v>
      </c>
      <c r="C299" s="13" t="s">
        <v>48</v>
      </c>
      <c r="D299" s="13" t="s">
        <v>49</v>
      </c>
      <c r="E299" s="13" t="s">
        <v>50</v>
      </c>
      <c r="F299" s="13" t="s">
        <v>503</v>
      </c>
      <c r="G299" s="13" t="s">
        <v>352</v>
      </c>
      <c r="H299" s="13" t="s">
        <v>2317</v>
      </c>
      <c r="I299" s="13" t="s">
        <v>2318</v>
      </c>
      <c r="J299" s="13" t="s">
        <v>2319</v>
      </c>
      <c r="K299" s="13" t="s">
        <v>2320</v>
      </c>
      <c r="L299" s="13" t="s">
        <v>508</v>
      </c>
      <c r="M299" s="13" t="n">
        <v>399.5</v>
      </c>
      <c r="N299" s="13" t="n">
        <v>0.56</v>
      </c>
      <c r="O299" s="13" t="n">
        <v>108</v>
      </c>
      <c r="P299" s="13" t="s">
        <v>509</v>
      </c>
      <c r="Q299" s="13" t="s">
        <v>2321</v>
      </c>
      <c r="R299" s="13" t="s">
        <v>2322</v>
      </c>
      <c r="S299" s="13" t="s">
        <v>2322</v>
      </c>
      <c r="T299" s="13" t="s">
        <v>61</v>
      </c>
      <c r="U299" s="13"/>
    </row>
    <row r="300" customFormat="false" ht="18" hidden="false" customHeight="true" outlineLevel="0" collapsed="false">
      <c r="A300" s="13" t="n">
        <v>299</v>
      </c>
      <c r="B300" s="13" t="s">
        <v>2323</v>
      </c>
      <c r="C300" s="13" t="s">
        <v>173</v>
      </c>
      <c r="D300" s="13" t="s">
        <v>174</v>
      </c>
      <c r="E300" s="13" t="s">
        <v>161</v>
      </c>
      <c r="F300" s="13" t="s">
        <v>185</v>
      </c>
      <c r="G300" s="13" t="s">
        <v>257</v>
      </c>
      <c r="H300" s="13" t="s">
        <v>2324</v>
      </c>
      <c r="I300" s="13" t="s">
        <v>2325</v>
      </c>
      <c r="J300" s="13" t="s">
        <v>2326</v>
      </c>
      <c r="K300" s="13" t="s">
        <v>640</v>
      </c>
      <c r="L300" s="13" t="s">
        <v>641</v>
      </c>
      <c r="M300" s="13" t="n">
        <v>425.55</v>
      </c>
      <c r="N300" s="13" t="n">
        <v>0.34</v>
      </c>
      <c r="O300" s="13" t="n">
        <v>413</v>
      </c>
      <c r="P300" s="13" t="s">
        <v>642</v>
      </c>
      <c r="Q300" s="13" t="s">
        <v>2327</v>
      </c>
      <c r="R300" s="13" t="s">
        <v>2261</v>
      </c>
      <c r="S300" s="13" t="s">
        <v>2261</v>
      </c>
      <c r="T300" s="13" t="s">
        <v>61</v>
      </c>
      <c r="U300" s="13"/>
    </row>
    <row r="301" customFormat="false" ht="18" hidden="false" customHeight="true" outlineLevel="0" collapsed="false">
      <c r="A301" s="13" t="n">
        <v>300</v>
      </c>
      <c r="B301" s="13" t="s">
        <v>2328</v>
      </c>
      <c r="C301" s="13" t="s">
        <v>113</v>
      </c>
      <c r="D301" s="13" t="s">
        <v>114</v>
      </c>
      <c r="E301" s="13" t="s">
        <v>50</v>
      </c>
      <c r="F301" s="13" t="s">
        <v>51</v>
      </c>
      <c r="G301" s="13" t="s">
        <v>689</v>
      </c>
      <c r="H301" s="13" t="s">
        <v>2329</v>
      </c>
      <c r="I301" s="13" t="s">
        <v>2330</v>
      </c>
      <c r="J301" s="13" t="s">
        <v>2331</v>
      </c>
      <c r="K301" s="13" t="s">
        <v>2332</v>
      </c>
      <c r="L301" s="13" t="s">
        <v>803</v>
      </c>
      <c r="M301" s="13" t="n">
        <v>877.58</v>
      </c>
      <c r="N301" s="13" t="n">
        <v>0.57</v>
      </c>
      <c r="O301" s="13" t="n">
        <v>82</v>
      </c>
      <c r="P301" s="13" t="s">
        <v>804</v>
      </c>
      <c r="Q301" s="13" t="s">
        <v>1378</v>
      </c>
      <c r="R301" s="13" t="s">
        <v>2333</v>
      </c>
      <c r="S301" s="13" t="s">
        <v>2333</v>
      </c>
      <c r="T301" s="13" t="s">
        <v>61</v>
      </c>
      <c r="U301" s="13"/>
    </row>
    <row r="302" customFormat="false" ht="18" hidden="false" customHeight="true" outlineLevel="0" collapsed="false">
      <c r="A302" s="16" t="n">
        <v>301</v>
      </c>
      <c r="B302" s="16" t="s">
        <v>2334</v>
      </c>
      <c r="C302" s="16" t="s">
        <v>77</v>
      </c>
      <c r="D302" s="16" t="s">
        <v>78</v>
      </c>
      <c r="E302" s="16" t="s">
        <v>50</v>
      </c>
      <c r="F302" s="16"/>
      <c r="G302" s="16" t="s">
        <v>808</v>
      </c>
      <c r="H302" s="16" t="s">
        <v>2335</v>
      </c>
      <c r="I302" s="16" t="s">
        <v>2336</v>
      </c>
      <c r="J302" s="16" t="s">
        <v>2337</v>
      </c>
      <c r="K302" s="16" t="s">
        <v>2338</v>
      </c>
      <c r="L302" s="16" t="s">
        <v>2339</v>
      </c>
      <c r="M302" s="16" t="n">
        <v>1072.24</v>
      </c>
      <c r="N302" s="16" t="n">
        <v>0.73</v>
      </c>
      <c r="O302" s="16" t="n">
        <v>0</v>
      </c>
      <c r="P302" s="16" t="s">
        <v>2340</v>
      </c>
      <c r="Q302" s="16" t="s">
        <v>2341</v>
      </c>
      <c r="R302" s="16" t="s">
        <v>1409</v>
      </c>
      <c r="S302" s="16" t="s">
        <v>2342</v>
      </c>
      <c r="T302" s="16" t="s">
        <v>61</v>
      </c>
      <c r="U302" s="16" t="s">
        <v>325</v>
      </c>
    </row>
    <row r="303" customFormat="false" ht="18" hidden="false" customHeight="true" outlineLevel="0" collapsed="false">
      <c r="A303" s="13" t="n">
        <v>302</v>
      </c>
      <c r="B303" s="13" t="s">
        <v>2343</v>
      </c>
      <c r="C303" s="13" t="s">
        <v>255</v>
      </c>
      <c r="D303" s="13" t="s">
        <v>256</v>
      </c>
      <c r="E303" s="13" t="s">
        <v>65</v>
      </c>
      <c r="F303" s="13" t="s">
        <v>371</v>
      </c>
      <c r="G303" s="13" t="s">
        <v>274</v>
      </c>
      <c r="H303" s="13" t="s">
        <v>2344</v>
      </c>
      <c r="I303" s="13" t="s">
        <v>2345</v>
      </c>
      <c r="J303" s="13" t="s">
        <v>2346</v>
      </c>
      <c r="K303" s="13" t="s">
        <v>1398</v>
      </c>
      <c r="L303" s="13" t="s">
        <v>1399</v>
      </c>
      <c r="M303" s="13" t="n">
        <v>405.7</v>
      </c>
      <c r="N303" s="13" t="n">
        <v>0.74</v>
      </c>
      <c r="O303" s="13" t="n">
        <v>84</v>
      </c>
      <c r="P303" s="13" t="s">
        <v>1400</v>
      </c>
      <c r="Q303" s="13" t="s">
        <v>1929</v>
      </c>
      <c r="R303" s="13" t="s">
        <v>653</v>
      </c>
      <c r="S303" s="13" t="s">
        <v>653</v>
      </c>
      <c r="T303" s="13" t="s">
        <v>61</v>
      </c>
      <c r="U303" s="13"/>
    </row>
    <row r="304" customFormat="false" ht="18" hidden="false" customHeight="true" outlineLevel="0" collapsed="false">
      <c r="A304" s="13" t="n">
        <v>303</v>
      </c>
      <c r="B304" s="13" t="s">
        <v>2347</v>
      </c>
      <c r="C304" s="13" t="s">
        <v>77</v>
      </c>
      <c r="D304" s="13" t="s">
        <v>78</v>
      </c>
      <c r="E304" s="13" t="s">
        <v>65</v>
      </c>
      <c r="F304" s="13" t="s">
        <v>66</v>
      </c>
      <c r="G304" s="13" t="s">
        <v>372</v>
      </c>
      <c r="H304" s="13" t="s">
        <v>2348</v>
      </c>
      <c r="I304" s="13" t="s">
        <v>2349</v>
      </c>
      <c r="J304" s="13" t="s">
        <v>2350</v>
      </c>
      <c r="K304" s="13" t="s">
        <v>649</v>
      </c>
      <c r="L304" s="13" t="s">
        <v>650</v>
      </c>
      <c r="M304" s="13" t="n">
        <v>301.73</v>
      </c>
      <c r="N304" s="13" t="n">
        <v>1.45</v>
      </c>
      <c r="O304" s="13" t="n">
        <v>40</v>
      </c>
      <c r="P304" s="13" t="s">
        <v>651</v>
      </c>
      <c r="Q304" s="13" t="s">
        <v>499</v>
      </c>
      <c r="R304" s="13" t="s">
        <v>554</v>
      </c>
      <c r="S304" s="13" t="s">
        <v>554</v>
      </c>
      <c r="T304" s="13" t="s">
        <v>61</v>
      </c>
      <c r="U304" s="13"/>
    </row>
    <row r="305" customFormat="false" ht="18" hidden="false" customHeight="true" outlineLevel="0" collapsed="false">
      <c r="A305" s="13" t="n">
        <v>304</v>
      </c>
      <c r="B305" s="13" t="s">
        <v>2351</v>
      </c>
      <c r="C305" s="13" t="s">
        <v>48</v>
      </c>
      <c r="D305" s="13" t="s">
        <v>49</v>
      </c>
      <c r="E305" s="13" t="s">
        <v>79</v>
      </c>
      <c r="F305" s="13" t="s">
        <v>196</v>
      </c>
      <c r="G305" s="13" t="s">
        <v>562</v>
      </c>
      <c r="H305" s="13" t="s">
        <v>2352</v>
      </c>
      <c r="I305" s="13" t="s">
        <v>2353</v>
      </c>
      <c r="J305" s="13" t="s">
        <v>2354</v>
      </c>
      <c r="K305" s="13" t="s">
        <v>2355</v>
      </c>
      <c r="L305" s="13" t="s">
        <v>2133</v>
      </c>
      <c r="M305" s="13" t="n">
        <v>2273.4</v>
      </c>
      <c r="N305" s="13" t="n">
        <v>2.51</v>
      </c>
      <c r="O305" s="13" t="n">
        <v>227</v>
      </c>
      <c r="P305" s="13" t="s">
        <v>2134</v>
      </c>
      <c r="Q305" s="13" t="s">
        <v>2356</v>
      </c>
      <c r="R305" s="13" t="s">
        <v>930</v>
      </c>
      <c r="S305" s="13" t="s">
        <v>930</v>
      </c>
      <c r="T305" s="13" t="s">
        <v>61</v>
      </c>
      <c r="U305" s="13"/>
    </row>
    <row r="306" customFormat="false" ht="18" hidden="false" customHeight="true" outlineLevel="0" collapsed="false">
      <c r="A306" s="13" t="n">
        <v>305</v>
      </c>
      <c r="B306" s="13" t="s">
        <v>2357</v>
      </c>
      <c r="C306" s="13" t="s">
        <v>113</v>
      </c>
      <c r="D306" s="13" t="s">
        <v>114</v>
      </c>
      <c r="E306" s="13" t="s">
        <v>79</v>
      </c>
      <c r="F306" s="13" t="s">
        <v>513</v>
      </c>
      <c r="G306" s="13" t="s">
        <v>514</v>
      </c>
      <c r="H306" s="13" t="s">
        <v>2358</v>
      </c>
      <c r="I306" s="13" t="s">
        <v>2359</v>
      </c>
      <c r="J306" s="13" t="s">
        <v>2360</v>
      </c>
      <c r="K306" s="13" t="s">
        <v>2361</v>
      </c>
      <c r="L306" s="13" t="s">
        <v>519</v>
      </c>
      <c r="M306" s="13" t="n">
        <v>2034.64</v>
      </c>
      <c r="N306" s="13" t="n">
        <v>2.58</v>
      </c>
      <c r="O306" s="13" t="n">
        <v>4</v>
      </c>
      <c r="P306" s="13" t="s">
        <v>520</v>
      </c>
      <c r="Q306" s="13" t="s">
        <v>837</v>
      </c>
      <c r="R306" s="13" t="s">
        <v>369</v>
      </c>
      <c r="S306" s="13" t="s">
        <v>369</v>
      </c>
      <c r="T306" s="13" t="s">
        <v>61</v>
      </c>
      <c r="U306" s="13"/>
    </row>
    <row r="307" customFormat="false" ht="18" hidden="false" customHeight="true" outlineLevel="0" collapsed="false">
      <c r="A307" s="13" t="n">
        <v>306</v>
      </c>
      <c r="B307" s="13" t="s">
        <v>2362</v>
      </c>
      <c r="C307" s="13" t="s">
        <v>113</v>
      </c>
      <c r="D307" s="13" t="s">
        <v>114</v>
      </c>
      <c r="E307" s="13" t="s">
        <v>65</v>
      </c>
      <c r="F307" s="13" t="s">
        <v>245</v>
      </c>
      <c r="G307" s="13" t="s">
        <v>103</v>
      </c>
      <c r="H307" s="13" t="s">
        <v>2363</v>
      </c>
      <c r="I307" s="13" t="s">
        <v>2364</v>
      </c>
      <c r="J307" s="13" t="s">
        <v>2365</v>
      </c>
      <c r="K307" s="13" t="s">
        <v>1832</v>
      </c>
      <c r="L307" s="13" t="s">
        <v>1833</v>
      </c>
      <c r="M307" s="13" t="n">
        <v>252.53</v>
      </c>
      <c r="N307" s="13" t="n">
        <v>0.88</v>
      </c>
      <c r="O307" s="13" t="n">
        <v>175</v>
      </c>
      <c r="P307" s="13" t="s">
        <v>1834</v>
      </c>
      <c r="Q307" s="13" t="s">
        <v>398</v>
      </c>
      <c r="R307" s="13" t="s">
        <v>2366</v>
      </c>
      <c r="S307" s="13" t="s">
        <v>2366</v>
      </c>
      <c r="T307" s="13" t="s">
        <v>61</v>
      </c>
      <c r="U307" s="13"/>
    </row>
    <row r="308" customFormat="false" ht="18" hidden="false" customHeight="true" outlineLevel="0" collapsed="false">
      <c r="A308" s="13" t="n">
        <v>307</v>
      </c>
      <c r="B308" s="13" t="s">
        <v>2367</v>
      </c>
      <c r="C308" s="13" t="s">
        <v>125</v>
      </c>
      <c r="D308" s="13" t="s">
        <v>126</v>
      </c>
      <c r="E308" s="13" t="s">
        <v>65</v>
      </c>
      <c r="F308" s="13" t="s">
        <v>438</v>
      </c>
      <c r="G308" s="13" t="s">
        <v>103</v>
      </c>
      <c r="H308" s="13" t="s">
        <v>2368</v>
      </c>
      <c r="I308" s="13" t="s">
        <v>2369</v>
      </c>
      <c r="J308" s="13" t="s">
        <v>2370</v>
      </c>
      <c r="K308" s="13" t="s">
        <v>2220</v>
      </c>
      <c r="L308" s="13" t="s">
        <v>2221</v>
      </c>
      <c r="M308" s="13" t="n">
        <v>133.34</v>
      </c>
      <c r="N308" s="13" t="n">
        <v>1.15</v>
      </c>
      <c r="O308" s="13" t="n">
        <v>285</v>
      </c>
      <c r="P308" s="13" t="s">
        <v>2222</v>
      </c>
      <c r="Q308" s="13" t="s">
        <v>2371</v>
      </c>
      <c r="R308" s="13" t="s">
        <v>978</v>
      </c>
      <c r="S308" s="13" t="s">
        <v>978</v>
      </c>
      <c r="T308" s="13" t="s">
        <v>61</v>
      </c>
      <c r="U308" s="13"/>
    </row>
    <row r="309" customFormat="false" ht="18" hidden="false" customHeight="true" outlineLevel="0" collapsed="false">
      <c r="A309" s="13" t="n">
        <v>308</v>
      </c>
      <c r="B309" s="13" t="s">
        <v>2372</v>
      </c>
      <c r="C309" s="13" t="s">
        <v>159</v>
      </c>
      <c r="D309" s="13" t="s">
        <v>160</v>
      </c>
      <c r="E309" s="13" t="s">
        <v>79</v>
      </c>
      <c r="F309" s="13" t="s">
        <v>51</v>
      </c>
      <c r="G309" s="13" t="s">
        <v>80</v>
      </c>
      <c r="H309" s="13" t="s">
        <v>2373</v>
      </c>
      <c r="I309" s="13" t="s">
        <v>2374</v>
      </c>
      <c r="J309" s="13" t="s">
        <v>2375</v>
      </c>
      <c r="K309" s="13" t="s">
        <v>2376</v>
      </c>
      <c r="L309" s="13" t="s">
        <v>835</v>
      </c>
      <c r="M309" s="13" t="n">
        <v>1958.07</v>
      </c>
      <c r="N309" s="13" t="n">
        <v>2.1</v>
      </c>
      <c r="O309" s="13" t="n">
        <v>121</v>
      </c>
      <c r="P309" s="13" t="s">
        <v>836</v>
      </c>
      <c r="Q309" s="13" t="s">
        <v>2249</v>
      </c>
      <c r="R309" s="13" t="s">
        <v>2377</v>
      </c>
      <c r="S309" s="13" t="s">
        <v>2377</v>
      </c>
      <c r="T309" s="13" t="s">
        <v>61</v>
      </c>
      <c r="U309" s="13"/>
    </row>
    <row r="310" customFormat="false" ht="18" hidden="false" customHeight="true" outlineLevel="0" collapsed="false">
      <c r="A310" s="13" t="n">
        <v>309</v>
      </c>
      <c r="B310" s="13" t="s">
        <v>2378</v>
      </c>
      <c r="C310" s="13" t="s">
        <v>159</v>
      </c>
      <c r="D310" s="13" t="s">
        <v>160</v>
      </c>
      <c r="E310" s="13" t="s">
        <v>79</v>
      </c>
      <c r="F310" s="13" t="s">
        <v>1531</v>
      </c>
      <c r="G310" s="13" t="s">
        <v>514</v>
      </c>
      <c r="H310" s="13" t="s">
        <v>2379</v>
      </c>
      <c r="I310" s="13" t="s">
        <v>2380</v>
      </c>
      <c r="J310" s="13" t="s">
        <v>2381</v>
      </c>
      <c r="K310" s="13" t="s">
        <v>2382</v>
      </c>
      <c r="L310" s="13" t="s">
        <v>2383</v>
      </c>
      <c r="M310" s="13" t="n">
        <v>1939.68</v>
      </c>
      <c r="N310" s="13" t="n">
        <v>2.61</v>
      </c>
      <c r="O310" s="13" t="n">
        <v>317</v>
      </c>
      <c r="P310" s="13" t="s">
        <v>2384</v>
      </c>
      <c r="Q310" s="13" t="s">
        <v>2385</v>
      </c>
      <c r="R310" s="13" t="s">
        <v>1611</v>
      </c>
      <c r="S310" s="13" t="s">
        <v>1611</v>
      </c>
      <c r="T310" s="13" t="s">
        <v>61</v>
      </c>
      <c r="U310" s="13"/>
    </row>
    <row r="311" customFormat="false" ht="18" hidden="false" customHeight="true" outlineLevel="0" collapsed="false">
      <c r="A311" s="13" t="n">
        <v>310</v>
      </c>
      <c r="B311" s="13" t="s">
        <v>2386</v>
      </c>
      <c r="C311" s="13" t="s">
        <v>77</v>
      </c>
      <c r="D311" s="13" t="s">
        <v>78</v>
      </c>
      <c r="E311" s="13" t="s">
        <v>50</v>
      </c>
      <c r="F311" s="13" t="s">
        <v>127</v>
      </c>
      <c r="G311" s="13" t="s">
        <v>689</v>
      </c>
      <c r="H311" s="13" t="s">
        <v>2387</v>
      </c>
      <c r="I311" s="13" t="s">
        <v>2388</v>
      </c>
      <c r="J311" s="13" t="s">
        <v>2389</v>
      </c>
      <c r="K311" s="13" t="s">
        <v>2390</v>
      </c>
      <c r="L311" s="13" t="s">
        <v>1970</v>
      </c>
      <c r="M311" s="13" t="n">
        <v>886.64</v>
      </c>
      <c r="N311" s="13" t="n">
        <v>0.67</v>
      </c>
      <c r="O311" s="13" t="n">
        <v>387</v>
      </c>
      <c r="P311" s="13" t="s">
        <v>1971</v>
      </c>
      <c r="Q311" s="13" t="s">
        <v>2391</v>
      </c>
      <c r="R311" s="13" t="s">
        <v>2392</v>
      </c>
      <c r="S311" s="13" t="s">
        <v>2392</v>
      </c>
      <c r="T311" s="13" t="s">
        <v>61</v>
      </c>
      <c r="U311" s="13"/>
    </row>
    <row r="312" customFormat="false" ht="18" hidden="false" customHeight="true" outlineLevel="0" collapsed="false">
      <c r="A312" s="13" t="n">
        <v>311</v>
      </c>
      <c r="B312" s="13" t="s">
        <v>2393</v>
      </c>
      <c r="C312" s="13" t="s">
        <v>255</v>
      </c>
      <c r="D312" s="13" t="s">
        <v>256</v>
      </c>
      <c r="E312" s="13" t="s">
        <v>79</v>
      </c>
      <c r="F312" s="13" t="s">
        <v>1531</v>
      </c>
      <c r="G312" s="13" t="s">
        <v>514</v>
      </c>
      <c r="H312" s="13" t="s">
        <v>2394</v>
      </c>
      <c r="I312" s="13" t="s">
        <v>2395</v>
      </c>
      <c r="J312" s="13" t="s">
        <v>2396</v>
      </c>
      <c r="K312" s="13" t="s">
        <v>2397</v>
      </c>
      <c r="L312" s="13" t="s">
        <v>2383</v>
      </c>
      <c r="M312" s="13" t="n">
        <v>1081.54</v>
      </c>
      <c r="N312" s="13" t="n">
        <v>1.6</v>
      </c>
      <c r="O312" s="13" t="n">
        <v>291</v>
      </c>
      <c r="P312" s="13" t="s">
        <v>2384</v>
      </c>
      <c r="Q312" s="13" t="s">
        <v>2398</v>
      </c>
      <c r="R312" s="13" t="s">
        <v>1765</v>
      </c>
      <c r="S312" s="13" t="s">
        <v>1765</v>
      </c>
      <c r="T312" s="13" t="s">
        <v>61</v>
      </c>
      <c r="U312" s="13"/>
    </row>
    <row r="313" customFormat="false" ht="18" hidden="false" customHeight="true" outlineLevel="0" collapsed="false">
      <c r="A313" s="14" t="n">
        <v>312</v>
      </c>
      <c r="B313" s="14" t="s">
        <v>2399</v>
      </c>
      <c r="C313" s="14" t="s">
        <v>63</v>
      </c>
      <c r="D313" s="14" t="s">
        <v>64</v>
      </c>
      <c r="E313" s="14" t="s">
        <v>65</v>
      </c>
      <c r="F313" s="14" t="s">
        <v>115</v>
      </c>
      <c r="G313" s="14" t="s">
        <v>103</v>
      </c>
      <c r="H313" s="14" t="s">
        <v>2400</v>
      </c>
      <c r="I313" s="14" t="s">
        <v>2401</v>
      </c>
      <c r="J313" s="14" t="s">
        <v>2402</v>
      </c>
      <c r="K313" s="14" t="s">
        <v>2403</v>
      </c>
      <c r="L313" s="14" t="s">
        <v>2404</v>
      </c>
      <c r="M313" s="14" t="n">
        <v>113.43</v>
      </c>
      <c r="N313" s="14" t="n">
        <v>0.17</v>
      </c>
      <c r="O313" s="14" t="n">
        <v>263</v>
      </c>
      <c r="P313" s="14"/>
      <c r="Q313" s="14" t="s">
        <v>234</v>
      </c>
      <c r="R313" s="14" t="s">
        <v>323</v>
      </c>
      <c r="S313" s="14" t="s">
        <v>323</v>
      </c>
      <c r="T313" s="14" t="s">
        <v>61</v>
      </c>
      <c r="U313" s="14" t="s">
        <v>1014</v>
      </c>
    </row>
    <row r="314" customFormat="false" ht="18" hidden="false" customHeight="true" outlineLevel="0" collapsed="false">
      <c r="A314" s="15" t="n">
        <v>313</v>
      </c>
      <c r="B314" s="15" t="s">
        <v>2405</v>
      </c>
      <c r="C314" s="15" t="s">
        <v>113</v>
      </c>
      <c r="D314" s="15" t="s">
        <v>114</v>
      </c>
      <c r="E314" s="15" t="s">
        <v>91</v>
      </c>
      <c r="F314" s="15" t="s">
        <v>138</v>
      </c>
      <c r="G314" s="15" t="s">
        <v>533</v>
      </c>
      <c r="H314" s="15" t="s">
        <v>2406</v>
      </c>
      <c r="I314" s="15" t="s">
        <v>2407</v>
      </c>
      <c r="J314" s="15" t="s">
        <v>2408</v>
      </c>
      <c r="K314" s="15" t="s">
        <v>2409</v>
      </c>
      <c r="L314" s="15" t="s">
        <v>538</v>
      </c>
      <c r="M314" s="15" t="n">
        <v>20454.71</v>
      </c>
      <c r="N314" s="15" t="n">
        <v>24.78</v>
      </c>
      <c r="O314" s="15" t="n">
        <v>49</v>
      </c>
      <c r="P314" s="15" t="s">
        <v>539</v>
      </c>
      <c r="Q314" s="15" t="s">
        <v>776</v>
      </c>
      <c r="R314" s="15" t="s">
        <v>1236</v>
      </c>
      <c r="S314" s="15" t="s">
        <v>1236</v>
      </c>
      <c r="T314" s="15" t="s">
        <v>61</v>
      </c>
      <c r="U314" s="15" t="s">
        <v>343</v>
      </c>
    </row>
    <row r="315" customFormat="false" ht="18" hidden="false" customHeight="true" outlineLevel="0" collapsed="false">
      <c r="A315" s="13" t="n">
        <v>314</v>
      </c>
      <c r="B315" s="13" t="s">
        <v>2410</v>
      </c>
      <c r="C315" s="13" t="s">
        <v>63</v>
      </c>
      <c r="D315" s="13" t="s">
        <v>64</v>
      </c>
      <c r="E315" s="13" t="s">
        <v>161</v>
      </c>
      <c r="F315" s="13" t="s">
        <v>429</v>
      </c>
      <c r="G315" s="13" t="s">
        <v>296</v>
      </c>
      <c r="H315" s="13" t="s">
        <v>2411</v>
      </c>
      <c r="I315" s="13" t="s">
        <v>2412</v>
      </c>
      <c r="J315" s="13" t="s">
        <v>2413</v>
      </c>
      <c r="K315" s="13" t="s">
        <v>2414</v>
      </c>
      <c r="L315" s="13" t="s">
        <v>914</v>
      </c>
      <c r="M315" s="13" t="n">
        <v>182.15</v>
      </c>
      <c r="N315" s="13" t="n">
        <v>0.33</v>
      </c>
      <c r="O315" s="13" t="n">
        <v>279</v>
      </c>
      <c r="P315" s="13" t="s">
        <v>915</v>
      </c>
      <c r="Q315" s="13" t="s">
        <v>2415</v>
      </c>
      <c r="R315" s="13" t="s">
        <v>511</v>
      </c>
      <c r="S315" s="13" t="s">
        <v>511</v>
      </c>
      <c r="T315" s="13" t="s">
        <v>61</v>
      </c>
      <c r="U315" s="13"/>
    </row>
    <row r="316" customFormat="false" ht="18" hidden="false" customHeight="true" outlineLevel="0" collapsed="false">
      <c r="A316" s="13" t="n">
        <v>315</v>
      </c>
      <c r="B316" s="13" t="s">
        <v>2416</v>
      </c>
      <c r="C316" s="13" t="s">
        <v>113</v>
      </c>
      <c r="D316" s="13" t="s">
        <v>114</v>
      </c>
      <c r="E316" s="13" t="s">
        <v>161</v>
      </c>
      <c r="F316" s="13" t="s">
        <v>429</v>
      </c>
      <c r="G316" s="13" t="s">
        <v>175</v>
      </c>
      <c r="H316" s="13" t="s">
        <v>2417</v>
      </c>
      <c r="I316" s="13" t="s">
        <v>2418</v>
      </c>
      <c r="J316" s="13" t="s">
        <v>2419</v>
      </c>
      <c r="K316" s="13" t="s">
        <v>2420</v>
      </c>
      <c r="L316" s="13" t="s">
        <v>459</v>
      </c>
      <c r="M316" s="13" t="n">
        <v>535.26</v>
      </c>
      <c r="N316" s="13" t="n">
        <v>0.26</v>
      </c>
      <c r="O316" s="13" t="n">
        <v>228</v>
      </c>
      <c r="P316" s="13" t="s">
        <v>460</v>
      </c>
      <c r="Q316" s="13" t="s">
        <v>264</v>
      </c>
      <c r="R316" s="13" t="s">
        <v>2421</v>
      </c>
      <c r="S316" s="13" t="s">
        <v>2421</v>
      </c>
      <c r="T316" s="13" t="s">
        <v>61</v>
      </c>
      <c r="U316" s="13"/>
    </row>
    <row r="317" customFormat="false" ht="18" hidden="false" customHeight="true" outlineLevel="0" collapsed="false">
      <c r="A317" s="13" t="n">
        <v>316</v>
      </c>
      <c r="B317" s="13" t="s">
        <v>2422</v>
      </c>
      <c r="C317" s="13" t="s">
        <v>159</v>
      </c>
      <c r="D317" s="13" t="s">
        <v>160</v>
      </c>
      <c r="E317" s="13" t="s">
        <v>161</v>
      </c>
      <c r="F317" s="13" t="s">
        <v>295</v>
      </c>
      <c r="G317" s="13" t="s">
        <v>334</v>
      </c>
      <c r="H317" s="13" t="s">
        <v>2423</v>
      </c>
      <c r="I317" s="13" t="s">
        <v>2424</v>
      </c>
      <c r="J317" s="13" t="s">
        <v>2425</v>
      </c>
      <c r="K317" s="13" t="s">
        <v>2426</v>
      </c>
      <c r="L317" s="13" t="s">
        <v>659</v>
      </c>
      <c r="M317" s="13" t="n">
        <v>242.87</v>
      </c>
      <c r="N317" s="13" t="n">
        <v>0.32</v>
      </c>
      <c r="O317" s="13" t="n">
        <v>444</v>
      </c>
      <c r="P317" s="13" t="s">
        <v>660</v>
      </c>
      <c r="Q317" s="13" t="s">
        <v>2427</v>
      </c>
      <c r="R317" s="13" t="s">
        <v>2127</v>
      </c>
      <c r="S317" s="13" t="s">
        <v>2127</v>
      </c>
      <c r="T317" s="13" t="s">
        <v>61</v>
      </c>
      <c r="U317" s="13"/>
    </row>
    <row r="318" customFormat="false" ht="18" hidden="false" customHeight="true" outlineLevel="0" collapsed="false">
      <c r="A318" s="13" t="n">
        <v>317</v>
      </c>
      <c r="B318" s="13" t="s">
        <v>2428</v>
      </c>
      <c r="C318" s="13" t="s">
        <v>63</v>
      </c>
      <c r="D318" s="13" t="s">
        <v>64</v>
      </c>
      <c r="E318" s="13" t="s">
        <v>91</v>
      </c>
      <c r="F318" s="13" t="s">
        <v>587</v>
      </c>
      <c r="G318" s="13" t="s">
        <v>420</v>
      </c>
      <c r="H318" s="13" t="s">
        <v>2429</v>
      </c>
      <c r="I318" s="13" t="s">
        <v>2430</v>
      </c>
      <c r="J318" s="13" t="s">
        <v>2431</v>
      </c>
      <c r="K318" s="13" t="s">
        <v>2432</v>
      </c>
      <c r="L318" s="13" t="s">
        <v>592</v>
      </c>
      <c r="M318" s="13" t="n">
        <v>678.28</v>
      </c>
      <c r="N318" s="13" t="n">
        <v>45.26</v>
      </c>
      <c r="O318" s="13" t="n">
        <v>37</v>
      </c>
      <c r="P318" s="13" t="s">
        <v>593</v>
      </c>
      <c r="Q318" s="13" t="s">
        <v>2433</v>
      </c>
      <c r="R318" s="13" t="s">
        <v>2434</v>
      </c>
      <c r="S318" s="13" t="s">
        <v>2434</v>
      </c>
      <c r="T318" s="13" t="s">
        <v>61</v>
      </c>
      <c r="U318" s="13"/>
    </row>
    <row r="319" customFormat="false" ht="18" hidden="false" customHeight="true" outlineLevel="0" collapsed="false">
      <c r="A319" s="13" t="n">
        <v>318</v>
      </c>
      <c r="B319" s="13" t="s">
        <v>2435</v>
      </c>
      <c r="C319" s="13" t="s">
        <v>255</v>
      </c>
      <c r="D319" s="13" t="s">
        <v>256</v>
      </c>
      <c r="E319" s="13" t="s">
        <v>50</v>
      </c>
      <c r="F319" s="13" t="s">
        <v>127</v>
      </c>
      <c r="G319" s="13" t="s">
        <v>689</v>
      </c>
      <c r="H319" s="13" t="s">
        <v>2436</v>
      </c>
      <c r="I319" s="13" t="s">
        <v>2437</v>
      </c>
      <c r="J319" s="13" t="s">
        <v>2438</v>
      </c>
      <c r="K319" s="13" t="s">
        <v>2439</v>
      </c>
      <c r="L319" s="13" t="s">
        <v>1970</v>
      </c>
      <c r="M319" s="13" t="n">
        <v>631.59</v>
      </c>
      <c r="N319" s="13" t="n">
        <v>0.8</v>
      </c>
      <c r="O319" s="13" t="n">
        <v>182</v>
      </c>
      <c r="P319" s="13" t="s">
        <v>1971</v>
      </c>
      <c r="Q319" s="13" t="s">
        <v>2321</v>
      </c>
      <c r="R319" s="13" t="s">
        <v>1106</v>
      </c>
      <c r="S319" s="13" t="s">
        <v>1106</v>
      </c>
      <c r="T319" s="13" t="s">
        <v>61</v>
      </c>
      <c r="U319" s="13"/>
    </row>
    <row r="320" customFormat="false" ht="18" hidden="false" customHeight="true" outlineLevel="0" collapsed="false">
      <c r="A320" s="16" t="n">
        <v>319</v>
      </c>
      <c r="B320" s="16" t="s">
        <v>2440</v>
      </c>
      <c r="C320" s="16" t="s">
        <v>173</v>
      </c>
      <c r="D320" s="16" t="s">
        <v>174</v>
      </c>
      <c r="E320" s="16" t="s">
        <v>79</v>
      </c>
      <c r="F320" s="16" t="s">
        <v>196</v>
      </c>
      <c r="G320" s="16" t="s">
        <v>514</v>
      </c>
      <c r="H320" s="16" t="s">
        <v>2441</v>
      </c>
      <c r="I320" s="16" t="s">
        <v>2442</v>
      </c>
      <c r="J320" s="16" t="s">
        <v>2443</v>
      </c>
      <c r="K320" s="16" t="s">
        <v>2444</v>
      </c>
      <c r="L320" s="16" t="s">
        <v>1456</v>
      </c>
      <c r="M320" s="16" t="n">
        <v>1488.82</v>
      </c>
      <c r="N320" s="16" t="n">
        <v>1.91</v>
      </c>
      <c r="O320" s="16" t="n">
        <v>0</v>
      </c>
      <c r="P320" s="16" t="s">
        <v>1457</v>
      </c>
      <c r="Q320" s="16" t="s">
        <v>2445</v>
      </c>
      <c r="R320" s="16" t="s">
        <v>2333</v>
      </c>
      <c r="S320" s="16" t="s">
        <v>2446</v>
      </c>
      <c r="T320" s="16" t="s">
        <v>61</v>
      </c>
      <c r="U320" s="16" t="s">
        <v>325</v>
      </c>
    </row>
    <row r="321" customFormat="false" ht="18" hidden="false" customHeight="true" outlineLevel="0" collapsed="false">
      <c r="A321" s="13" t="n">
        <v>320</v>
      </c>
      <c r="B321" s="13" t="s">
        <v>2447</v>
      </c>
      <c r="C321" s="13" t="s">
        <v>77</v>
      </c>
      <c r="D321" s="13" t="s">
        <v>78</v>
      </c>
      <c r="E321" s="13" t="s">
        <v>91</v>
      </c>
      <c r="F321" s="13" t="s">
        <v>780</v>
      </c>
      <c r="G321" s="13" t="s">
        <v>186</v>
      </c>
      <c r="H321" s="13" t="s">
        <v>2448</v>
      </c>
      <c r="I321" s="13" t="s">
        <v>2449</v>
      </c>
      <c r="J321" s="13" t="s">
        <v>2450</v>
      </c>
      <c r="K321" s="13" t="s">
        <v>2451</v>
      </c>
      <c r="L321" s="13" t="s">
        <v>1163</v>
      </c>
      <c r="M321" s="13" t="n">
        <v>2397.15</v>
      </c>
      <c r="N321" s="13" t="n">
        <v>13.61</v>
      </c>
      <c r="O321" s="13" t="n">
        <v>160</v>
      </c>
      <c r="P321" s="13" t="s">
        <v>1164</v>
      </c>
      <c r="Q321" s="13" t="s">
        <v>1677</v>
      </c>
      <c r="R321" s="13" t="s">
        <v>2276</v>
      </c>
      <c r="S321" s="13" t="s">
        <v>2276</v>
      </c>
      <c r="T321" s="13" t="s">
        <v>61</v>
      </c>
      <c r="U321" s="13"/>
    </row>
    <row r="322" customFormat="false" ht="18" hidden="false" customHeight="true" outlineLevel="0" collapsed="false">
      <c r="A322" s="13" t="n">
        <v>321</v>
      </c>
      <c r="B322" s="13" t="s">
        <v>2452</v>
      </c>
      <c r="C322" s="13" t="s">
        <v>173</v>
      </c>
      <c r="D322" s="13" t="s">
        <v>174</v>
      </c>
      <c r="E322" s="13" t="s">
        <v>79</v>
      </c>
      <c r="F322" s="13" t="s">
        <v>956</v>
      </c>
      <c r="G322" s="13" t="s">
        <v>80</v>
      </c>
      <c r="H322" s="13" t="s">
        <v>2453</v>
      </c>
      <c r="I322" s="13" t="s">
        <v>2454</v>
      </c>
      <c r="J322" s="13" t="s">
        <v>2455</v>
      </c>
      <c r="K322" s="13" t="s">
        <v>2456</v>
      </c>
      <c r="L322" s="13" t="s">
        <v>85</v>
      </c>
      <c r="M322" s="13" t="n">
        <v>870.73</v>
      </c>
      <c r="N322" s="13" t="n">
        <v>1.36</v>
      </c>
      <c r="O322" s="13" t="n">
        <v>374</v>
      </c>
      <c r="P322" s="13" t="s">
        <v>86</v>
      </c>
      <c r="Q322" s="13" t="s">
        <v>2457</v>
      </c>
      <c r="R322" s="13" t="s">
        <v>1075</v>
      </c>
      <c r="S322" s="13" t="s">
        <v>1075</v>
      </c>
      <c r="T322" s="13" t="s">
        <v>61</v>
      </c>
      <c r="U322" s="13"/>
    </row>
    <row r="323" customFormat="false" ht="18" hidden="false" customHeight="true" outlineLevel="0" collapsed="false">
      <c r="A323" s="13" t="n">
        <v>322</v>
      </c>
      <c r="B323" s="13" t="s">
        <v>2458</v>
      </c>
      <c r="C323" s="13" t="s">
        <v>48</v>
      </c>
      <c r="D323" s="13" t="s">
        <v>49</v>
      </c>
      <c r="E323" s="13" t="s">
        <v>65</v>
      </c>
      <c r="F323" s="13" t="s">
        <v>66</v>
      </c>
      <c r="G323" s="13" t="s">
        <v>103</v>
      </c>
      <c r="H323" s="13" t="s">
        <v>2459</v>
      </c>
      <c r="I323" s="13" t="s">
        <v>2460</v>
      </c>
      <c r="J323" s="13" t="s">
        <v>2461</v>
      </c>
      <c r="K323" s="13" t="s">
        <v>107</v>
      </c>
      <c r="L323" s="13" t="s">
        <v>108</v>
      </c>
      <c r="M323" s="13" t="n">
        <v>466.2</v>
      </c>
      <c r="N323" s="13" t="n">
        <v>0.39</v>
      </c>
      <c r="O323" s="13" t="n">
        <v>251</v>
      </c>
      <c r="P323" s="13" t="s">
        <v>109</v>
      </c>
      <c r="Q323" s="13" t="s">
        <v>2462</v>
      </c>
      <c r="R323" s="13" t="s">
        <v>511</v>
      </c>
      <c r="S323" s="13" t="s">
        <v>511</v>
      </c>
      <c r="T323" s="13" t="s">
        <v>61</v>
      </c>
      <c r="U323" s="13"/>
    </row>
    <row r="324" customFormat="false" ht="18" hidden="false" customHeight="true" outlineLevel="0" collapsed="false">
      <c r="A324" s="13" t="n">
        <v>323</v>
      </c>
      <c r="B324" s="13" t="s">
        <v>2463</v>
      </c>
      <c r="C324" s="13" t="s">
        <v>63</v>
      </c>
      <c r="D324" s="13" t="s">
        <v>64</v>
      </c>
      <c r="E324" s="13" t="s">
        <v>79</v>
      </c>
      <c r="F324" s="13" t="s">
        <v>465</v>
      </c>
      <c r="G324" s="13" t="s">
        <v>760</v>
      </c>
      <c r="H324" s="13" t="s">
        <v>2464</v>
      </c>
      <c r="I324" s="13" t="s">
        <v>2465</v>
      </c>
      <c r="J324" s="13" t="s">
        <v>2466</v>
      </c>
      <c r="K324" s="13" t="s">
        <v>2467</v>
      </c>
      <c r="L324" s="13" t="s">
        <v>765</v>
      </c>
      <c r="M324" s="13" t="n">
        <v>1577.34</v>
      </c>
      <c r="N324" s="13" t="n">
        <v>2.23</v>
      </c>
      <c r="O324" s="13" t="n">
        <v>103</v>
      </c>
      <c r="P324" s="13" t="s">
        <v>766</v>
      </c>
      <c r="Q324" s="13" t="s">
        <v>740</v>
      </c>
      <c r="R324" s="13" t="s">
        <v>2215</v>
      </c>
      <c r="S324" s="13" t="s">
        <v>2215</v>
      </c>
      <c r="T324" s="13" t="s">
        <v>61</v>
      </c>
      <c r="U324" s="13"/>
    </row>
    <row r="325" customFormat="false" ht="18" hidden="false" customHeight="true" outlineLevel="0" collapsed="false">
      <c r="A325" s="15" t="n">
        <v>324</v>
      </c>
      <c r="B325" s="15" t="s">
        <v>2468</v>
      </c>
      <c r="C325" s="15" t="s">
        <v>113</v>
      </c>
      <c r="D325" s="15" t="s">
        <v>114</v>
      </c>
      <c r="E325" s="15" t="s">
        <v>91</v>
      </c>
      <c r="F325" s="15" t="s">
        <v>780</v>
      </c>
      <c r="G325" s="15" t="s">
        <v>186</v>
      </c>
      <c r="H325" s="15" t="s">
        <v>2469</v>
      </c>
      <c r="I325" s="15" t="s">
        <v>2470</v>
      </c>
      <c r="J325" s="15" t="s">
        <v>2471</v>
      </c>
      <c r="K325" s="15" t="s">
        <v>2472</v>
      </c>
      <c r="L325" s="15" t="s">
        <v>1163</v>
      </c>
      <c r="M325" s="15" t="n">
        <v>1905.39</v>
      </c>
      <c r="N325" s="15" t="n">
        <v>8.92</v>
      </c>
      <c r="O325" s="15" t="n">
        <v>498</v>
      </c>
      <c r="P325" s="15" t="s">
        <v>1164</v>
      </c>
      <c r="Q325" s="15" t="s">
        <v>2473</v>
      </c>
      <c r="R325" s="15" t="s">
        <v>2474</v>
      </c>
      <c r="S325" s="15" t="s">
        <v>2474</v>
      </c>
      <c r="T325" s="15" t="s">
        <v>61</v>
      </c>
      <c r="U325" s="15" t="s">
        <v>283</v>
      </c>
    </row>
    <row r="326" customFormat="false" ht="18" hidden="false" customHeight="true" outlineLevel="0" collapsed="false">
      <c r="A326" s="13" t="n">
        <v>325</v>
      </c>
      <c r="B326" s="13" t="s">
        <v>2475</v>
      </c>
      <c r="C326" s="13" t="s">
        <v>125</v>
      </c>
      <c r="D326" s="13" t="s">
        <v>126</v>
      </c>
      <c r="E326" s="13" t="s">
        <v>50</v>
      </c>
      <c r="F326" s="13" t="s">
        <v>138</v>
      </c>
      <c r="G326" s="13" t="s">
        <v>52</v>
      </c>
      <c r="H326" s="13" t="s">
        <v>2476</v>
      </c>
      <c r="I326" s="13" t="s">
        <v>2477</v>
      </c>
      <c r="J326" s="13" t="s">
        <v>2478</v>
      </c>
      <c r="K326" s="13" t="s">
        <v>2479</v>
      </c>
      <c r="L326" s="13" t="s">
        <v>878</v>
      </c>
      <c r="M326" s="13" t="n">
        <v>461.75</v>
      </c>
      <c r="N326" s="13" t="n">
        <v>0.34</v>
      </c>
      <c r="O326" s="13" t="n">
        <v>103</v>
      </c>
      <c r="P326" s="13" t="s">
        <v>879</v>
      </c>
      <c r="Q326" s="13" t="s">
        <v>2480</v>
      </c>
      <c r="R326" s="13" t="s">
        <v>2196</v>
      </c>
      <c r="S326" s="13" t="s">
        <v>2196</v>
      </c>
      <c r="T326" s="13" t="s">
        <v>61</v>
      </c>
      <c r="U326" s="13"/>
    </row>
    <row r="327" customFormat="false" ht="18" hidden="false" customHeight="true" outlineLevel="0" collapsed="false">
      <c r="A327" s="13" t="n">
        <v>326</v>
      </c>
      <c r="B327" s="13" t="s">
        <v>2481</v>
      </c>
      <c r="C327" s="13" t="s">
        <v>63</v>
      </c>
      <c r="D327" s="13" t="s">
        <v>64</v>
      </c>
      <c r="E327" s="13" t="s">
        <v>161</v>
      </c>
      <c r="F327" s="13" t="s">
        <v>822</v>
      </c>
      <c r="G327" s="13" t="s">
        <v>257</v>
      </c>
      <c r="H327" s="13" t="s">
        <v>2482</v>
      </c>
      <c r="I327" s="13" t="s">
        <v>2483</v>
      </c>
      <c r="J327" s="13" t="s">
        <v>2484</v>
      </c>
      <c r="K327" s="13" t="s">
        <v>1040</v>
      </c>
      <c r="L327" s="13" t="s">
        <v>826</v>
      </c>
      <c r="M327" s="13" t="n">
        <v>398.9</v>
      </c>
      <c r="N327" s="13" t="n">
        <v>0.41</v>
      </c>
      <c r="O327" s="13" t="n">
        <v>286</v>
      </c>
      <c r="P327" s="13" t="s">
        <v>827</v>
      </c>
      <c r="Q327" s="13" t="s">
        <v>349</v>
      </c>
      <c r="R327" s="13" t="s">
        <v>2434</v>
      </c>
      <c r="S327" s="13" t="s">
        <v>2434</v>
      </c>
      <c r="T327" s="13" t="s">
        <v>61</v>
      </c>
      <c r="U327" s="13"/>
    </row>
    <row r="328" customFormat="false" ht="18" hidden="false" customHeight="true" outlineLevel="0" collapsed="false">
      <c r="A328" s="13" t="n">
        <v>327</v>
      </c>
      <c r="B328" s="13" t="s">
        <v>2485</v>
      </c>
      <c r="C328" s="13" t="s">
        <v>48</v>
      </c>
      <c r="D328" s="13" t="s">
        <v>49</v>
      </c>
      <c r="E328" s="13" t="s">
        <v>79</v>
      </c>
      <c r="F328" s="13" t="s">
        <v>465</v>
      </c>
      <c r="G328" s="13" t="s">
        <v>128</v>
      </c>
      <c r="H328" s="13" t="s">
        <v>2486</v>
      </c>
      <c r="I328" s="13" t="s">
        <v>2487</v>
      </c>
      <c r="J328" s="13" t="s">
        <v>2488</v>
      </c>
      <c r="K328" s="13" t="s">
        <v>2489</v>
      </c>
      <c r="L328" s="13" t="s">
        <v>2490</v>
      </c>
      <c r="M328" s="13" t="n">
        <v>2227.96</v>
      </c>
      <c r="N328" s="13" t="n">
        <v>2.75</v>
      </c>
      <c r="O328" s="13" t="n">
        <v>38</v>
      </c>
      <c r="P328" s="13" t="s">
        <v>2491</v>
      </c>
      <c r="Q328" s="13" t="s">
        <v>1002</v>
      </c>
      <c r="R328" s="13" t="s">
        <v>2492</v>
      </c>
      <c r="S328" s="13" t="s">
        <v>2492</v>
      </c>
      <c r="T328" s="13" t="s">
        <v>61</v>
      </c>
      <c r="U328" s="13"/>
    </row>
    <row r="329" customFormat="false" ht="18" hidden="false" customHeight="true" outlineLevel="0" collapsed="false">
      <c r="A329" s="13" t="n">
        <v>328</v>
      </c>
      <c r="B329" s="13" t="s">
        <v>2493</v>
      </c>
      <c r="C329" s="13" t="s">
        <v>63</v>
      </c>
      <c r="D329" s="13" t="s">
        <v>64</v>
      </c>
      <c r="E329" s="13" t="s">
        <v>50</v>
      </c>
      <c r="F329" s="13" t="s">
        <v>115</v>
      </c>
      <c r="G329" s="13" t="s">
        <v>689</v>
      </c>
      <c r="H329" s="13" t="s">
        <v>2494</v>
      </c>
      <c r="I329" s="13" t="s">
        <v>2495</v>
      </c>
      <c r="J329" s="13" t="s">
        <v>2496</v>
      </c>
      <c r="K329" s="13" t="s">
        <v>2497</v>
      </c>
      <c r="L329" s="13" t="s">
        <v>694</v>
      </c>
      <c r="M329" s="13" t="n">
        <v>290.16</v>
      </c>
      <c r="N329" s="13" t="n">
        <v>0.73</v>
      </c>
      <c r="O329" s="13" t="n">
        <v>403</v>
      </c>
      <c r="P329" s="13" t="s">
        <v>695</v>
      </c>
      <c r="Q329" s="13" t="s">
        <v>1641</v>
      </c>
      <c r="R329" s="13" t="s">
        <v>554</v>
      </c>
      <c r="S329" s="13" t="s">
        <v>554</v>
      </c>
      <c r="T329" s="13" t="s">
        <v>61</v>
      </c>
      <c r="U329" s="13"/>
    </row>
    <row r="330" customFormat="false" ht="18" hidden="false" customHeight="true" outlineLevel="0" collapsed="false">
      <c r="A330" s="13" t="n">
        <v>329</v>
      </c>
      <c r="B330" s="13" t="s">
        <v>2498</v>
      </c>
      <c r="C330" s="13" t="s">
        <v>173</v>
      </c>
      <c r="D330" s="13" t="s">
        <v>174</v>
      </c>
      <c r="E330" s="13" t="s">
        <v>65</v>
      </c>
      <c r="F330" s="13" t="s">
        <v>438</v>
      </c>
      <c r="G330" s="13" t="s">
        <v>391</v>
      </c>
      <c r="H330" s="13" t="s">
        <v>2499</v>
      </c>
      <c r="I330" s="13" t="s">
        <v>2500</v>
      </c>
      <c r="J330" s="13" t="s">
        <v>2501</v>
      </c>
      <c r="K330" s="13" t="s">
        <v>2046</v>
      </c>
      <c r="L330" s="13" t="s">
        <v>2047</v>
      </c>
      <c r="M330" s="13" t="n">
        <v>311.18</v>
      </c>
      <c r="N330" s="13" t="n">
        <v>0.54</v>
      </c>
      <c r="O330" s="13" t="n">
        <v>499</v>
      </c>
      <c r="P330" s="13" t="s">
        <v>2048</v>
      </c>
      <c r="Q330" s="13" t="s">
        <v>2502</v>
      </c>
      <c r="R330" s="13" t="s">
        <v>2503</v>
      </c>
      <c r="S330" s="13" t="s">
        <v>2503</v>
      </c>
      <c r="T330" s="13" t="s">
        <v>61</v>
      </c>
      <c r="U330" s="13"/>
    </row>
    <row r="331" customFormat="false" ht="18" hidden="false" customHeight="true" outlineLevel="0" collapsed="false">
      <c r="A331" s="15" t="n">
        <v>330</v>
      </c>
      <c r="B331" s="15" t="s">
        <v>620</v>
      </c>
      <c r="C331" s="15" t="s">
        <v>173</v>
      </c>
      <c r="D331" s="15" t="s">
        <v>174</v>
      </c>
      <c r="E331" s="15" t="s">
        <v>91</v>
      </c>
      <c r="F331" s="15" t="s">
        <v>419</v>
      </c>
      <c r="G331" s="15" t="s">
        <v>93</v>
      </c>
      <c r="H331" s="15" t="s">
        <v>621</v>
      </c>
      <c r="I331" s="15" t="s">
        <v>2504</v>
      </c>
      <c r="J331" s="15" t="s">
        <v>622</v>
      </c>
      <c r="K331" s="15" t="s">
        <v>623</v>
      </c>
      <c r="L331" s="15" t="s">
        <v>624</v>
      </c>
      <c r="M331" s="15" t="n">
        <v>3378.48</v>
      </c>
      <c r="N331" s="15" t="n">
        <v>15.08</v>
      </c>
      <c r="O331" s="15" t="n">
        <v>38</v>
      </c>
      <c r="P331" s="15" t="s">
        <v>625</v>
      </c>
      <c r="Q331" s="15" t="s">
        <v>626</v>
      </c>
      <c r="R331" s="15" t="s">
        <v>627</v>
      </c>
      <c r="S331" s="15" t="s">
        <v>627</v>
      </c>
      <c r="T331" s="15" t="s">
        <v>61</v>
      </c>
      <c r="U331" s="15" t="s">
        <v>283</v>
      </c>
    </row>
    <row r="332" customFormat="false" ht="18" hidden="false" customHeight="true" outlineLevel="0" collapsed="false">
      <c r="A332" s="13" t="n">
        <v>331</v>
      </c>
      <c r="B332" s="13" t="s">
        <v>2505</v>
      </c>
      <c r="C332" s="13" t="s">
        <v>77</v>
      </c>
      <c r="D332" s="13" t="s">
        <v>78</v>
      </c>
      <c r="E332" s="13" t="s">
        <v>79</v>
      </c>
      <c r="F332" s="13" t="s">
        <v>196</v>
      </c>
      <c r="G332" s="13" t="s">
        <v>80</v>
      </c>
      <c r="H332" s="13" t="s">
        <v>2506</v>
      </c>
      <c r="I332" s="13" t="s">
        <v>2507</v>
      </c>
      <c r="J332" s="13" t="s">
        <v>2508</v>
      </c>
      <c r="K332" s="13" t="s">
        <v>2509</v>
      </c>
      <c r="L332" s="13" t="s">
        <v>710</v>
      </c>
      <c r="M332" s="13" t="n">
        <v>1493.39</v>
      </c>
      <c r="N332" s="13" t="n">
        <v>2.77</v>
      </c>
      <c r="O332" s="13" t="n">
        <v>242</v>
      </c>
      <c r="P332" s="13" t="s">
        <v>711</v>
      </c>
      <c r="Q332" s="13" t="s">
        <v>2510</v>
      </c>
      <c r="R332" s="13" t="s">
        <v>531</v>
      </c>
      <c r="S332" s="13" t="s">
        <v>531</v>
      </c>
      <c r="T332" s="13" t="s">
        <v>61</v>
      </c>
      <c r="U332" s="13"/>
    </row>
    <row r="333" customFormat="false" ht="18" hidden="false" customHeight="true" outlineLevel="0" collapsed="false">
      <c r="A333" s="14" t="n">
        <v>332</v>
      </c>
      <c r="B333" s="14" t="s">
        <v>2511</v>
      </c>
      <c r="C333" s="14" t="s">
        <v>125</v>
      </c>
      <c r="D333" s="14" t="s">
        <v>126</v>
      </c>
      <c r="E333" s="14" t="s">
        <v>161</v>
      </c>
      <c r="F333" s="14" t="s">
        <v>185</v>
      </c>
      <c r="G333" s="14" t="s">
        <v>296</v>
      </c>
      <c r="H333" s="14" t="s">
        <v>2512</v>
      </c>
      <c r="I333" s="14"/>
      <c r="J333" s="14" t="s">
        <v>2513</v>
      </c>
      <c r="K333" s="14" t="s">
        <v>2514</v>
      </c>
      <c r="L333" s="14" t="s">
        <v>1390</v>
      </c>
      <c r="M333" s="14" t="n">
        <v>282.5</v>
      </c>
      <c r="N333" s="14" t="n">
        <v>0.32</v>
      </c>
      <c r="O333" s="14" t="n">
        <v>302</v>
      </c>
      <c r="P333" s="14" t="s">
        <v>1391</v>
      </c>
      <c r="Q333" s="14" t="s">
        <v>2515</v>
      </c>
      <c r="R333" s="14" t="s">
        <v>1894</v>
      </c>
      <c r="S333" s="14" t="s">
        <v>1894</v>
      </c>
      <c r="T333" s="14" t="s">
        <v>61</v>
      </c>
      <c r="U333" s="14" t="s">
        <v>272</v>
      </c>
    </row>
    <row r="334" customFormat="false" ht="18" hidden="false" customHeight="true" outlineLevel="0" collapsed="false">
      <c r="A334" s="15" t="n">
        <v>333</v>
      </c>
      <c r="B334" s="15" t="s">
        <v>2516</v>
      </c>
      <c r="C334" s="15" t="s">
        <v>113</v>
      </c>
      <c r="D334" s="15" t="s">
        <v>114</v>
      </c>
      <c r="E334" s="15" t="s">
        <v>50</v>
      </c>
      <c r="F334" s="15" t="s">
        <v>503</v>
      </c>
      <c r="G334" s="15" t="s">
        <v>808</v>
      </c>
      <c r="H334" s="15" t="s">
        <v>2517</v>
      </c>
      <c r="I334" s="15" t="s">
        <v>2518</v>
      </c>
      <c r="J334" s="15" t="s">
        <v>2519</v>
      </c>
      <c r="K334" s="15" t="s">
        <v>2520</v>
      </c>
      <c r="L334" s="15" t="s">
        <v>1340</v>
      </c>
      <c r="M334" s="15" t="n">
        <v>373.34</v>
      </c>
      <c r="N334" s="15" t="n">
        <v>0.76</v>
      </c>
      <c r="O334" s="15" t="n">
        <v>442</v>
      </c>
      <c r="P334" s="15" t="s">
        <v>1341</v>
      </c>
      <c r="Q334" s="15" t="s">
        <v>2521</v>
      </c>
      <c r="R334" s="15" t="s">
        <v>2305</v>
      </c>
      <c r="S334" s="15" t="s">
        <v>2305</v>
      </c>
      <c r="T334" s="15" t="s">
        <v>61</v>
      </c>
      <c r="U334" s="15" t="s">
        <v>283</v>
      </c>
    </row>
    <row r="335" customFormat="false" ht="18" hidden="false" customHeight="true" outlineLevel="0" collapsed="false">
      <c r="A335" s="15" t="n">
        <v>334</v>
      </c>
      <c r="B335" s="15" t="s">
        <v>2522</v>
      </c>
      <c r="C335" s="15" t="s">
        <v>255</v>
      </c>
      <c r="D335" s="15" t="s">
        <v>256</v>
      </c>
      <c r="E335" s="15" t="s">
        <v>50</v>
      </c>
      <c r="F335" s="15" t="s">
        <v>503</v>
      </c>
      <c r="G335" s="15" t="s">
        <v>689</v>
      </c>
      <c r="H335" s="15" t="s">
        <v>2523</v>
      </c>
      <c r="I335" s="15" t="s">
        <v>2524</v>
      </c>
      <c r="J335" s="15" t="s">
        <v>2525</v>
      </c>
      <c r="K335" s="15" t="s">
        <v>2526</v>
      </c>
      <c r="L335" s="15" t="s">
        <v>1298</v>
      </c>
      <c r="M335" s="15" t="n">
        <v>7503.44</v>
      </c>
      <c r="N335" s="15" t="n">
        <v>0.42</v>
      </c>
      <c r="O335" s="15" t="n">
        <v>482</v>
      </c>
      <c r="P335" s="15" t="s">
        <v>1299</v>
      </c>
      <c r="Q335" s="15" t="s">
        <v>1372</v>
      </c>
      <c r="R335" s="15" t="s">
        <v>2527</v>
      </c>
      <c r="S335" s="15" t="s">
        <v>2527</v>
      </c>
      <c r="T335" s="15" t="s">
        <v>61</v>
      </c>
      <c r="U335" s="15" t="s">
        <v>343</v>
      </c>
    </row>
    <row r="336" customFormat="false" ht="18" hidden="false" customHeight="true" outlineLevel="0" collapsed="false">
      <c r="A336" s="13" t="n">
        <v>335</v>
      </c>
      <c r="B336" s="13" t="s">
        <v>2528</v>
      </c>
      <c r="C336" s="13" t="s">
        <v>125</v>
      </c>
      <c r="D336" s="13" t="s">
        <v>126</v>
      </c>
      <c r="E336" s="13" t="s">
        <v>91</v>
      </c>
      <c r="F336" s="13" t="s">
        <v>185</v>
      </c>
      <c r="G336" s="13" t="s">
        <v>420</v>
      </c>
      <c r="H336" s="13" t="s">
        <v>2529</v>
      </c>
      <c r="I336" s="13" t="s">
        <v>2530</v>
      </c>
      <c r="J336" s="13" t="s">
        <v>2531</v>
      </c>
      <c r="K336" s="13" t="s">
        <v>2532</v>
      </c>
      <c r="L336" s="13" t="s">
        <v>1072</v>
      </c>
      <c r="M336" s="13" t="n">
        <v>2317.84</v>
      </c>
      <c r="N336" s="13" t="n">
        <v>36.09</v>
      </c>
      <c r="O336" s="13" t="n">
        <v>16</v>
      </c>
      <c r="P336" s="13" t="s">
        <v>1073</v>
      </c>
      <c r="Q336" s="13" t="s">
        <v>2142</v>
      </c>
      <c r="R336" s="13" t="s">
        <v>1529</v>
      </c>
      <c r="S336" s="13" t="s">
        <v>1529</v>
      </c>
      <c r="T336" s="13" t="s">
        <v>61</v>
      </c>
      <c r="U336" s="13"/>
    </row>
    <row r="337" customFormat="false" ht="18" hidden="false" customHeight="true" outlineLevel="0" collapsed="false">
      <c r="A337" s="13" t="n">
        <v>336</v>
      </c>
      <c r="B337" s="13" t="s">
        <v>2533</v>
      </c>
      <c r="C337" s="13" t="s">
        <v>159</v>
      </c>
      <c r="D337" s="13" t="s">
        <v>160</v>
      </c>
      <c r="E337" s="13" t="s">
        <v>50</v>
      </c>
      <c r="F337" s="13" t="s">
        <v>503</v>
      </c>
      <c r="G337" s="13" t="s">
        <v>52</v>
      </c>
      <c r="H337" s="13" t="s">
        <v>2534</v>
      </c>
      <c r="I337" s="13" t="s">
        <v>2535</v>
      </c>
      <c r="J337" s="13" t="s">
        <v>2536</v>
      </c>
      <c r="K337" s="13" t="s">
        <v>2537</v>
      </c>
      <c r="L337" s="13" t="s">
        <v>969</v>
      </c>
      <c r="M337" s="13" t="n">
        <v>965.49</v>
      </c>
      <c r="N337" s="13" t="n">
        <v>0.32</v>
      </c>
      <c r="O337" s="13" t="n">
        <v>352</v>
      </c>
      <c r="P337" s="13" t="s">
        <v>970</v>
      </c>
      <c r="Q337" s="13" t="s">
        <v>2538</v>
      </c>
      <c r="R337" s="13" t="s">
        <v>2305</v>
      </c>
      <c r="S337" s="13" t="s">
        <v>2305</v>
      </c>
      <c r="T337" s="13" t="s">
        <v>61</v>
      </c>
      <c r="U337" s="13"/>
    </row>
    <row r="338" customFormat="false" ht="18" hidden="false" customHeight="true" outlineLevel="0" collapsed="false">
      <c r="A338" s="15" t="n">
        <v>337</v>
      </c>
      <c r="B338" s="15" t="s">
        <v>2539</v>
      </c>
      <c r="C338" s="15" t="s">
        <v>77</v>
      </c>
      <c r="D338" s="15" t="s">
        <v>78</v>
      </c>
      <c r="E338" s="15" t="s">
        <v>91</v>
      </c>
      <c r="F338" s="15" t="s">
        <v>92</v>
      </c>
      <c r="G338" s="15" t="s">
        <v>139</v>
      </c>
      <c r="H338" s="15" t="s">
        <v>2540</v>
      </c>
      <c r="I338" s="15" t="s">
        <v>2541</v>
      </c>
      <c r="J338" s="15" t="s">
        <v>2542</v>
      </c>
      <c r="K338" s="15" t="s">
        <v>2543</v>
      </c>
      <c r="L338" s="15" t="s">
        <v>774</v>
      </c>
      <c r="M338" s="15" t="n">
        <v>14567.07</v>
      </c>
      <c r="N338" s="15" t="n">
        <v>30.34</v>
      </c>
      <c r="O338" s="15" t="n">
        <v>420</v>
      </c>
      <c r="P338" s="15" t="s">
        <v>775</v>
      </c>
      <c r="Q338" s="15" t="s">
        <v>2544</v>
      </c>
      <c r="R338" s="15" t="s">
        <v>1973</v>
      </c>
      <c r="S338" s="15" t="s">
        <v>1973</v>
      </c>
      <c r="T338" s="15" t="s">
        <v>61</v>
      </c>
      <c r="U338" s="15" t="s">
        <v>343</v>
      </c>
    </row>
    <row r="339" customFormat="false" ht="18" hidden="false" customHeight="true" outlineLevel="0" collapsed="false">
      <c r="A339" s="13" t="n">
        <v>338</v>
      </c>
      <c r="B339" s="13" t="s">
        <v>2545</v>
      </c>
      <c r="C339" s="13" t="s">
        <v>173</v>
      </c>
      <c r="D339" s="13" t="s">
        <v>174</v>
      </c>
      <c r="E339" s="13" t="s">
        <v>91</v>
      </c>
      <c r="F339" s="13" t="s">
        <v>780</v>
      </c>
      <c r="G339" s="13" t="s">
        <v>186</v>
      </c>
      <c r="H339" s="13" t="s">
        <v>2546</v>
      </c>
      <c r="I339" s="13" t="s">
        <v>2547</v>
      </c>
      <c r="J339" s="13" t="s">
        <v>2548</v>
      </c>
      <c r="K339" s="13" t="s">
        <v>2549</v>
      </c>
      <c r="L339" s="13" t="s">
        <v>1163</v>
      </c>
      <c r="M339" s="13" t="n">
        <v>733.45</v>
      </c>
      <c r="N339" s="13" t="n">
        <v>31.43</v>
      </c>
      <c r="O339" s="13" t="n">
        <v>117</v>
      </c>
      <c r="P339" s="13" t="s">
        <v>1164</v>
      </c>
      <c r="Q339" s="13" t="s">
        <v>1807</v>
      </c>
      <c r="R339" s="13" t="s">
        <v>2550</v>
      </c>
      <c r="S339" s="13" t="s">
        <v>2550</v>
      </c>
      <c r="T339" s="13" t="s">
        <v>61</v>
      </c>
      <c r="U339" s="13"/>
    </row>
    <row r="340" customFormat="false" ht="18" hidden="false" customHeight="true" outlineLevel="0" collapsed="false">
      <c r="A340" s="13" t="n">
        <v>339</v>
      </c>
      <c r="B340" s="13" t="s">
        <v>2551</v>
      </c>
      <c r="C340" s="13" t="s">
        <v>113</v>
      </c>
      <c r="D340" s="13" t="s">
        <v>114</v>
      </c>
      <c r="E340" s="13" t="s">
        <v>161</v>
      </c>
      <c r="F340" s="13" t="s">
        <v>429</v>
      </c>
      <c r="G340" s="13" t="s">
        <v>296</v>
      </c>
      <c r="H340" s="13" t="s">
        <v>2552</v>
      </c>
      <c r="I340" s="13" t="s">
        <v>2553</v>
      </c>
      <c r="J340" s="13" t="s">
        <v>2554</v>
      </c>
      <c r="K340" s="13" t="s">
        <v>2555</v>
      </c>
      <c r="L340" s="13" t="s">
        <v>914</v>
      </c>
      <c r="M340" s="13" t="n">
        <v>542.66</v>
      </c>
      <c r="N340" s="13" t="n">
        <v>0.39</v>
      </c>
      <c r="O340" s="13" t="n">
        <v>31</v>
      </c>
      <c r="P340" s="13" t="s">
        <v>915</v>
      </c>
      <c r="Q340" s="13" t="s">
        <v>2556</v>
      </c>
      <c r="R340" s="13" t="s">
        <v>1075</v>
      </c>
      <c r="S340" s="13" t="s">
        <v>1075</v>
      </c>
      <c r="T340" s="13" t="s">
        <v>61</v>
      </c>
      <c r="U340" s="13"/>
    </row>
    <row r="341" customFormat="false" ht="18" hidden="false" customHeight="true" outlineLevel="0" collapsed="false">
      <c r="A341" s="13" t="n">
        <v>340</v>
      </c>
      <c r="B341" s="13" t="s">
        <v>2557</v>
      </c>
      <c r="C341" s="13" t="s">
        <v>77</v>
      </c>
      <c r="D341" s="13" t="s">
        <v>78</v>
      </c>
      <c r="E341" s="13" t="s">
        <v>161</v>
      </c>
      <c r="F341" s="13" t="s">
        <v>51</v>
      </c>
      <c r="G341" s="13" t="s">
        <v>257</v>
      </c>
      <c r="H341" s="13" t="s">
        <v>2558</v>
      </c>
      <c r="I341" s="13" t="s">
        <v>2559</v>
      </c>
      <c r="J341" s="13" t="s">
        <v>2560</v>
      </c>
      <c r="K341" s="13" t="s">
        <v>2561</v>
      </c>
      <c r="L341" s="13" t="s">
        <v>2562</v>
      </c>
      <c r="M341" s="13" t="n">
        <v>138.76</v>
      </c>
      <c r="N341" s="13" t="n">
        <v>0.22</v>
      </c>
      <c r="O341" s="13" t="n">
        <v>309</v>
      </c>
      <c r="P341" s="13" t="s">
        <v>2563</v>
      </c>
      <c r="Q341" s="13" t="s">
        <v>2564</v>
      </c>
      <c r="R341" s="13" t="s">
        <v>1055</v>
      </c>
      <c r="S341" s="13" t="s">
        <v>1055</v>
      </c>
      <c r="T341" s="13" t="s">
        <v>61</v>
      </c>
      <c r="U341" s="13"/>
    </row>
    <row r="342" customFormat="false" ht="18" hidden="false" customHeight="true" outlineLevel="0" collapsed="false">
      <c r="A342" s="13" t="n">
        <v>341</v>
      </c>
      <c r="B342" s="13" t="s">
        <v>2565</v>
      </c>
      <c r="C342" s="13" t="s">
        <v>159</v>
      </c>
      <c r="D342" s="13" t="s">
        <v>160</v>
      </c>
      <c r="E342" s="13" t="s">
        <v>161</v>
      </c>
      <c r="F342" s="13" t="s">
        <v>51</v>
      </c>
      <c r="G342" s="13" t="s">
        <v>334</v>
      </c>
      <c r="H342" s="13" t="s">
        <v>2566</v>
      </c>
      <c r="I342" s="13" t="s">
        <v>2567</v>
      </c>
      <c r="J342" s="13" t="s">
        <v>2568</v>
      </c>
      <c r="K342" s="13" t="s">
        <v>1031</v>
      </c>
      <c r="L342" s="13" t="s">
        <v>1032</v>
      </c>
      <c r="M342" s="13" t="n">
        <v>430.63</v>
      </c>
      <c r="N342" s="13" t="n">
        <v>0.33</v>
      </c>
      <c r="O342" s="13" t="n">
        <v>424</v>
      </c>
      <c r="P342" s="13" t="s">
        <v>1033</v>
      </c>
      <c r="Q342" s="13" t="s">
        <v>1569</v>
      </c>
      <c r="R342" s="13" t="s">
        <v>2569</v>
      </c>
      <c r="S342" s="13" t="s">
        <v>2569</v>
      </c>
      <c r="T342" s="13" t="s">
        <v>61</v>
      </c>
      <c r="U342" s="13"/>
    </row>
    <row r="343" customFormat="false" ht="18" hidden="false" customHeight="true" outlineLevel="0" collapsed="false">
      <c r="A343" s="13" t="n">
        <v>342</v>
      </c>
      <c r="B343" s="13" t="s">
        <v>2570</v>
      </c>
      <c r="C343" s="13" t="s">
        <v>125</v>
      </c>
      <c r="D343" s="13" t="s">
        <v>126</v>
      </c>
      <c r="E343" s="13" t="s">
        <v>79</v>
      </c>
      <c r="F343" s="13" t="s">
        <v>513</v>
      </c>
      <c r="G343" s="13" t="s">
        <v>514</v>
      </c>
      <c r="H343" s="13" t="s">
        <v>2571</v>
      </c>
      <c r="I343" s="13" t="s">
        <v>2572</v>
      </c>
      <c r="J343" s="13" t="s">
        <v>2573</v>
      </c>
      <c r="K343" s="13" t="s">
        <v>2574</v>
      </c>
      <c r="L343" s="13" t="s">
        <v>519</v>
      </c>
      <c r="M343" s="13" t="n">
        <v>595.01</v>
      </c>
      <c r="N343" s="13" t="n">
        <v>1.78</v>
      </c>
      <c r="O343" s="13" t="n">
        <v>42</v>
      </c>
      <c r="P343" s="13" t="s">
        <v>520</v>
      </c>
      <c r="Q343" s="13" t="s">
        <v>2575</v>
      </c>
      <c r="R343" s="13" t="s">
        <v>2576</v>
      </c>
      <c r="S343" s="13" t="s">
        <v>2576</v>
      </c>
      <c r="T343" s="13" t="s">
        <v>61</v>
      </c>
      <c r="U343" s="13"/>
    </row>
    <row r="344" customFormat="false" ht="18" hidden="false" customHeight="true" outlineLevel="0" collapsed="false">
      <c r="A344" s="13" t="n">
        <v>343</v>
      </c>
      <c r="B344" s="13" t="s">
        <v>2577</v>
      </c>
      <c r="C344" s="13" t="s">
        <v>255</v>
      </c>
      <c r="D344" s="13" t="s">
        <v>256</v>
      </c>
      <c r="E344" s="13" t="s">
        <v>65</v>
      </c>
      <c r="F344" s="13" t="s">
        <v>390</v>
      </c>
      <c r="G344" s="13" t="s">
        <v>103</v>
      </c>
      <c r="H344" s="13" t="s">
        <v>2578</v>
      </c>
      <c r="I344" s="13" t="s">
        <v>2579</v>
      </c>
      <c r="J344" s="13" t="s">
        <v>2580</v>
      </c>
      <c r="K344" s="13" t="s">
        <v>2114</v>
      </c>
      <c r="L344" s="13" t="s">
        <v>2115</v>
      </c>
      <c r="M344" s="13" t="n">
        <v>190.7</v>
      </c>
      <c r="N344" s="13" t="n">
        <v>0.89</v>
      </c>
      <c r="O344" s="13" t="n">
        <v>164</v>
      </c>
      <c r="P344" s="13" t="s">
        <v>2116</v>
      </c>
      <c r="Q344" s="13" t="s">
        <v>2117</v>
      </c>
      <c r="R344" s="13" t="s">
        <v>2581</v>
      </c>
      <c r="S344" s="13" t="s">
        <v>2581</v>
      </c>
      <c r="T344" s="13" t="s">
        <v>61</v>
      </c>
      <c r="U344" s="13"/>
    </row>
    <row r="345" customFormat="false" ht="18" hidden="false" customHeight="true" outlineLevel="0" collapsed="false">
      <c r="A345" s="13" t="n">
        <v>344</v>
      </c>
      <c r="B345" s="13" t="s">
        <v>2582</v>
      </c>
      <c r="C345" s="13" t="s">
        <v>173</v>
      </c>
      <c r="D345" s="13" t="s">
        <v>174</v>
      </c>
      <c r="E345" s="13" t="s">
        <v>50</v>
      </c>
      <c r="F345" s="13" t="s">
        <v>127</v>
      </c>
      <c r="G345" s="13" t="s">
        <v>352</v>
      </c>
      <c r="H345" s="13" t="s">
        <v>2583</v>
      </c>
      <c r="I345" s="13" t="s">
        <v>2584</v>
      </c>
      <c r="J345" s="13" t="s">
        <v>2585</v>
      </c>
      <c r="K345" s="13" t="s">
        <v>2586</v>
      </c>
      <c r="L345" s="13" t="s">
        <v>582</v>
      </c>
      <c r="M345" s="13" t="n">
        <v>604.16</v>
      </c>
      <c r="N345" s="13" t="n">
        <v>0.83</v>
      </c>
      <c r="O345" s="13" t="n">
        <v>353</v>
      </c>
      <c r="P345" s="13" t="s">
        <v>583</v>
      </c>
      <c r="Q345" s="13" t="s">
        <v>1972</v>
      </c>
      <c r="R345" s="13" t="s">
        <v>585</v>
      </c>
      <c r="S345" s="13" t="s">
        <v>585</v>
      </c>
      <c r="T345" s="13" t="s">
        <v>61</v>
      </c>
      <c r="U345" s="13"/>
    </row>
    <row r="346" customFormat="false" ht="18" hidden="false" customHeight="true" outlineLevel="0" collapsed="false">
      <c r="A346" s="13" t="n">
        <v>345</v>
      </c>
      <c r="B346" s="13" t="s">
        <v>2587</v>
      </c>
      <c r="C346" s="13" t="s">
        <v>255</v>
      </c>
      <c r="D346" s="13" t="s">
        <v>256</v>
      </c>
      <c r="E346" s="13" t="s">
        <v>50</v>
      </c>
      <c r="F346" s="13" t="s">
        <v>51</v>
      </c>
      <c r="G346" s="13" t="s">
        <v>352</v>
      </c>
      <c r="H346" s="13" t="s">
        <v>2588</v>
      </c>
      <c r="I346" s="13" t="s">
        <v>2589</v>
      </c>
      <c r="J346" s="13" t="s">
        <v>2590</v>
      </c>
      <c r="K346" s="13" t="s">
        <v>1522</v>
      </c>
      <c r="L346" s="13" t="s">
        <v>357</v>
      </c>
      <c r="M346" s="13" t="n">
        <v>833.3</v>
      </c>
      <c r="N346" s="13" t="n">
        <v>0.79</v>
      </c>
      <c r="O346" s="13" t="n">
        <v>471</v>
      </c>
      <c r="P346" s="13" t="s">
        <v>358</v>
      </c>
      <c r="Q346" s="13" t="s">
        <v>2591</v>
      </c>
      <c r="R346" s="13" t="s">
        <v>101</v>
      </c>
      <c r="S346" s="13" t="s">
        <v>101</v>
      </c>
      <c r="T346" s="13" t="s">
        <v>61</v>
      </c>
      <c r="U346" s="13"/>
    </row>
    <row r="347" customFormat="false" ht="18" hidden="false" customHeight="true" outlineLevel="0" collapsed="false">
      <c r="A347" s="14" t="n">
        <v>346</v>
      </c>
      <c r="B347" s="14" t="s">
        <v>2592</v>
      </c>
      <c r="C347" s="14" t="s">
        <v>159</v>
      </c>
      <c r="D347" s="14" t="s">
        <v>160</v>
      </c>
      <c r="E347" s="14" t="s">
        <v>50</v>
      </c>
      <c r="F347" s="14" t="s">
        <v>115</v>
      </c>
      <c r="G347" s="14" t="s">
        <v>217</v>
      </c>
      <c r="H347" s="14" t="s">
        <v>2593</v>
      </c>
      <c r="I347" s="14" t="s">
        <v>2594</v>
      </c>
      <c r="J347" s="14" t="s">
        <v>2595</v>
      </c>
      <c r="K347" s="14"/>
      <c r="L347" s="14" t="s">
        <v>366</v>
      </c>
      <c r="M347" s="14" t="n">
        <v>1283.59</v>
      </c>
      <c r="N347" s="14" t="n">
        <v>0.89</v>
      </c>
      <c r="O347" s="14" t="n">
        <v>316</v>
      </c>
      <c r="P347" s="14" t="s">
        <v>367</v>
      </c>
      <c r="Q347" s="14" t="s">
        <v>2596</v>
      </c>
      <c r="R347" s="14" t="s">
        <v>1075</v>
      </c>
      <c r="S347" s="14" t="s">
        <v>1075</v>
      </c>
      <c r="T347" s="14" t="s">
        <v>61</v>
      </c>
      <c r="U347" s="14" t="s">
        <v>1048</v>
      </c>
    </row>
    <row r="348" customFormat="false" ht="18" hidden="false" customHeight="true" outlineLevel="0" collapsed="false">
      <c r="A348" s="13" t="n">
        <v>347</v>
      </c>
      <c r="B348" s="13" t="s">
        <v>2597</v>
      </c>
      <c r="C348" s="13" t="s">
        <v>63</v>
      </c>
      <c r="D348" s="13" t="s">
        <v>64</v>
      </c>
      <c r="E348" s="13" t="s">
        <v>161</v>
      </c>
      <c r="F348" s="13" t="s">
        <v>162</v>
      </c>
      <c r="G348" s="13" t="s">
        <v>334</v>
      </c>
      <c r="H348" s="13" t="s">
        <v>2598</v>
      </c>
      <c r="I348" s="13" t="s">
        <v>2599</v>
      </c>
      <c r="J348" s="13" t="s">
        <v>2600</v>
      </c>
      <c r="K348" s="13" t="s">
        <v>2601</v>
      </c>
      <c r="L348" s="13" t="s">
        <v>339</v>
      </c>
      <c r="M348" s="13" t="n">
        <v>539.25</v>
      </c>
      <c r="N348" s="13" t="n">
        <v>0.26</v>
      </c>
      <c r="O348" s="13" t="n">
        <v>58</v>
      </c>
      <c r="P348" s="13" t="s">
        <v>340</v>
      </c>
      <c r="Q348" s="13" t="s">
        <v>2195</v>
      </c>
      <c r="R348" s="13" t="s">
        <v>1352</v>
      </c>
      <c r="S348" s="13" t="s">
        <v>1352</v>
      </c>
      <c r="T348" s="13" t="s">
        <v>61</v>
      </c>
      <c r="U348" s="13"/>
    </row>
    <row r="349" customFormat="false" ht="18" hidden="false" customHeight="true" outlineLevel="0" collapsed="false">
      <c r="A349" s="15" t="n">
        <v>348</v>
      </c>
      <c r="B349" s="15" t="s">
        <v>2602</v>
      </c>
      <c r="C349" s="15" t="s">
        <v>113</v>
      </c>
      <c r="D349" s="15" t="s">
        <v>114</v>
      </c>
      <c r="E349" s="15" t="s">
        <v>65</v>
      </c>
      <c r="F349" s="15" t="s">
        <v>245</v>
      </c>
      <c r="G349" s="15" t="s">
        <v>372</v>
      </c>
      <c r="H349" s="15" t="s">
        <v>2603</v>
      </c>
      <c r="I349" s="15" t="s">
        <v>2604</v>
      </c>
      <c r="J349" s="15" t="s">
        <v>2605</v>
      </c>
      <c r="K349" s="15" t="s">
        <v>2606</v>
      </c>
      <c r="L349" s="15" t="s">
        <v>2607</v>
      </c>
      <c r="M349" s="15" t="n">
        <v>3399.12</v>
      </c>
      <c r="N349" s="15" t="n">
        <v>0.89</v>
      </c>
      <c r="O349" s="15" t="n">
        <v>394</v>
      </c>
      <c r="P349" s="15" t="s">
        <v>2608</v>
      </c>
      <c r="Q349" s="15" t="s">
        <v>74</v>
      </c>
      <c r="R349" s="15" t="s">
        <v>1867</v>
      </c>
      <c r="S349" s="15" t="s">
        <v>1867</v>
      </c>
      <c r="T349" s="15" t="s">
        <v>61</v>
      </c>
      <c r="U349" s="15" t="s">
        <v>343</v>
      </c>
    </row>
    <row r="350" customFormat="false" ht="18" hidden="false" customHeight="true" outlineLevel="0" collapsed="false">
      <c r="A350" s="13" t="n">
        <v>349</v>
      </c>
      <c r="B350" s="13" t="s">
        <v>2609</v>
      </c>
      <c r="C350" s="13" t="s">
        <v>63</v>
      </c>
      <c r="D350" s="13" t="s">
        <v>64</v>
      </c>
      <c r="E350" s="13" t="s">
        <v>50</v>
      </c>
      <c r="F350" s="13" t="s">
        <v>503</v>
      </c>
      <c r="G350" s="13" t="s">
        <v>689</v>
      </c>
      <c r="H350" s="13" t="s">
        <v>2610</v>
      </c>
      <c r="I350" s="13" t="s">
        <v>2611</v>
      </c>
      <c r="J350" s="13" t="s">
        <v>2612</v>
      </c>
      <c r="K350" s="13" t="s">
        <v>2613</v>
      </c>
      <c r="L350" s="13" t="s">
        <v>1298</v>
      </c>
      <c r="M350" s="13" t="n">
        <v>1018.23</v>
      </c>
      <c r="N350" s="13" t="n">
        <v>0.67</v>
      </c>
      <c r="O350" s="13" t="n">
        <v>154</v>
      </c>
      <c r="P350" s="13" t="s">
        <v>1299</v>
      </c>
      <c r="Q350" s="13" t="s">
        <v>2614</v>
      </c>
      <c r="R350" s="13" t="s">
        <v>1867</v>
      </c>
      <c r="S350" s="13" t="s">
        <v>1867</v>
      </c>
      <c r="T350" s="13" t="s">
        <v>61</v>
      </c>
      <c r="U350" s="13"/>
    </row>
    <row r="351" customFormat="false" ht="18" hidden="false" customHeight="true" outlineLevel="0" collapsed="false">
      <c r="A351" s="15" t="n">
        <v>350</v>
      </c>
      <c r="B351" s="15" t="s">
        <v>2615</v>
      </c>
      <c r="C351" s="15" t="s">
        <v>255</v>
      </c>
      <c r="D351" s="15" t="s">
        <v>256</v>
      </c>
      <c r="E351" s="15" t="s">
        <v>79</v>
      </c>
      <c r="F351" s="15" t="s">
        <v>162</v>
      </c>
      <c r="G351" s="15" t="s">
        <v>175</v>
      </c>
      <c r="H351" s="15" t="s">
        <v>2616</v>
      </c>
      <c r="I351" s="15" t="s">
        <v>2617</v>
      </c>
      <c r="J351" s="15" t="s">
        <v>2618</v>
      </c>
      <c r="K351" s="15" t="s">
        <v>2619</v>
      </c>
      <c r="L351" s="15" t="s">
        <v>2620</v>
      </c>
      <c r="M351" s="15" t="n">
        <v>453.63</v>
      </c>
      <c r="N351" s="15" t="n">
        <v>0.32</v>
      </c>
      <c r="O351" s="15" t="n">
        <v>156</v>
      </c>
      <c r="P351" s="15" t="s">
        <v>2621</v>
      </c>
      <c r="Q351" s="15" t="s">
        <v>313</v>
      </c>
      <c r="R351" s="15" t="s">
        <v>2622</v>
      </c>
      <c r="S351" s="15" t="s">
        <v>2622</v>
      </c>
      <c r="T351" s="15" t="s">
        <v>61</v>
      </c>
      <c r="U351" s="15" t="s">
        <v>453</v>
      </c>
    </row>
    <row r="352" customFormat="false" ht="18" hidden="false" customHeight="true" outlineLevel="0" collapsed="false">
      <c r="A352" s="13" t="n">
        <v>351</v>
      </c>
      <c r="B352" s="13" t="s">
        <v>2623</v>
      </c>
      <c r="C352" s="13" t="s">
        <v>63</v>
      </c>
      <c r="D352" s="13" t="s">
        <v>64</v>
      </c>
      <c r="E352" s="13" t="s">
        <v>91</v>
      </c>
      <c r="F352" s="13" t="s">
        <v>138</v>
      </c>
      <c r="G352" s="13" t="s">
        <v>139</v>
      </c>
      <c r="H352" s="13" t="s">
        <v>2624</v>
      </c>
      <c r="I352" s="13" t="s">
        <v>2625</v>
      </c>
      <c r="J352" s="13" t="s">
        <v>2626</v>
      </c>
      <c r="K352" s="13" t="s">
        <v>2627</v>
      </c>
      <c r="L352" s="13" t="s">
        <v>144</v>
      </c>
      <c r="M352" s="13" t="n">
        <v>1301.84</v>
      </c>
      <c r="N352" s="13" t="n">
        <v>47.8</v>
      </c>
      <c r="O352" s="13" t="n">
        <v>361</v>
      </c>
      <c r="P352" s="13" t="s">
        <v>145</v>
      </c>
      <c r="Q352" s="13" t="s">
        <v>1054</v>
      </c>
      <c r="R352" s="13" t="s">
        <v>1274</v>
      </c>
      <c r="S352" s="13" t="s">
        <v>1274</v>
      </c>
      <c r="T352" s="13" t="s">
        <v>61</v>
      </c>
      <c r="U352" s="13"/>
    </row>
    <row r="353" customFormat="false" ht="18" hidden="false" customHeight="true" outlineLevel="0" collapsed="false">
      <c r="A353" s="13" t="n">
        <v>352</v>
      </c>
      <c r="B353" s="13" t="s">
        <v>2628</v>
      </c>
      <c r="C353" s="13" t="s">
        <v>125</v>
      </c>
      <c r="D353" s="13" t="s">
        <v>126</v>
      </c>
      <c r="E353" s="13" t="s">
        <v>79</v>
      </c>
      <c r="F353" s="13" t="s">
        <v>513</v>
      </c>
      <c r="G353" s="13" t="s">
        <v>128</v>
      </c>
      <c r="H353" s="13" t="s">
        <v>2629</v>
      </c>
      <c r="I353" s="13" t="s">
        <v>2630</v>
      </c>
      <c r="J353" s="13" t="s">
        <v>2631</v>
      </c>
      <c r="K353" s="13" t="s">
        <v>2632</v>
      </c>
      <c r="L353" s="13" t="s">
        <v>2247</v>
      </c>
      <c r="M353" s="13" t="n">
        <v>2166.33</v>
      </c>
      <c r="N353" s="13" t="n">
        <v>1.62</v>
      </c>
      <c r="O353" s="13" t="n">
        <v>259</v>
      </c>
      <c r="P353" s="13" t="s">
        <v>2248</v>
      </c>
      <c r="Q353" s="13" t="s">
        <v>2633</v>
      </c>
      <c r="R353" s="13" t="s">
        <v>2634</v>
      </c>
      <c r="S353" s="13" t="s">
        <v>2634</v>
      </c>
      <c r="T353" s="13" t="s">
        <v>61</v>
      </c>
      <c r="U353" s="13"/>
    </row>
    <row r="354" customFormat="false" ht="18" hidden="false" customHeight="true" outlineLevel="0" collapsed="false">
      <c r="A354" s="13" t="n">
        <v>353</v>
      </c>
      <c r="B354" s="13" t="s">
        <v>2635</v>
      </c>
      <c r="C354" s="13" t="s">
        <v>113</v>
      </c>
      <c r="D354" s="13" t="s">
        <v>114</v>
      </c>
      <c r="E354" s="13" t="s">
        <v>79</v>
      </c>
      <c r="F354" s="13" t="s">
        <v>465</v>
      </c>
      <c r="G354" s="13" t="s">
        <v>80</v>
      </c>
      <c r="H354" s="13" t="s">
        <v>2636</v>
      </c>
      <c r="I354" s="13" t="s">
        <v>2637</v>
      </c>
      <c r="J354" s="13" t="s">
        <v>2638</v>
      </c>
      <c r="K354" s="13" t="s">
        <v>2639</v>
      </c>
      <c r="L354" s="13" t="s">
        <v>470</v>
      </c>
      <c r="M354" s="13" t="n">
        <v>1460.4</v>
      </c>
      <c r="N354" s="13" t="n">
        <v>2.22</v>
      </c>
      <c r="O354" s="13" t="n">
        <v>201</v>
      </c>
      <c r="P354" s="13" t="s">
        <v>471</v>
      </c>
      <c r="Q354" s="13" t="s">
        <v>2275</v>
      </c>
      <c r="R354" s="13" t="s">
        <v>2640</v>
      </c>
      <c r="S354" s="13" t="s">
        <v>2640</v>
      </c>
      <c r="T354" s="13" t="s">
        <v>61</v>
      </c>
      <c r="U354" s="13"/>
    </row>
    <row r="355" customFormat="false" ht="18" hidden="false" customHeight="true" outlineLevel="0" collapsed="false">
      <c r="A355" s="13" t="n">
        <v>354</v>
      </c>
      <c r="B355" s="13" t="s">
        <v>2641</v>
      </c>
      <c r="C355" s="13" t="s">
        <v>63</v>
      </c>
      <c r="D355" s="13" t="s">
        <v>64</v>
      </c>
      <c r="E355" s="13" t="s">
        <v>91</v>
      </c>
      <c r="F355" s="13" t="s">
        <v>185</v>
      </c>
      <c r="G355" s="13" t="s">
        <v>93</v>
      </c>
      <c r="H355" s="13" t="s">
        <v>2642</v>
      </c>
      <c r="I355" s="13" t="s">
        <v>2643</v>
      </c>
      <c r="J355" s="13" t="s">
        <v>2644</v>
      </c>
      <c r="K355" s="13" t="s">
        <v>2645</v>
      </c>
      <c r="L355" s="13" t="s">
        <v>528</v>
      </c>
      <c r="M355" s="13" t="n">
        <v>3236.83</v>
      </c>
      <c r="N355" s="13" t="n">
        <v>50.8</v>
      </c>
      <c r="O355" s="13" t="n">
        <v>256</v>
      </c>
      <c r="P355" s="13" t="s">
        <v>529</v>
      </c>
      <c r="Q355" s="13" t="s">
        <v>2433</v>
      </c>
      <c r="R355" s="13" t="s">
        <v>1195</v>
      </c>
      <c r="S355" s="13" t="s">
        <v>1195</v>
      </c>
      <c r="T355" s="13" t="s">
        <v>61</v>
      </c>
      <c r="U355" s="13"/>
    </row>
    <row r="356" customFormat="false" ht="18" hidden="false" customHeight="true" outlineLevel="0" collapsed="false">
      <c r="A356" s="13" t="n">
        <v>355</v>
      </c>
      <c r="B356" s="13" t="s">
        <v>2646</v>
      </c>
      <c r="C356" s="13" t="s">
        <v>113</v>
      </c>
      <c r="D356" s="13" t="s">
        <v>114</v>
      </c>
      <c r="E356" s="13" t="s">
        <v>91</v>
      </c>
      <c r="F356" s="13" t="s">
        <v>780</v>
      </c>
      <c r="G356" s="13" t="s">
        <v>139</v>
      </c>
      <c r="H356" s="13" t="s">
        <v>2647</v>
      </c>
      <c r="I356" s="13" t="s">
        <v>2648</v>
      </c>
      <c r="J356" s="13" t="s">
        <v>2649</v>
      </c>
      <c r="K356" s="13" t="s">
        <v>2650</v>
      </c>
      <c r="L356" s="13" t="s">
        <v>785</v>
      </c>
      <c r="M356" s="13" t="n">
        <v>2047.19</v>
      </c>
      <c r="N356" s="13" t="n">
        <v>21.71</v>
      </c>
      <c r="O356" s="13" t="n">
        <v>185</v>
      </c>
      <c r="P356" s="13" t="s">
        <v>786</v>
      </c>
      <c r="Q356" s="13" t="s">
        <v>2651</v>
      </c>
      <c r="R356" s="13" t="s">
        <v>1661</v>
      </c>
      <c r="S356" s="13" t="s">
        <v>1661</v>
      </c>
      <c r="T356" s="13" t="s">
        <v>61</v>
      </c>
      <c r="U356" s="13"/>
    </row>
    <row r="357" customFormat="false" ht="18" hidden="false" customHeight="true" outlineLevel="0" collapsed="false">
      <c r="A357" s="13" t="n">
        <v>356</v>
      </c>
      <c r="B357" s="13" t="s">
        <v>2652</v>
      </c>
      <c r="C357" s="13" t="s">
        <v>255</v>
      </c>
      <c r="D357" s="13" t="s">
        <v>256</v>
      </c>
      <c r="E357" s="13" t="s">
        <v>91</v>
      </c>
      <c r="F357" s="13" t="s">
        <v>92</v>
      </c>
      <c r="G357" s="13" t="s">
        <v>186</v>
      </c>
      <c r="H357" s="13" t="s">
        <v>2653</v>
      </c>
      <c r="I357" s="13" t="s">
        <v>2654</v>
      </c>
      <c r="J357" s="13" t="s">
        <v>2655</v>
      </c>
      <c r="K357" s="13" t="s">
        <v>2656</v>
      </c>
      <c r="L357" s="13" t="s">
        <v>2004</v>
      </c>
      <c r="M357" s="13" t="n">
        <v>439.37</v>
      </c>
      <c r="N357" s="13" t="n">
        <v>47.83</v>
      </c>
      <c r="O357" s="13" t="n">
        <v>115</v>
      </c>
      <c r="P357" s="13" t="s">
        <v>2005</v>
      </c>
      <c r="Q357" s="13" t="s">
        <v>2657</v>
      </c>
      <c r="R357" s="13" t="s">
        <v>2136</v>
      </c>
      <c r="S357" s="13" t="s">
        <v>2136</v>
      </c>
      <c r="T357" s="13" t="s">
        <v>61</v>
      </c>
      <c r="U357" s="13"/>
    </row>
    <row r="358" customFormat="false" ht="18" hidden="false" customHeight="true" outlineLevel="0" collapsed="false">
      <c r="A358" s="13" t="n">
        <v>357</v>
      </c>
      <c r="B358" s="13" t="s">
        <v>2658</v>
      </c>
      <c r="C358" s="13" t="s">
        <v>48</v>
      </c>
      <c r="D358" s="13" t="s">
        <v>49</v>
      </c>
      <c r="E358" s="13" t="s">
        <v>50</v>
      </c>
      <c r="F358" s="13" t="s">
        <v>503</v>
      </c>
      <c r="G358" s="13" t="s">
        <v>352</v>
      </c>
      <c r="H358" s="13" t="s">
        <v>2659</v>
      </c>
      <c r="I358" s="13" t="s">
        <v>2660</v>
      </c>
      <c r="J358" s="13" t="s">
        <v>2661</v>
      </c>
      <c r="K358" s="13" t="s">
        <v>2266</v>
      </c>
      <c r="L358" s="13" t="s">
        <v>508</v>
      </c>
      <c r="M358" s="13" t="n">
        <v>342.94</v>
      </c>
      <c r="N358" s="13" t="n">
        <v>0.49</v>
      </c>
      <c r="O358" s="13" t="n">
        <v>402</v>
      </c>
      <c r="P358" s="13" t="s">
        <v>509</v>
      </c>
      <c r="Q358" s="13" t="s">
        <v>2662</v>
      </c>
      <c r="R358" s="13" t="s">
        <v>2663</v>
      </c>
      <c r="S358" s="13" t="s">
        <v>2663</v>
      </c>
      <c r="T358" s="13" t="s">
        <v>61</v>
      </c>
      <c r="U358" s="13"/>
    </row>
    <row r="359" customFormat="false" ht="18" hidden="false" customHeight="true" outlineLevel="0" collapsed="false">
      <c r="A359" s="13" t="n">
        <v>358</v>
      </c>
      <c r="B359" s="13" t="s">
        <v>2664</v>
      </c>
      <c r="C359" s="13" t="s">
        <v>113</v>
      </c>
      <c r="D359" s="13" t="s">
        <v>114</v>
      </c>
      <c r="E359" s="13" t="s">
        <v>79</v>
      </c>
      <c r="F359" s="13" t="s">
        <v>51</v>
      </c>
      <c r="G359" s="13" t="s">
        <v>197</v>
      </c>
      <c r="H359" s="13" t="s">
        <v>2665</v>
      </c>
      <c r="I359" s="13" t="s">
        <v>2666</v>
      </c>
      <c r="J359" s="13" t="s">
        <v>2667</v>
      </c>
      <c r="K359" s="13" t="s">
        <v>2668</v>
      </c>
      <c r="L359" s="13" t="s">
        <v>719</v>
      </c>
      <c r="M359" s="13" t="n">
        <v>754.44</v>
      </c>
      <c r="N359" s="13" t="n">
        <v>1.76</v>
      </c>
      <c r="O359" s="13" t="n">
        <v>420</v>
      </c>
      <c r="P359" s="13" t="s">
        <v>720</v>
      </c>
      <c r="Q359" s="13" t="s">
        <v>2669</v>
      </c>
      <c r="R359" s="13" t="s">
        <v>2434</v>
      </c>
      <c r="S359" s="13" t="s">
        <v>2434</v>
      </c>
      <c r="T359" s="13" t="s">
        <v>61</v>
      </c>
      <c r="U359" s="13"/>
    </row>
    <row r="360" customFormat="false" ht="18" hidden="false" customHeight="true" outlineLevel="0" collapsed="false">
      <c r="A360" s="15" t="n">
        <v>359</v>
      </c>
      <c r="B360" s="15" t="s">
        <v>2670</v>
      </c>
      <c r="C360" s="15" t="s">
        <v>63</v>
      </c>
      <c r="D360" s="15" t="s">
        <v>64</v>
      </c>
      <c r="E360" s="15" t="s">
        <v>50</v>
      </c>
      <c r="F360" s="15" t="s">
        <v>503</v>
      </c>
      <c r="G360" s="15" t="s">
        <v>352</v>
      </c>
      <c r="H360" s="15" t="s">
        <v>2671</v>
      </c>
      <c r="I360" s="15" t="s">
        <v>2672</v>
      </c>
      <c r="J360" s="15" t="s">
        <v>2673</v>
      </c>
      <c r="K360" s="15" t="s">
        <v>2674</v>
      </c>
      <c r="L360" s="15" t="s">
        <v>508</v>
      </c>
      <c r="M360" s="15" t="n">
        <v>3967.89</v>
      </c>
      <c r="N360" s="15" t="n">
        <v>0.61</v>
      </c>
      <c r="O360" s="15" t="n">
        <v>399</v>
      </c>
      <c r="P360" s="15" t="s">
        <v>509</v>
      </c>
      <c r="Q360" s="15" t="s">
        <v>2675</v>
      </c>
      <c r="R360" s="15" t="s">
        <v>2676</v>
      </c>
      <c r="S360" s="15" t="s">
        <v>2676</v>
      </c>
      <c r="T360" s="15" t="s">
        <v>61</v>
      </c>
      <c r="U360" s="15" t="s">
        <v>343</v>
      </c>
    </row>
    <row r="361" customFormat="false" ht="18" hidden="false" customHeight="true" outlineLevel="0" collapsed="false">
      <c r="A361" s="13" t="n">
        <v>360</v>
      </c>
      <c r="B361" s="13" t="s">
        <v>2677</v>
      </c>
      <c r="C361" s="13" t="s">
        <v>77</v>
      </c>
      <c r="D361" s="13" t="s">
        <v>78</v>
      </c>
      <c r="E361" s="13" t="s">
        <v>50</v>
      </c>
      <c r="F361" s="13" t="s">
        <v>51</v>
      </c>
      <c r="G361" s="13" t="s">
        <v>352</v>
      </c>
      <c r="H361" s="13" t="s">
        <v>2678</v>
      </c>
      <c r="I361" s="13" t="s">
        <v>2679</v>
      </c>
      <c r="J361" s="13" t="s">
        <v>2680</v>
      </c>
      <c r="K361" s="13" t="s">
        <v>2681</v>
      </c>
      <c r="L361" s="13" t="s">
        <v>357</v>
      </c>
      <c r="M361" s="13" t="n">
        <v>732.41</v>
      </c>
      <c r="N361" s="13" t="n">
        <v>0.81</v>
      </c>
      <c r="O361" s="13" t="n">
        <v>430</v>
      </c>
      <c r="P361" s="13" t="s">
        <v>358</v>
      </c>
      <c r="Q361" s="13" t="s">
        <v>2682</v>
      </c>
      <c r="R361" s="13" t="s">
        <v>1343</v>
      </c>
      <c r="S361" s="13" t="s">
        <v>1343</v>
      </c>
      <c r="T361" s="13" t="s">
        <v>61</v>
      </c>
      <c r="U361" s="13"/>
    </row>
    <row r="362" customFormat="false" ht="18" hidden="false" customHeight="true" outlineLevel="0" collapsed="false">
      <c r="A362" s="13" t="n">
        <v>361</v>
      </c>
      <c r="B362" s="13" t="s">
        <v>2683</v>
      </c>
      <c r="C362" s="13" t="s">
        <v>77</v>
      </c>
      <c r="D362" s="13" t="s">
        <v>78</v>
      </c>
      <c r="E362" s="13" t="s">
        <v>91</v>
      </c>
      <c r="F362" s="13" t="s">
        <v>138</v>
      </c>
      <c r="G362" s="13" t="s">
        <v>186</v>
      </c>
      <c r="H362" s="13" t="s">
        <v>2684</v>
      </c>
      <c r="I362" s="13" t="s">
        <v>2685</v>
      </c>
      <c r="J362" s="13" t="s">
        <v>2686</v>
      </c>
      <c r="K362" s="13" t="s">
        <v>2687</v>
      </c>
      <c r="L362" s="13" t="s">
        <v>479</v>
      </c>
      <c r="M362" s="13" t="n">
        <v>3293.6</v>
      </c>
      <c r="N362" s="13" t="n">
        <v>35.53</v>
      </c>
      <c r="O362" s="13" t="n">
        <v>449</v>
      </c>
      <c r="P362" s="13" t="s">
        <v>480</v>
      </c>
      <c r="Q362" s="13" t="s">
        <v>2688</v>
      </c>
      <c r="R362" s="13" t="s">
        <v>2581</v>
      </c>
      <c r="S362" s="13" t="s">
        <v>2581</v>
      </c>
      <c r="T362" s="13" t="s">
        <v>61</v>
      </c>
      <c r="U362" s="13"/>
    </row>
    <row r="363" customFormat="false" ht="18" hidden="false" customHeight="true" outlineLevel="0" collapsed="false">
      <c r="A363" s="13" t="n">
        <v>362</v>
      </c>
      <c r="B363" s="13" t="s">
        <v>2689</v>
      </c>
      <c r="C363" s="13" t="s">
        <v>125</v>
      </c>
      <c r="D363" s="13" t="s">
        <v>126</v>
      </c>
      <c r="E363" s="13" t="s">
        <v>161</v>
      </c>
      <c r="F363" s="13" t="s">
        <v>429</v>
      </c>
      <c r="G363" s="13" t="s">
        <v>285</v>
      </c>
      <c r="H363" s="13" t="s">
        <v>2690</v>
      </c>
      <c r="I363" s="13" t="s">
        <v>2691</v>
      </c>
      <c r="J363" s="13" t="s">
        <v>2692</v>
      </c>
      <c r="K363" s="13" t="s">
        <v>2693</v>
      </c>
      <c r="L363" s="13" t="s">
        <v>1477</v>
      </c>
      <c r="M363" s="13" t="n">
        <v>151.52</v>
      </c>
      <c r="N363" s="13" t="n">
        <v>0.22</v>
      </c>
      <c r="O363" s="13" t="n">
        <v>485</v>
      </c>
      <c r="P363" s="13" t="s">
        <v>1478</v>
      </c>
      <c r="Q363" s="13" t="s">
        <v>490</v>
      </c>
      <c r="R363" s="13" t="s">
        <v>2694</v>
      </c>
      <c r="S363" s="13" t="s">
        <v>2694</v>
      </c>
      <c r="T363" s="13" t="s">
        <v>61</v>
      </c>
      <c r="U363" s="13"/>
    </row>
    <row r="364" customFormat="false" ht="18" hidden="false" customHeight="true" outlineLevel="0" collapsed="false">
      <c r="A364" s="13" t="n">
        <v>363</v>
      </c>
      <c r="B364" s="13" t="s">
        <v>2695</v>
      </c>
      <c r="C364" s="13" t="s">
        <v>113</v>
      </c>
      <c r="D364" s="13" t="s">
        <v>114</v>
      </c>
      <c r="E364" s="13" t="s">
        <v>65</v>
      </c>
      <c r="F364" s="13" t="s">
        <v>438</v>
      </c>
      <c r="G364" s="13" t="s">
        <v>274</v>
      </c>
      <c r="H364" s="13" t="s">
        <v>2696</v>
      </c>
      <c r="I364" s="13" t="s">
        <v>2697</v>
      </c>
      <c r="J364" s="13" t="s">
        <v>2698</v>
      </c>
      <c r="K364" s="13" t="s">
        <v>442</v>
      </c>
      <c r="L364" s="13" t="s">
        <v>443</v>
      </c>
      <c r="M364" s="13" t="n">
        <v>423.09</v>
      </c>
      <c r="N364" s="13" t="n">
        <v>0.95</v>
      </c>
      <c r="O364" s="13" t="n">
        <v>90</v>
      </c>
      <c r="P364" s="13" t="s">
        <v>444</v>
      </c>
      <c r="Q364" s="13" t="s">
        <v>1794</v>
      </c>
      <c r="R364" s="13" t="s">
        <v>2699</v>
      </c>
      <c r="S364" s="13" t="s">
        <v>2699</v>
      </c>
      <c r="T364" s="13" t="s">
        <v>61</v>
      </c>
      <c r="U364" s="13"/>
    </row>
    <row r="365" customFormat="false" ht="18" hidden="false" customHeight="true" outlineLevel="0" collapsed="false">
      <c r="A365" s="15" t="n">
        <v>364</v>
      </c>
      <c r="B365" s="15" t="s">
        <v>2700</v>
      </c>
      <c r="C365" s="15" t="s">
        <v>125</v>
      </c>
      <c r="D365" s="15" t="s">
        <v>126</v>
      </c>
      <c r="E365" s="15" t="s">
        <v>161</v>
      </c>
      <c r="F365" s="15" t="s">
        <v>429</v>
      </c>
      <c r="G365" s="15" t="s">
        <v>175</v>
      </c>
      <c r="H365" s="15" t="s">
        <v>2701</v>
      </c>
      <c r="I365" s="15" t="s">
        <v>2702</v>
      </c>
      <c r="J365" s="15" t="s">
        <v>2703</v>
      </c>
      <c r="K365" s="15" t="s">
        <v>2704</v>
      </c>
      <c r="L365" s="15" t="s">
        <v>459</v>
      </c>
      <c r="M365" s="15" t="n">
        <v>84.55</v>
      </c>
      <c r="N365" s="15" t="n">
        <v>0.26</v>
      </c>
      <c r="O365" s="15" t="n">
        <v>166</v>
      </c>
      <c r="P365" s="15" t="s">
        <v>460</v>
      </c>
      <c r="Q365" s="15" t="s">
        <v>2705</v>
      </c>
      <c r="R365" s="15" t="s">
        <v>2300</v>
      </c>
      <c r="S365" s="15" t="s">
        <v>2300</v>
      </c>
      <c r="T365" s="15" t="s">
        <v>61</v>
      </c>
      <c r="U365" s="15" t="s">
        <v>778</v>
      </c>
    </row>
    <row r="366" customFormat="false" ht="18" hidden="false" customHeight="true" outlineLevel="0" collapsed="false">
      <c r="A366" s="14" t="n">
        <v>365</v>
      </c>
      <c r="B366" s="14" t="s">
        <v>2706</v>
      </c>
      <c r="C366" s="14" t="s">
        <v>173</v>
      </c>
      <c r="D366" s="14" t="s">
        <v>174</v>
      </c>
      <c r="E366" s="14" t="s">
        <v>161</v>
      </c>
      <c r="F366" s="14" t="s">
        <v>185</v>
      </c>
      <c r="G366" s="14" t="s">
        <v>296</v>
      </c>
      <c r="H366" s="14" t="s">
        <v>2707</v>
      </c>
      <c r="I366" s="14" t="s">
        <v>2708</v>
      </c>
      <c r="J366" s="14" t="s">
        <v>2709</v>
      </c>
      <c r="K366" s="14"/>
      <c r="L366" s="14" t="s">
        <v>1390</v>
      </c>
      <c r="M366" s="14" t="n">
        <v>226.9</v>
      </c>
      <c r="N366" s="14" t="n">
        <v>0.31</v>
      </c>
      <c r="O366" s="14" t="n">
        <v>182</v>
      </c>
      <c r="P366" s="14" t="s">
        <v>1391</v>
      </c>
      <c r="Q366" s="14" t="s">
        <v>2710</v>
      </c>
      <c r="R366" s="14" t="s">
        <v>1236</v>
      </c>
      <c r="S366" s="14" t="s">
        <v>1236</v>
      </c>
      <c r="T366" s="14" t="s">
        <v>61</v>
      </c>
      <c r="U366" s="14" t="s">
        <v>1048</v>
      </c>
    </row>
    <row r="367" customFormat="false" ht="18" hidden="false" customHeight="true" outlineLevel="0" collapsed="false">
      <c r="A367" s="13" t="n">
        <v>366</v>
      </c>
      <c r="B367" s="13" t="s">
        <v>2711</v>
      </c>
      <c r="C367" s="13" t="s">
        <v>125</v>
      </c>
      <c r="D367" s="13" t="s">
        <v>126</v>
      </c>
      <c r="E367" s="13" t="s">
        <v>65</v>
      </c>
      <c r="F367" s="13" t="s">
        <v>227</v>
      </c>
      <c r="G367" s="13" t="s">
        <v>274</v>
      </c>
      <c r="H367" s="13" t="s">
        <v>2712</v>
      </c>
      <c r="I367" s="13" t="s">
        <v>2713</v>
      </c>
      <c r="J367" s="13" t="s">
        <v>2714</v>
      </c>
      <c r="K367" s="13" t="s">
        <v>278</v>
      </c>
      <c r="L367" s="13" t="s">
        <v>279</v>
      </c>
      <c r="M367" s="13" t="n">
        <v>196.2</v>
      </c>
      <c r="N367" s="13" t="n">
        <v>0.96</v>
      </c>
      <c r="O367" s="13" t="n">
        <v>168</v>
      </c>
      <c r="P367" s="13" t="s">
        <v>280</v>
      </c>
      <c r="Q367" s="13" t="s">
        <v>2462</v>
      </c>
      <c r="R367" s="13" t="s">
        <v>2715</v>
      </c>
      <c r="S367" s="13" t="s">
        <v>2715</v>
      </c>
      <c r="T367" s="13" t="s">
        <v>61</v>
      </c>
      <c r="U367" s="13"/>
    </row>
    <row r="368" customFormat="false" ht="18" hidden="false" customHeight="true" outlineLevel="0" collapsed="false">
      <c r="A368" s="13" t="n">
        <v>367</v>
      </c>
      <c r="B368" s="13" t="s">
        <v>2716</v>
      </c>
      <c r="C368" s="13" t="s">
        <v>125</v>
      </c>
      <c r="D368" s="13" t="s">
        <v>126</v>
      </c>
      <c r="E368" s="13" t="s">
        <v>65</v>
      </c>
      <c r="F368" s="13" t="s">
        <v>245</v>
      </c>
      <c r="G368" s="13" t="s">
        <v>391</v>
      </c>
      <c r="H368" s="13" t="s">
        <v>2717</v>
      </c>
      <c r="I368" s="13" t="s">
        <v>2718</v>
      </c>
      <c r="J368" s="13" t="s">
        <v>2719</v>
      </c>
      <c r="K368" s="13" t="s">
        <v>1414</v>
      </c>
      <c r="L368" s="13" t="s">
        <v>1415</v>
      </c>
      <c r="M368" s="13" t="n">
        <v>159.14</v>
      </c>
      <c r="N368" s="13" t="n">
        <v>1.47</v>
      </c>
      <c r="O368" s="13" t="n">
        <v>183</v>
      </c>
      <c r="P368" s="13" t="s">
        <v>1416</v>
      </c>
      <c r="Q368" s="13" t="s">
        <v>2720</v>
      </c>
      <c r="R368" s="13" t="s">
        <v>2550</v>
      </c>
      <c r="S368" s="13" t="s">
        <v>2550</v>
      </c>
      <c r="T368" s="13" t="s">
        <v>61</v>
      </c>
      <c r="U368" s="13"/>
    </row>
    <row r="369" customFormat="false" ht="18" hidden="false" customHeight="true" outlineLevel="0" collapsed="false">
      <c r="A369" s="15" t="n">
        <v>368</v>
      </c>
      <c r="B369" s="15" t="s">
        <v>2721</v>
      </c>
      <c r="C369" s="15" t="s">
        <v>125</v>
      </c>
      <c r="D369" s="15" t="s">
        <v>126</v>
      </c>
      <c r="E369" s="15" t="s">
        <v>161</v>
      </c>
      <c r="F369" s="15" t="s">
        <v>51</v>
      </c>
      <c r="G369" s="15" t="s">
        <v>296</v>
      </c>
      <c r="H369" s="15" t="s">
        <v>2722</v>
      </c>
      <c r="I369" s="15" t="s">
        <v>2723</v>
      </c>
      <c r="J369" s="15" t="s">
        <v>2724</v>
      </c>
      <c r="K369" s="15" t="s">
        <v>1561</v>
      </c>
      <c r="L369" s="15" t="s">
        <v>861</v>
      </c>
      <c r="M369" s="15" t="n">
        <v>378.91</v>
      </c>
      <c r="N369" s="15" t="n">
        <v>0.42</v>
      </c>
      <c r="O369" s="15" t="n">
        <v>400</v>
      </c>
      <c r="P369" s="15" t="s">
        <v>862</v>
      </c>
      <c r="Q369" s="15" t="s">
        <v>2725</v>
      </c>
      <c r="R369" s="15" t="s">
        <v>304</v>
      </c>
      <c r="S369" s="15" t="s">
        <v>304</v>
      </c>
      <c r="T369" s="15" t="s">
        <v>61</v>
      </c>
      <c r="U369" s="15" t="s">
        <v>283</v>
      </c>
    </row>
    <row r="370" customFormat="false" ht="18" hidden="false" customHeight="true" outlineLevel="0" collapsed="false">
      <c r="A370" s="13" t="n">
        <v>369</v>
      </c>
      <c r="B370" s="13" t="s">
        <v>2726</v>
      </c>
      <c r="C370" s="13" t="s">
        <v>77</v>
      </c>
      <c r="D370" s="13" t="s">
        <v>78</v>
      </c>
      <c r="E370" s="13" t="s">
        <v>91</v>
      </c>
      <c r="F370" s="13" t="s">
        <v>185</v>
      </c>
      <c r="G370" s="13" t="s">
        <v>139</v>
      </c>
      <c r="H370" s="13" t="s">
        <v>2727</v>
      </c>
      <c r="I370" s="13" t="s">
        <v>2728</v>
      </c>
      <c r="J370" s="13" t="s">
        <v>2729</v>
      </c>
      <c r="K370" s="13" t="s">
        <v>2730</v>
      </c>
      <c r="L370" s="13" t="s">
        <v>2731</v>
      </c>
      <c r="M370" s="13" t="n">
        <v>1178.7</v>
      </c>
      <c r="N370" s="13" t="n">
        <v>12.26</v>
      </c>
      <c r="O370" s="13" t="n">
        <v>148</v>
      </c>
      <c r="P370" s="13" t="s">
        <v>2732</v>
      </c>
      <c r="Q370" s="13" t="s">
        <v>750</v>
      </c>
      <c r="R370" s="13" t="s">
        <v>1930</v>
      </c>
      <c r="S370" s="13" t="s">
        <v>1930</v>
      </c>
      <c r="T370" s="13" t="s">
        <v>61</v>
      </c>
      <c r="U370" s="13"/>
    </row>
    <row r="371" customFormat="false" ht="18" hidden="false" customHeight="true" outlineLevel="0" collapsed="false">
      <c r="A371" s="13" t="n">
        <v>370</v>
      </c>
      <c r="B371" s="13" t="s">
        <v>2733</v>
      </c>
      <c r="C371" s="13" t="s">
        <v>255</v>
      </c>
      <c r="D371" s="13" t="s">
        <v>256</v>
      </c>
      <c r="E371" s="13" t="s">
        <v>161</v>
      </c>
      <c r="F371" s="13" t="s">
        <v>51</v>
      </c>
      <c r="G371" s="13" t="s">
        <v>285</v>
      </c>
      <c r="H371" s="13" t="s">
        <v>2734</v>
      </c>
      <c r="I371" s="13" t="s">
        <v>2735</v>
      </c>
      <c r="J371" s="13" t="s">
        <v>2736</v>
      </c>
      <c r="K371" s="13" t="s">
        <v>2737</v>
      </c>
      <c r="L371" s="13" t="s">
        <v>290</v>
      </c>
      <c r="M371" s="13" t="n">
        <v>62.4</v>
      </c>
      <c r="N371" s="13" t="n">
        <v>0.3</v>
      </c>
      <c r="O371" s="13" t="n">
        <v>277</v>
      </c>
      <c r="P371" s="13" t="s">
        <v>291</v>
      </c>
      <c r="Q371" s="13" t="s">
        <v>863</v>
      </c>
      <c r="R371" s="13" t="s">
        <v>2738</v>
      </c>
      <c r="S371" s="13" t="s">
        <v>2738</v>
      </c>
      <c r="T371" s="13" t="s">
        <v>61</v>
      </c>
      <c r="U371" s="13"/>
    </row>
    <row r="372" customFormat="false" ht="18" hidden="false" customHeight="true" outlineLevel="0" collapsed="false">
      <c r="A372" s="13" t="n">
        <v>371</v>
      </c>
      <c r="B372" s="13" t="s">
        <v>2739</v>
      </c>
      <c r="C372" s="13" t="s">
        <v>159</v>
      </c>
      <c r="D372" s="13" t="s">
        <v>160</v>
      </c>
      <c r="E372" s="13" t="s">
        <v>79</v>
      </c>
      <c r="F372" s="13" t="s">
        <v>956</v>
      </c>
      <c r="G372" s="13" t="s">
        <v>128</v>
      </c>
      <c r="H372" s="13" t="s">
        <v>2740</v>
      </c>
      <c r="I372" s="13" t="s">
        <v>2741</v>
      </c>
      <c r="J372" s="13" t="s">
        <v>2742</v>
      </c>
      <c r="K372" s="13" t="s">
        <v>2743</v>
      </c>
      <c r="L372" s="13" t="s">
        <v>1000</v>
      </c>
      <c r="M372" s="13" t="n">
        <v>2370.74</v>
      </c>
      <c r="N372" s="13" t="n">
        <v>1.39</v>
      </c>
      <c r="O372" s="13" t="n">
        <v>109</v>
      </c>
      <c r="P372" s="13" t="s">
        <v>1001</v>
      </c>
      <c r="Q372" s="13" t="s">
        <v>1497</v>
      </c>
      <c r="R372" s="13" t="s">
        <v>644</v>
      </c>
      <c r="S372" s="13" t="s">
        <v>644</v>
      </c>
      <c r="T372" s="13" t="s">
        <v>61</v>
      </c>
      <c r="U372" s="13"/>
    </row>
    <row r="373" customFormat="false" ht="18" hidden="false" customHeight="true" outlineLevel="0" collapsed="false">
      <c r="A373" s="13" t="n">
        <v>372</v>
      </c>
      <c r="B373" s="13" t="s">
        <v>2744</v>
      </c>
      <c r="C373" s="13" t="s">
        <v>125</v>
      </c>
      <c r="D373" s="13" t="s">
        <v>126</v>
      </c>
      <c r="E373" s="13" t="s">
        <v>91</v>
      </c>
      <c r="F373" s="13" t="s">
        <v>780</v>
      </c>
      <c r="G373" s="13" t="s">
        <v>93</v>
      </c>
      <c r="H373" s="13" t="s">
        <v>2745</v>
      </c>
      <c r="I373" s="13" t="s">
        <v>2746</v>
      </c>
      <c r="J373" s="13" t="s">
        <v>2747</v>
      </c>
      <c r="K373" s="13" t="s">
        <v>2748</v>
      </c>
      <c r="L373" s="13" t="s">
        <v>1675</v>
      </c>
      <c r="M373" s="13" t="n">
        <v>684.09</v>
      </c>
      <c r="N373" s="13" t="n">
        <v>47.39</v>
      </c>
      <c r="O373" s="13" t="n">
        <v>253</v>
      </c>
      <c r="P373" s="13" t="s">
        <v>1676</v>
      </c>
      <c r="Q373" s="13" t="s">
        <v>2651</v>
      </c>
      <c r="R373" s="13" t="s">
        <v>1899</v>
      </c>
      <c r="S373" s="13" t="s">
        <v>1899</v>
      </c>
      <c r="T373" s="13" t="s">
        <v>61</v>
      </c>
      <c r="U373" s="13"/>
    </row>
    <row r="374" customFormat="false" ht="18" hidden="false" customHeight="true" outlineLevel="0" collapsed="false">
      <c r="A374" s="15" t="n">
        <v>373</v>
      </c>
      <c r="B374" s="15" t="s">
        <v>2749</v>
      </c>
      <c r="C374" s="15" t="s">
        <v>159</v>
      </c>
      <c r="D374" s="15" t="s">
        <v>160</v>
      </c>
      <c r="E374" s="15" t="s">
        <v>79</v>
      </c>
      <c r="F374" s="15" t="s">
        <v>51</v>
      </c>
      <c r="G374" s="15" t="s">
        <v>562</v>
      </c>
      <c r="H374" s="15" t="s">
        <v>2750</v>
      </c>
      <c r="I374" s="15" t="s">
        <v>2751</v>
      </c>
      <c r="J374" s="15" t="s">
        <v>2752</v>
      </c>
      <c r="K374" s="15" t="s">
        <v>2753</v>
      </c>
      <c r="L374" s="15" t="s">
        <v>2754</v>
      </c>
      <c r="M374" s="15" t="n">
        <v>17376.91</v>
      </c>
      <c r="N374" s="15" t="n">
        <v>2.05</v>
      </c>
      <c r="O374" s="15" t="n">
        <v>314</v>
      </c>
      <c r="P374" s="15" t="s">
        <v>2755</v>
      </c>
      <c r="Q374" s="15" t="s">
        <v>2756</v>
      </c>
      <c r="R374" s="15" t="s">
        <v>2757</v>
      </c>
      <c r="S374" s="15" t="s">
        <v>2757</v>
      </c>
      <c r="T374" s="15" t="s">
        <v>61</v>
      </c>
      <c r="U374" s="15" t="s">
        <v>343</v>
      </c>
    </row>
    <row r="375" customFormat="false" ht="18" hidden="false" customHeight="true" outlineLevel="0" collapsed="false">
      <c r="A375" s="13" t="n">
        <v>374</v>
      </c>
      <c r="B375" s="13" t="s">
        <v>2758</v>
      </c>
      <c r="C375" s="13" t="s">
        <v>77</v>
      </c>
      <c r="D375" s="13" t="s">
        <v>78</v>
      </c>
      <c r="E375" s="13" t="s">
        <v>79</v>
      </c>
      <c r="F375" s="13" t="s">
        <v>465</v>
      </c>
      <c r="G375" s="13" t="s">
        <v>80</v>
      </c>
      <c r="H375" s="13" t="s">
        <v>2759</v>
      </c>
      <c r="I375" s="13" t="s">
        <v>2760</v>
      </c>
      <c r="J375" s="13" t="s">
        <v>2761</v>
      </c>
      <c r="K375" s="13" t="s">
        <v>2762</v>
      </c>
      <c r="L375" s="13" t="s">
        <v>470</v>
      </c>
      <c r="M375" s="13" t="n">
        <v>1146.8</v>
      </c>
      <c r="N375" s="13" t="n">
        <v>2.27</v>
      </c>
      <c r="O375" s="13" t="n">
        <v>486</v>
      </c>
      <c r="P375" s="13" t="s">
        <v>471</v>
      </c>
      <c r="Q375" s="13" t="s">
        <v>1893</v>
      </c>
      <c r="R375" s="13" t="s">
        <v>304</v>
      </c>
      <c r="S375" s="13" t="s">
        <v>304</v>
      </c>
      <c r="T375" s="13" t="s">
        <v>61</v>
      </c>
      <c r="U375" s="13"/>
    </row>
    <row r="376" customFormat="false" ht="18" hidden="false" customHeight="true" outlineLevel="0" collapsed="false">
      <c r="A376" s="13" t="n">
        <v>375</v>
      </c>
      <c r="B376" s="13" t="s">
        <v>2763</v>
      </c>
      <c r="C376" s="13" t="s">
        <v>63</v>
      </c>
      <c r="D376" s="13" t="s">
        <v>64</v>
      </c>
      <c r="E376" s="13" t="s">
        <v>161</v>
      </c>
      <c r="F376" s="13" t="s">
        <v>306</v>
      </c>
      <c r="G376" s="13" t="s">
        <v>257</v>
      </c>
      <c r="H376" s="13" t="s">
        <v>2764</v>
      </c>
      <c r="I376" s="13" t="s">
        <v>2765</v>
      </c>
      <c r="J376" s="13" t="s">
        <v>2766</v>
      </c>
      <c r="K376" s="13" t="s">
        <v>2767</v>
      </c>
      <c r="L376" s="13" t="s">
        <v>320</v>
      </c>
      <c r="M376" s="13" t="n">
        <v>456.36</v>
      </c>
      <c r="N376" s="13" t="n">
        <v>0.39</v>
      </c>
      <c r="O376" s="13" t="n">
        <v>209</v>
      </c>
      <c r="P376" s="13" t="s">
        <v>321</v>
      </c>
      <c r="Q376" s="13" t="s">
        <v>1723</v>
      </c>
      <c r="R376" s="13" t="s">
        <v>644</v>
      </c>
      <c r="S376" s="13" t="s">
        <v>644</v>
      </c>
      <c r="T376" s="13" t="s">
        <v>61</v>
      </c>
      <c r="U376" s="13"/>
    </row>
    <row r="377" customFormat="false" ht="18" hidden="false" customHeight="true" outlineLevel="0" collapsed="false">
      <c r="A377" s="15" t="n">
        <v>376</v>
      </c>
      <c r="B377" s="15" t="s">
        <v>2768</v>
      </c>
      <c r="C377" s="15" t="s">
        <v>77</v>
      </c>
      <c r="D377" s="15" t="s">
        <v>78</v>
      </c>
      <c r="E377" s="15" t="s">
        <v>65</v>
      </c>
      <c r="F377" s="15" t="s">
        <v>438</v>
      </c>
      <c r="G377" s="15" t="s">
        <v>103</v>
      </c>
      <c r="H377" s="15" t="s">
        <v>2769</v>
      </c>
      <c r="I377" s="15" t="s">
        <v>2770</v>
      </c>
      <c r="J377" s="15" t="s">
        <v>2771</v>
      </c>
      <c r="K377" s="15" t="s">
        <v>2772</v>
      </c>
      <c r="L377" s="15" t="s">
        <v>2221</v>
      </c>
      <c r="M377" s="15" t="n">
        <v>297.73</v>
      </c>
      <c r="N377" s="15" t="n">
        <v>1.28</v>
      </c>
      <c r="O377" s="15" t="n">
        <v>78</v>
      </c>
      <c r="P377" s="15" t="s">
        <v>2222</v>
      </c>
      <c r="Q377" s="15" t="s">
        <v>652</v>
      </c>
      <c r="R377" s="15" t="s">
        <v>452</v>
      </c>
      <c r="S377" s="15" t="s">
        <v>452</v>
      </c>
      <c r="T377" s="15" t="s">
        <v>61</v>
      </c>
      <c r="U377" s="15" t="s">
        <v>778</v>
      </c>
    </row>
    <row r="378" customFormat="false" ht="18" hidden="false" customHeight="true" outlineLevel="0" collapsed="false">
      <c r="A378" s="13" t="n">
        <v>377</v>
      </c>
      <c r="B378" s="13" t="s">
        <v>2773</v>
      </c>
      <c r="C378" s="13" t="s">
        <v>113</v>
      </c>
      <c r="D378" s="13" t="s">
        <v>114</v>
      </c>
      <c r="E378" s="13" t="s">
        <v>79</v>
      </c>
      <c r="F378" s="13" t="s">
        <v>465</v>
      </c>
      <c r="G378" s="13" t="s">
        <v>80</v>
      </c>
      <c r="H378" s="13" t="s">
        <v>2774</v>
      </c>
      <c r="I378" s="13" t="s">
        <v>2775</v>
      </c>
      <c r="J378" s="13" t="s">
        <v>2776</v>
      </c>
      <c r="K378" s="13" t="s">
        <v>2777</v>
      </c>
      <c r="L378" s="13" t="s">
        <v>470</v>
      </c>
      <c r="M378" s="13" t="n">
        <v>2153.9</v>
      </c>
      <c r="N378" s="13" t="n">
        <v>1.53</v>
      </c>
      <c r="O378" s="13" t="n">
        <v>424</v>
      </c>
      <c r="P378" s="13" t="s">
        <v>471</v>
      </c>
      <c r="Q378" s="13" t="s">
        <v>2778</v>
      </c>
      <c r="R378" s="13" t="s">
        <v>2757</v>
      </c>
      <c r="S378" s="13" t="s">
        <v>2757</v>
      </c>
      <c r="T378" s="13" t="s">
        <v>61</v>
      </c>
      <c r="U378" s="13"/>
    </row>
    <row r="379" customFormat="false" ht="18" hidden="false" customHeight="true" outlineLevel="0" collapsed="false">
      <c r="A379" s="13" t="n">
        <v>378</v>
      </c>
      <c r="B379" s="13" t="s">
        <v>2779</v>
      </c>
      <c r="C379" s="13" t="s">
        <v>173</v>
      </c>
      <c r="D379" s="13" t="s">
        <v>174</v>
      </c>
      <c r="E379" s="13" t="s">
        <v>91</v>
      </c>
      <c r="F379" s="13" t="s">
        <v>419</v>
      </c>
      <c r="G379" s="13" t="s">
        <v>186</v>
      </c>
      <c r="H379" s="13" t="s">
        <v>2780</v>
      </c>
      <c r="I379" s="13" t="s">
        <v>2781</v>
      </c>
      <c r="J379" s="13" t="s">
        <v>2782</v>
      </c>
      <c r="K379" s="13" t="s">
        <v>2783</v>
      </c>
      <c r="L379" s="13" t="s">
        <v>2784</v>
      </c>
      <c r="M379" s="13" t="n">
        <v>841.67</v>
      </c>
      <c r="N379" s="13" t="n">
        <v>9.28</v>
      </c>
      <c r="O379" s="13" t="n">
        <v>263</v>
      </c>
      <c r="P379" s="13" t="s">
        <v>2785</v>
      </c>
      <c r="Q379" s="13" t="s">
        <v>2786</v>
      </c>
      <c r="R379" s="13" t="s">
        <v>1772</v>
      </c>
      <c r="S379" s="13" t="s">
        <v>1772</v>
      </c>
      <c r="T379" s="13" t="s">
        <v>61</v>
      </c>
      <c r="U379" s="13"/>
    </row>
    <row r="380" customFormat="false" ht="18" hidden="false" customHeight="true" outlineLevel="0" collapsed="false">
      <c r="A380" s="15" t="n">
        <v>379</v>
      </c>
      <c r="B380" s="15" t="s">
        <v>2787</v>
      </c>
      <c r="C380" s="15" t="s">
        <v>48</v>
      </c>
      <c r="D380" s="15" t="s">
        <v>49</v>
      </c>
      <c r="E380" s="15" t="s">
        <v>161</v>
      </c>
      <c r="F380" s="15" t="s">
        <v>295</v>
      </c>
      <c r="G380" s="15" t="s">
        <v>296</v>
      </c>
      <c r="H380" s="15" t="s">
        <v>2788</v>
      </c>
      <c r="I380" s="15" t="s">
        <v>2789</v>
      </c>
      <c r="J380" s="15" t="s">
        <v>2790</v>
      </c>
      <c r="K380" s="15" t="s">
        <v>2791</v>
      </c>
      <c r="L380" s="15" t="s">
        <v>301</v>
      </c>
      <c r="M380" s="15" t="n">
        <v>3365.07</v>
      </c>
      <c r="N380" s="15" t="n">
        <v>0.34</v>
      </c>
      <c r="O380" s="15" t="n">
        <v>471</v>
      </c>
      <c r="P380" s="15" t="s">
        <v>302</v>
      </c>
      <c r="Q380" s="15" t="s">
        <v>1392</v>
      </c>
      <c r="R380" s="15" t="s">
        <v>1957</v>
      </c>
      <c r="S380" s="15" t="s">
        <v>1957</v>
      </c>
      <c r="T380" s="15" t="s">
        <v>61</v>
      </c>
      <c r="U380" s="15" t="s">
        <v>343</v>
      </c>
    </row>
    <row r="381" customFormat="false" ht="18" hidden="false" customHeight="true" outlineLevel="0" collapsed="false">
      <c r="A381" s="13" t="n">
        <v>380</v>
      </c>
      <c r="B381" s="13" t="s">
        <v>2792</v>
      </c>
      <c r="C381" s="13" t="s">
        <v>48</v>
      </c>
      <c r="D381" s="13" t="s">
        <v>49</v>
      </c>
      <c r="E381" s="13" t="s">
        <v>65</v>
      </c>
      <c r="F381" s="13" t="s">
        <v>115</v>
      </c>
      <c r="G381" s="13" t="s">
        <v>391</v>
      </c>
      <c r="H381" s="13" t="s">
        <v>2793</v>
      </c>
      <c r="I381" s="13" t="s">
        <v>2794</v>
      </c>
      <c r="J381" s="13" t="s">
        <v>2795</v>
      </c>
      <c r="K381" s="13" t="s">
        <v>2796</v>
      </c>
      <c r="L381" s="13" t="s">
        <v>2797</v>
      </c>
      <c r="M381" s="13" t="n">
        <v>130.58</v>
      </c>
      <c r="N381" s="13" t="n">
        <v>0.39</v>
      </c>
      <c r="O381" s="13" t="n">
        <v>97</v>
      </c>
      <c r="P381" s="13" t="s">
        <v>2798</v>
      </c>
      <c r="Q381" s="13" t="s">
        <v>2035</v>
      </c>
      <c r="R381" s="13" t="s">
        <v>541</v>
      </c>
      <c r="S381" s="13" t="s">
        <v>541</v>
      </c>
      <c r="T381" s="13" t="s">
        <v>61</v>
      </c>
      <c r="U381" s="13"/>
    </row>
    <row r="382" customFormat="false" ht="18" hidden="false" customHeight="true" outlineLevel="0" collapsed="false">
      <c r="A382" s="13" t="n">
        <v>381</v>
      </c>
      <c r="B382" s="13" t="s">
        <v>2799</v>
      </c>
      <c r="C382" s="13" t="s">
        <v>48</v>
      </c>
      <c r="D382" s="13" t="s">
        <v>49</v>
      </c>
      <c r="E382" s="13" t="s">
        <v>79</v>
      </c>
      <c r="F382" s="13" t="s">
        <v>196</v>
      </c>
      <c r="G382" s="13" t="s">
        <v>562</v>
      </c>
      <c r="H382" s="13" t="s">
        <v>2800</v>
      </c>
      <c r="I382" s="13" t="s">
        <v>2801</v>
      </c>
      <c r="J382" s="13" t="s">
        <v>2802</v>
      </c>
      <c r="K382" s="13" t="s">
        <v>2803</v>
      </c>
      <c r="L382" s="13" t="s">
        <v>2133</v>
      </c>
      <c r="M382" s="13" t="n">
        <v>586.6</v>
      </c>
      <c r="N382" s="13" t="n">
        <v>2.49</v>
      </c>
      <c r="O382" s="13" t="n">
        <v>52</v>
      </c>
      <c r="P382" s="13" t="s">
        <v>2134</v>
      </c>
      <c r="Q382" s="13" t="s">
        <v>2804</v>
      </c>
      <c r="R382" s="13" t="s">
        <v>1604</v>
      </c>
      <c r="S382" s="13" t="s">
        <v>1604</v>
      </c>
      <c r="T382" s="13" t="s">
        <v>61</v>
      </c>
      <c r="U382" s="13"/>
    </row>
    <row r="383" customFormat="false" ht="18" hidden="false" customHeight="true" outlineLevel="0" collapsed="false">
      <c r="A383" s="13" t="n">
        <v>382</v>
      </c>
      <c r="B383" s="13" t="s">
        <v>2805</v>
      </c>
      <c r="C383" s="13" t="s">
        <v>255</v>
      </c>
      <c r="D383" s="13" t="s">
        <v>256</v>
      </c>
      <c r="E383" s="13" t="s">
        <v>161</v>
      </c>
      <c r="F383" s="13" t="s">
        <v>306</v>
      </c>
      <c r="G383" s="13" t="s">
        <v>285</v>
      </c>
      <c r="H383" s="13" t="s">
        <v>2806</v>
      </c>
      <c r="I383" s="13" t="s">
        <v>2807</v>
      </c>
      <c r="J383" s="13" t="s">
        <v>2808</v>
      </c>
      <c r="K383" s="13" t="s">
        <v>2809</v>
      </c>
      <c r="L383" s="13" t="s">
        <v>1186</v>
      </c>
      <c r="M383" s="13" t="n">
        <v>290.34</v>
      </c>
      <c r="N383" s="13" t="n">
        <v>0.24</v>
      </c>
      <c r="O383" s="13" t="n">
        <v>482</v>
      </c>
      <c r="P383" s="13" t="s">
        <v>1187</v>
      </c>
      <c r="Q383" s="13" t="s">
        <v>2810</v>
      </c>
      <c r="R383" s="13" t="s">
        <v>978</v>
      </c>
      <c r="S383" s="13" t="s">
        <v>978</v>
      </c>
      <c r="T383" s="13" t="s">
        <v>61</v>
      </c>
      <c r="U383" s="13"/>
    </row>
    <row r="384" customFormat="false" ht="18" hidden="false" customHeight="true" outlineLevel="0" collapsed="false">
      <c r="A384" s="13" t="n">
        <v>383</v>
      </c>
      <c r="B384" s="13" t="s">
        <v>2811</v>
      </c>
      <c r="C384" s="13" t="s">
        <v>77</v>
      </c>
      <c r="D384" s="13" t="s">
        <v>78</v>
      </c>
      <c r="E384" s="13" t="s">
        <v>161</v>
      </c>
      <c r="F384" s="13" t="s">
        <v>51</v>
      </c>
      <c r="G384" s="13" t="s">
        <v>257</v>
      </c>
      <c r="H384" s="13" t="s">
        <v>2812</v>
      </c>
      <c r="I384" s="13" t="s">
        <v>2813</v>
      </c>
      <c r="J384" s="13" t="s">
        <v>2814</v>
      </c>
      <c r="K384" s="13" t="s">
        <v>2815</v>
      </c>
      <c r="L384" s="13" t="s">
        <v>2562</v>
      </c>
      <c r="M384" s="13" t="n">
        <v>439.59</v>
      </c>
      <c r="N384" s="13" t="n">
        <v>0.28</v>
      </c>
      <c r="O384" s="13" t="n">
        <v>27</v>
      </c>
      <c r="P384" s="13" t="s">
        <v>2563</v>
      </c>
      <c r="Q384" s="13" t="s">
        <v>1723</v>
      </c>
      <c r="R384" s="13" t="s">
        <v>157</v>
      </c>
      <c r="S384" s="13" t="s">
        <v>157</v>
      </c>
      <c r="T384" s="13" t="s">
        <v>61</v>
      </c>
      <c r="U384" s="13"/>
    </row>
    <row r="385" customFormat="false" ht="18" hidden="false" customHeight="true" outlineLevel="0" collapsed="false">
      <c r="A385" s="13" t="n">
        <v>384</v>
      </c>
      <c r="B385" s="13" t="s">
        <v>2816</v>
      </c>
      <c r="C385" s="13" t="s">
        <v>255</v>
      </c>
      <c r="D385" s="13" t="s">
        <v>256</v>
      </c>
      <c r="E385" s="13" t="s">
        <v>65</v>
      </c>
      <c r="F385" s="13" t="s">
        <v>390</v>
      </c>
      <c r="G385" s="13" t="s">
        <v>724</v>
      </c>
      <c r="H385" s="13" t="s">
        <v>2817</v>
      </c>
      <c r="I385" s="13" t="s">
        <v>2818</v>
      </c>
      <c r="J385" s="13" t="s">
        <v>2819</v>
      </c>
      <c r="K385" s="13" t="s">
        <v>2820</v>
      </c>
      <c r="L385" s="13" t="s">
        <v>2821</v>
      </c>
      <c r="M385" s="13" t="n">
        <v>324.27</v>
      </c>
      <c r="N385" s="13" t="n">
        <v>1.11</v>
      </c>
      <c r="O385" s="13" t="n">
        <v>479</v>
      </c>
      <c r="P385" s="13" t="s">
        <v>2822</v>
      </c>
      <c r="Q385" s="13" t="s">
        <v>686</v>
      </c>
      <c r="R385" s="13" t="s">
        <v>1652</v>
      </c>
      <c r="S385" s="13" t="s">
        <v>1652</v>
      </c>
      <c r="T385" s="13" t="s">
        <v>61</v>
      </c>
      <c r="U385" s="13"/>
    </row>
    <row r="386" customFormat="false" ht="18" hidden="false" customHeight="true" outlineLevel="0" collapsed="false">
      <c r="A386" s="15" t="n">
        <v>385</v>
      </c>
      <c r="B386" s="15" t="s">
        <v>2823</v>
      </c>
      <c r="C386" s="15" t="s">
        <v>48</v>
      </c>
      <c r="D386" s="15" t="s">
        <v>49</v>
      </c>
      <c r="E386" s="15" t="s">
        <v>50</v>
      </c>
      <c r="F386" s="15" t="s">
        <v>956</v>
      </c>
      <c r="G386" s="15" t="s">
        <v>562</v>
      </c>
      <c r="H386" s="15" t="s">
        <v>2824</v>
      </c>
      <c r="I386" s="15" t="s">
        <v>2825</v>
      </c>
      <c r="J386" s="15" t="s">
        <v>2826</v>
      </c>
      <c r="K386" s="15" t="s">
        <v>2827</v>
      </c>
      <c r="L386" s="15"/>
      <c r="M386" s="15" t="n">
        <v>440.65</v>
      </c>
      <c r="N386" s="15" t="n">
        <v>1.39</v>
      </c>
      <c r="O386" s="15" t="n">
        <v>444</v>
      </c>
      <c r="P386" s="15" t="s">
        <v>1290</v>
      </c>
      <c r="Q386" s="15" t="s">
        <v>740</v>
      </c>
      <c r="R386" s="15" t="s">
        <v>445</v>
      </c>
      <c r="S386" s="15" t="s">
        <v>445</v>
      </c>
      <c r="T386" s="15" t="s">
        <v>61</v>
      </c>
      <c r="U386" s="15" t="s">
        <v>453</v>
      </c>
    </row>
    <row r="387" customFormat="false" ht="18" hidden="false" customHeight="true" outlineLevel="0" collapsed="false">
      <c r="A387" s="13" t="n">
        <v>386</v>
      </c>
      <c r="B387" s="13" t="s">
        <v>2828</v>
      </c>
      <c r="C387" s="13" t="s">
        <v>63</v>
      </c>
      <c r="D387" s="13" t="s">
        <v>64</v>
      </c>
      <c r="E387" s="13" t="s">
        <v>79</v>
      </c>
      <c r="F387" s="13" t="s">
        <v>956</v>
      </c>
      <c r="G387" s="13" t="s">
        <v>80</v>
      </c>
      <c r="H387" s="13" t="s">
        <v>2829</v>
      </c>
      <c r="I387" s="13" t="s">
        <v>2830</v>
      </c>
      <c r="J387" s="13" t="s">
        <v>2831</v>
      </c>
      <c r="K387" s="13" t="s">
        <v>2832</v>
      </c>
      <c r="L387" s="13" t="s">
        <v>85</v>
      </c>
      <c r="M387" s="13" t="n">
        <v>1603.14</v>
      </c>
      <c r="N387" s="13" t="n">
        <v>2.34</v>
      </c>
      <c r="O387" s="13" t="n">
        <v>213</v>
      </c>
      <c r="P387" s="13" t="s">
        <v>86</v>
      </c>
      <c r="Q387" s="13" t="s">
        <v>993</v>
      </c>
      <c r="R387" s="13" t="s">
        <v>1786</v>
      </c>
      <c r="S387" s="13" t="s">
        <v>1786</v>
      </c>
      <c r="T387" s="13" t="s">
        <v>61</v>
      </c>
      <c r="U387" s="13"/>
    </row>
    <row r="388" customFormat="false" ht="18" hidden="false" customHeight="true" outlineLevel="0" collapsed="false">
      <c r="A388" s="13" t="n">
        <v>387</v>
      </c>
      <c r="B388" s="13" t="s">
        <v>2833</v>
      </c>
      <c r="C388" s="13" t="s">
        <v>159</v>
      </c>
      <c r="D388" s="13" t="s">
        <v>160</v>
      </c>
      <c r="E388" s="13" t="s">
        <v>161</v>
      </c>
      <c r="F388" s="13" t="s">
        <v>185</v>
      </c>
      <c r="G388" s="13" t="s">
        <v>296</v>
      </c>
      <c r="H388" s="13" t="s">
        <v>2834</v>
      </c>
      <c r="I388" s="13" t="s">
        <v>2835</v>
      </c>
      <c r="J388" s="13" t="s">
        <v>2836</v>
      </c>
      <c r="K388" s="13" t="s">
        <v>2837</v>
      </c>
      <c r="L388" s="13" t="s">
        <v>1390</v>
      </c>
      <c r="M388" s="13" t="n">
        <v>181.45</v>
      </c>
      <c r="N388" s="13" t="n">
        <v>0.44</v>
      </c>
      <c r="O388" s="13" t="n">
        <v>277</v>
      </c>
      <c r="P388" s="13" t="s">
        <v>1391</v>
      </c>
      <c r="Q388" s="13" t="s">
        <v>490</v>
      </c>
      <c r="R388" s="13" t="s">
        <v>2838</v>
      </c>
      <c r="S388" s="13" t="s">
        <v>2838</v>
      </c>
      <c r="T388" s="13" t="s">
        <v>61</v>
      </c>
      <c r="U388" s="13"/>
    </row>
    <row r="389" customFormat="false" ht="18" hidden="false" customHeight="true" outlineLevel="0" collapsed="false">
      <c r="A389" s="13" t="n">
        <v>388</v>
      </c>
      <c r="B389" s="13" t="s">
        <v>2839</v>
      </c>
      <c r="C389" s="13" t="s">
        <v>48</v>
      </c>
      <c r="D389" s="13" t="s">
        <v>49</v>
      </c>
      <c r="E389" s="13" t="s">
        <v>91</v>
      </c>
      <c r="F389" s="13" t="s">
        <v>780</v>
      </c>
      <c r="G389" s="13" t="s">
        <v>743</v>
      </c>
      <c r="H389" s="13" t="s">
        <v>2840</v>
      </c>
      <c r="I389" s="13" t="s">
        <v>2841</v>
      </c>
      <c r="J389" s="13" t="s">
        <v>2842</v>
      </c>
      <c r="K389" s="13" t="s">
        <v>2843</v>
      </c>
      <c r="L389" s="13" t="s">
        <v>1447</v>
      </c>
      <c r="M389" s="13" t="n">
        <v>698.54</v>
      </c>
      <c r="N389" s="13" t="n">
        <v>11.45</v>
      </c>
      <c r="O389" s="13" t="n">
        <v>489</v>
      </c>
      <c r="P389" s="13" t="s">
        <v>1448</v>
      </c>
      <c r="Q389" s="13" t="s">
        <v>2844</v>
      </c>
      <c r="R389" s="13" t="s">
        <v>1814</v>
      </c>
      <c r="S389" s="13" t="s">
        <v>1814</v>
      </c>
      <c r="T389" s="13" t="s">
        <v>61</v>
      </c>
      <c r="U389" s="13"/>
    </row>
    <row r="390" customFormat="false" ht="18" hidden="false" customHeight="true" outlineLevel="0" collapsed="false">
      <c r="A390" s="13" t="n">
        <v>389</v>
      </c>
      <c r="B390" s="13" t="s">
        <v>2845</v>
      </c>
      <c r="C390" s="13" t="s">
        <v>255</v>
      </c>
      <c r="D390" s="13" t="s">
        <v>256</v>
      </c>
      <c r="E390" s="13" t="s">
        <v>50</v>
      </c>
      <c r="F390" s="13" t="s">
        <v>127</v>
      </c>
      <c r="G390" s="13" t="s">
        <v>689</v>
      </c>
      <c r="H390" s="13" t="s">
        <v>2846</v>
      </c>
      <c r="I390" s="13" t="s">
        <v>2847</v>
      </c>
      <c r="J390" s="13" t="s">
        <v>2848</v>
      </c>
      <c r="K390" s="13" t="s">
        <v>2849</v>
      </c>
      <c r="L390" s="13" t="s">
        <v>1970</v>
      </c>
      <c r="M390" s="13" t="n">
        <v>1255.03</v>
      </c>
      <c r="N390" s="13" t="n">
        <v>0.71</v>
      </c>
      <c r="O390" s="13" t="n">
        <v>21</v>
      </c>
      <c r="P390" s="13" t="s">
        <v>1971</v>
      </c>
      <c r="Q390" s="13" t="s">
        <v>2214</v>
      </c>
      <c r="R390" s="13" t="s">
        <v>225</v>
      </c>
      <c r="S390" s="13" t="s">
        <v>225</v>
      </c>
      <c r="T390" s="13" t="s">
        <v>61</v>
      </c>
      <c r="U390" s="13"/>
    </row>
    <row r="391" customFormat="false" ht="18" hidden="false" customHeight="true" outlineLevel="0" collapsed="false">
      <c r="A391" s="13" t="n">
        <v>390</v>
      </c>
      <c r="B391" s="13" t="s">
        <v>2850</v>
      </c>
      <c r="C391" s="13" t="s">
        <v>48</v>
      </c>
      <c r="D391" s="13" t="s">
        <v>49</v>
      </c>
      <c r="E391" s="13" t="s">
        <v>65</v>
      </c>
      <c r="F391" s="13" t="s">
        <v>245</v>
      </c>
      <c r="G391" s="13" t="s">
        <v>149</v>
      </c>
      <c r="H391" s="13" t="s">
        <v>2851</v>
      </c>
      <c r="I391" s="13" t="s">
        <v>2852</v>
      </c>
      <c r="J391" s="13" t="s">
        <v>2853</v>
      </c>
      <c r="K391" s="13" t="s">
        <v>249</v>
      </c>
      <c r="L391" s="13" t="s">
        <v>250</v>
      </c>
      <c r="M391" s="13" t="n">
        <v>201.89</v>
      </c>
      <c r="N391" s="13" t="n">
        <v>1.43</v>
      </c>
      <c r="O391" s="13" t="n">
        <v>225</v>
      </c>
      <c r="P391" s="13" t="s">
        <v>251</v>
      </c>
      <c r="Q391" s="13" t="s">
        <v>2854</v>
      </c>
      <c r="R391" s="13" t="s">
        <v>75</v>
      </c>
      <c r="S391" s="13" t="s">
        <v>75</v>
      </c>
      <c r="T391" s="13" t="s">
        <v>61</v>
      </c>
      <c r="U391" s="13"/>
    </row>
    <row r="392" customFormat="false" ht="18" hidden="false" customHeight="true" outlineLevel="0" collapsed="false">
      <c r="A392" s="13" t="n">
        <v>391</v>
      </c>
      <c r="B392" s="13" t="s">
        <v>2855</v>
      </c>
      <c r="C392" s="13" t="s">
        <v>159</v>
      </c>
      <c r="D392" s="13" t="s">
        <v>160</v>
      </c>
      <c r="E392" s="13" t="s">
        <v>91</v>
      </c>
      <c r="F392" s="13" t="s">
        <v>587</v>
      </c>
      <c r="G392" s="13" t="s">
        <v>139</v>
      </c>
      <c r="H392" s="13" t="s">
        <v>2856</v>
      </c>
      <c r="I392" s="13" t="s">
        <v>2857</v>
      </c>
      <c r="J392" s="13" t="s">
        <v>2858</v>
      </c>
      <c r="K392" s="13" t="s">
        <v>2859</v>
      </c>
      <c r="L392" s="13" t="s">
        <v>2860</v>
      </c>
      <c r="M392" s="13" t="n">
        <v>3806.05</v>
      </c>
      <c r="N392" s="13" t="n">
        <v>41.92</v>
      </c>
      <c r="O392" s="13" t="n">
        <v>135</v>
      </c>
      <c r="P392" s="13" t="s">
        <v>2861</v>
      </c>
      <c r="Q392" s="13" t="s">
        <v>2862</v>
      </c>
      <c r="R392" s="13" t="s">
        <v>1274</v>
      </c>
      <c r="S392" s="13" t="s">
        <v>1274</v>
      </c>
      <c r="T392" s="13" t="s">
        <v>61</v>
      </c>
      <c r="U392" s="13"/>
    </row>
    <row r="393" customFormat="false" ht="18" hidden="false" customHeight="true" outlineLevel="0" collapsed="false">
      <c r="A393" s="13" t="n">
        <v>392</v>
      </c>
      <c r="B393" s="13" t="s">
        <v>2863</v>
      </c>
      <c r="C393" s="13" t="s">
        <v>77</v>
      </c>
      <c r="D393" s="13" t="s">
        <v>78</v>
      </c>
      <c r="E393" s="13" t="s">
        <v>91</v>
      </c>
      <c r="F393" s="13" t="s">
        <v>92</v>
      </c>
      <c r="G393" s="13" t="s">
        <v>420</v>
      </c>
      <c r="H393" s="13" t="s">
        <v>2864</v>
      </c>
      <c r="I393" s="13" t="s">
        <v>2865</v>
      </c>
      <c r="J393" s="13" t="s">
        <v>2866</v>
      </c>
      <c r="K393" s="13" t="s">
        <v>2867</v>
      </c>
      <c r="L393" s="13" t="s">
        <v>1228</v>
      </c>
      <c r="M393" s="13" t="n">
        <v>1725.44</v>
      </c>
      <c r="N393" s="13" t="n">
        <v>38.2</v>
      </c>
      <c r="O393" s="13" t="n">
        <v>89</v>
      </c>
      <c r="P393" s="13" t="s">
        <v>1229</v>
      </c>
      <c r="Q393" s="13" t="s">
        <v>2868</v>
      </c>
      <c r="R393" s="13" t="s">
        <v>2869</v>
      </c>
      <c r="S393" s="13" t="s">
        <v>2869</v>
      </c>
      <c r="T393" s="13" t="s">
        <v>61</v>
      </c>
      <c r="U393" s="13"/>
    </row>
    <row r="394" customFormat="false" ht="18" hidden="false" customHeight="true" outlineLevel="0" collapsed="false">
      <c r="A394" s="13" t="n">
        <v>393</v>
      </c>
      <c r="B394" s="13" t="s">
        <v>2870</v>
      </c>
      <c r="C394" s="13" t="s">
        <v>77</v>
      </c>
      <c r="D394" s="13" t="s">
        <v>78</v>
      </c>
      <c r="E394" s="13" t="s">
        <v>50</v>
      </c>
      <c r="F394" s="13" t="s">
        <v>115</v>
      </c>
      <c r="G394" s="13" t="s">
        <v>808</v>
      </c>
      <c r="H394" s="13" t="s">
        <v>2871</v>
      </c>
      <c r="I394" s="13" t="s">
        <v>2872</v>
      </c>
      <c r="J394" s="13" t="s">
        <v>2873</v>
      </c>
      <c r="K394" s="13" t="s">
        <v>2874</v>
      </c>
      <c r="L394" s="13" t="s">
        <v>2339</v>
      </c>
      <c r="M394" s="13" t="n">
        <v>246.49</v>
      </c>
      <c r="N394" s="13" t="n">
        <v>0.49</v>
      </c>
      <c r="O394" s="13" t="n">
        <v>395</v>
      </c>
      <c r="P394" s="13" t="s">
        <v>2340</v>
      </c>
      <c r="Q394" s="13" t="s">
        <v>2875</v>
      </c>
      <c r="R394" s="13" t="s">
        <v>2876</v>
      </c>
      <c r="S394" s="13" t="s">
        <v>2876</v>
      </c>
      <c r="T394" s="13" t="s">
        <v>61</v>
      </c>
      <c r="U394" s="13"/>
    </row>
    <row r="395" customFormat="false" ht="18" hidden="false" customHeight="true" outlineLevel="0" collapsed="false">
      <c r="A395" s="13" t="n">
        <v>394</v>
      </c>
      <c r="B395" s="13" t="s">
        <v>2877</v>
      </c>
      <c r="C395" s="13" t="s">
        <v>255</v>
      </c>
      <c r="D395" s="13" t="s">
        <v>256</v>
      </c>
      <c r="E395" s="13" t="s">
        <v>161</v>
      </c>
      <c r="F395" s="13" t="s">
        <v>429</v>
      </c>
      <c r="G395" s="13" t="s">
        <v>296</v>
      </c>
      <c r="H395" s="13" t="s">
        <v>2878</v>
      </c>
      <c r="I395" s="13" t="s">
        <v>2879</v>
      </c>
      <c r="J395" s="13" t="s">
        <v>2880</v>
      </c>
      <c r="K395" s="13" t="s">
        <v>2881</v>
      </c>
      <c r="L395" s="13" t="s">
        <v>914</v>
      </c>
      <c r="M395" s="13" t="n">
        <v>380.14</v>
      </c>
      <c r="N395" s="13" t="n">
        <v>0.32</v>
      </c>
      <c r="O395" s="13" t="n">
        <v>133</v>
      </c>
      <c r="P395" s="13" t="s">
        <v>915</v>
      </c>
      <c r="Q395" s="13" t="s">
        <v>1569</v>
      </c>
      <c r="R395" s="13" t="s">
        <v>462</v>
      </c>
      <c r="S395" s="13" t="s">
        <v>462</v>
      </c>
      <c r="T395" s="13" t="s">
        <v>61</v>
      </c>
      <c r="U395" s="13"/>
    </row>
    <row r="396" customFormat="false" ht="18" hidden="false" customHeight="true" outlineLevel="0" collapsed="false">
      <c r="A396" s="13" t="n">
        <v>395</v>
      </c>
      <c r="B396" s="13" t="s">
        <v>2882</v>
      </c>
      <c r="C396" s="13" t="s">
        <v>77</v>
      </c>
      <c r="D396" s="13" t="s">
        <v>78</v>
      </c>
      <c r="E396" s="13" t="s">
        <v>79</v>
      </c>
      <c r="F396" s="13" t="s">
        <v>196</v>
      </c>
      <c r="G396" s="13" t="s">
        <v>514</v>
      </c>
      <c r="H396" s="13" t="s">
        <v>2883</v>
      </c>
      <c r="I396" s="13" t="s">
        <v>2884</v>
      </c>
      <c r="J396" s="13" t="s">
        <v>2885</v>
      </c>
      <c r="K396" s="13" t="s">
        <v>2886</v>
      </c>
      <c r="L396" s="13" t="s">
        <v>1456</v>
      </c>
      <c r="M396" s="13" t="n">
        <v>821.81</v>
      </c>
      <c r="N396" s="13" t="n">
        <v>2.11</v>
      </c>
      <c r="O396" s="13" t="n">
        <v>426</v>
      </c>
      <c r="P396" s="13" t="s">
        <v>1457</v>
      </c>
      <c r="Q396" s="13" t="s">
        <v>1325</v>
      </c>
      <c r="R396" s="13" t="s">
        <v>1517</v>
      </c>
      <c r="S396" s="13" t="s">
        <v>1517</v>
      </c>
      <c r="T396" s="13" t="s">
        <v>61</v>
      </c>
      <c r="U396" s="13"/>
    </row>
    <row r="397" customFormat="false" ht="18" hidden="false" customHeight="true" outlineLevel="0" collapsed="false">
      <c r="A397" s="13" t="n">
        <v>396</v>
      </c>
      <c r="B397" s="13" t="s">
        <v>2887</v>
      </c>
      <c r="C397" s="13" t="s">
        <v>48</v>
      </c>
      <c r="D397" s="13" t="s">
        <v>49</v>
      </c>
      <c r="E397" s="13" t="s">
        <v>79</v>
      </c>
      <c r="F397" s="13" t="s">
        <v>465</v>
      </c>
      <c r="G397" s="13" t="s">
        <v>760</v>
      </c>
      <c r="H397" s="13" t="s">
        <v>2888</v>
      </c>
      <c r="I397" s="13" t="s">
        <v>2889</v>
      </c>
      <c r="J397" s="13" t="s">
        <v>2890</v>
      </c>
      <c r="K397" s="13" t="s">
        <v>2891</v>
      </c>
      <c r="L397" s="13" t="s">
        <v>765</v>
      </c>
      <c r="M397" s="13" t="n">
        <v>1051.58</v>
      </c>
      <c r="N397" s="13" t="n">
        <v>1.22</v>
      </c>
      <c r="O397" s="13" t="n">
        <v>208</v>
      </c>
      <c r="P397" s="13" t="s">
        <v>766</v>
      </c>
      <c r="Q397" s="13" t="s">
        <v>2356</v>
      </c>
      <c r="R397" s="13" t="s">
        <v>2892</v>
      </c>
      <c r="S397" s="13" t="s">
        <v>2892</v>
      </c>
      <c r="T397" s="13" t="s">
        <v>61</v>
      </c>
      <c r="U397" s="13"/>
    </row>
    <row r="398" customFormat="false" ht="18" hidden="false" customHeight="true" outlineLevel="0" collapsed="false">
      <c r="A398" s="13" t="n">
        <v>397</v>
      </c>
      <c r="B398" s="13" t="s">
        <v>2893</v>
      </c>
      <c r="C398" s="13" t="s">
        <v>63</v>
      </c>
      <c r="D398" s="13" t="s">
        <v>64</v>
      </c>
      <c r="E398" s="13" t="s">
        <v>50</v>
      </c>
      <c r="F398" s="13" t="s">
        <v>115</v>
      </c>
      <c r="G398" s="13" t="s">
        <v>689</v>
      </c>
      <c r="H398" s="13" t="s">
        <v>2894</v>
      </c>
      <c r="I398" s="13" t="s">
        <v>2895</v>
      </c>
      <c r="J398" s="13" t="s">
        <v>2896</v>
      </c>
      <c r="K398" s="13" t="s">
        <v>2897</v>
      </c>
      <c r="L398" s="13" t="s">
        <v>694</v>
      </c>
      <c r="M398" s="13" t="n">
        <v>457.59</v>
      </c>
      <c r="N398" s="13" t="n">
        <v>0.54</v>
      </c>
      <c r="O398" s="13" t="n">
        <v>471</v>
      </c>
      <c r="P398" s="13" t="s">
        <v>695</v>
      </c>
      <c r="Q398" s="13" t="s">
        <v>2898</v>
      </c>
      <c r="R398" s="13" t="s">
        <v>2899</v>
      </c>
      <c r="S398" s="13" t="s">
        <v>2899</v>
      </c>
      <c r="T398" s="13" t="s">
        <v>61</v>
      </c>
      <c r="U398" s="13"/>
    </row>
    <row r="399" customFormat="false" ht="18" hidden="false" customHeight="true" outlineLevel="0" collapsed="false">
      <c r="A399" s="14" t="n">
        <v>398</v>
      </c>
      <c r="B399" s="14" t="s">
        <v>2900</v>
      </c>
      <c r="C399" s="14" t="s">
        <v>125</v>
      </c>
      <c r="D399" s="14" t="s">
        <v>126</v>
      </c>
      <c r="E399" s="14" t="s">
        <v>50</v>
      </c>
      <c r="F399" s="14" t="s">
        <v>51</v>
      </c>
      <c r="G399" s="14" t="s">
        <v>352</v>
      </c>
      <c r="H399" s="14" t="s">
        <v>2901</v>
      </c>
      <c r="I399" s="14" t="s">
        <v>2902</v>
      </c>
      <c r="J399" s="14" t="s">
        <v>2903</v>
      </c>
      <c r="K399" s="14" t="s">
        <v>2904</v>
      </c>
      <c r="L399" s="14" t="s">
        <v>357</v>
      </c>
      <c r="M399" s="14" t="n">
        <v>171.76</v>
      </c>
      <c r="N399" s="14" t="n">
        <v>0.79</v>
      </c>
      <c r="O399" s="14" t="n">
        <v>243</v>
      </c>
      <c r="P399" s="14"/>
      <c r="Q399" s="14" t="s">
        <v>1378</v>
      </c>
      <c r="R399" s="14" t="s">
        <v>1795</v>
      </c>
      <c r="S399" s="14" t="s">
        <v>1795</v>
      </c>
      <c r="T399" s="14" t="s">
        <v>61</v>
      </c>
      <c r="U399" s="14" t="s">
        <v>1014</v>
      </c>
    </row>
    <row r="400" customFormat="false" ht="18" hidden="false" customHeight="true" outlineLevel="0" collapsed="false">
      <c r="A400" s="13" t="n">
        <v>399</v>
      </c>
      <c r="B400" s="13" t="s">
        <v>2905</v>
      </c>
      <c r="C400" s="13" t="s">
        <v>159</v>
      </c>
      <c r="D400" s="13" t="s">
        <v>160</v>
      </c>
      <c r="E400" s="13" t="s">
        <v>50</v>
      </c>
      <c r="F400" s="13" t="s">
        <v>51</v>
      </c>
      <c r="G400" s="13" t="s">
        <v>689</v>
      </c>
      <c r="H400" s="13" t="s">
        <v>2906</v>
      </c>
      <c r="I400" s="13" t="s">
        <v>2907</v>
      </c>
      <c r="J400" s="13" t="s">
        <v>2908</v>
      </c>
      <c r="K400" s="13" t="s">
        <v>2909</v>
      </c>
      <c r="L400" s="13" t="s">
        <v>803</v>
      </c>
      <c r="M400" s="13" t="n">
        <v>1140.3</v>
      </c>
      <c r="N400" s="13" t="n">
        <v>0.72</v>
      </c>
      <c r="O400" s="13" t="n">
        <v>2</v>
      </c>
      <c r="P400" s="13" t="s">
        <v>804</v>
      </c>
      <c r="Q400" s="13" t="s">
        <v>1866</v>
      </c>
      <c r="R400" s="13" t="s">
        <v>136</v>
      </c>
      <c r="S400" s="13" t="s">
        <v>136</v>
      </c>
      <c r="T400" s="13" t="s">
        <v>61</v>
      </c>
      <c r="U400" s="13"/>
    </row>
    <row r="401" customFormat="false" ht="18" hidden="false" customHeight="true" outlineLevel="0" collapsed="false">
      <c r="A401" s="13" t="n">
        <v>400</v>
      </c>
      <c r="B401" s="13" t="s">
        <v>2910</v>
      </c>
      <c r="C401" s="13" t="s">
        <v>63</v>
      </c>
      <c r="D401" s="13" t="s">
        <v>64</v>
      </c>
      <c r="E401" s="13" t="s">
        <v>79</v>
      </c>
      <c r="F401" s="13" t="s">
        <v>956</v>
      </c>
      <c r="G401" s="13" t="s">
        <v>733</v>
      </c>
      <c r="H401" s="13" t="s">
        <v>2911</v>
      </c>
      <c r="I401" s="13" t="s">
        <v>2912</v>
      </c>
      <c r="J401" s="13" t="s">
        <v>2913</v>
      </c>
      <c r="K401" s="13" t="s">
        <v>2914</v>
      </c>
      <c r="L401" s="13" t="s">
        <v>2915</v>
      </c>
      <c r="M401" s="13" t="n">
        <v>1739.2</v>
      </c>
      <c r="N401" s="13" t="n">
        <v>2.76</v>
      </c>
      <c r="O401" s="13" t="n">
        <v>242</v>
      </c>
      <c r="P401" s="13" t="s">
        <v>2916</v>
      </c>
      <c r="Q401" s="13" t="s">
        <v>2917</v>
      </c>
      <c r="R401" s="13" t="s">
        <v>1772</v>
      </c>
      <c r="S401" s="13" t="s">
        <v>1772</v>
      </c>
      <c r="T401" s="13" t="s">
        <v>61</v>
      </c>
      <c r="U401" s="13"/>
    </row>
    <row r="402" customFormat="false" ht="18" hidden="false" customHeight="true" outlineLevel="0" collapsed="false">
      <c r="A402" s="13" t="n">
        <v>401</v>
      </c>
      <c r="B402" s="13" t="s">
        <v>2918</v>
      </c>
      <c r="C402" s="13" t="s">
        <v>125</v>
      </c>
      <c r="D402" s="13" t="s">
        <v>126</v>
      </c>
      <c r="E402" s="13" t="s">
        <v>161</v>
      </c>
      <c r="F402" s="13" t="s">
        <v>822</v>
      </c>
      <c r="G402" s="13" t="s">
        <v>257</v>
      </c>
      <c r="H402" s="13" t="s">
        <v>2919</v>
      </c>
      <c r="I402" s="13" t="s">
        <v>2920</v>
      </c>
      <c r="J402" s="13" t="s">
        <v>2921</v>
      </c>
      <c r="K402" s="13" t="s">
        <v>2922</v>
      </c>
      <c r="L402" s="13" t="s">
        <v>826</v>
      </c>
      <c r="M402" s="13" t="n">
        <v>51.72</v>
      </c>
      <c r="N402" s="13" t="n">
        <v>0.29</v>
      </c>
      <c r="O402" s="13" t="n">
        <v>368</v>
      </c>
      <c r="P402" s="13" t="s">
        <v>827</v>
      </c>
      <c r="Q402" s="13" t="s">
        <v>2923</v>
      </c>
      <c r="R402" s="13" t="s">
        <v>585</v>
      </c>
      <c r="S402" s="13" t="s">
        <v>585</v>
      </c>
      <c r="T402" s="13" t="s">
        <v>61</v>
      </c>
      <c r="U402" s="13"/>
    </row>
    <row r="403" customFormat="false" ht="18" hidden="false" customHeight="true" outlineLevel="0" collapsed="false">
      <c r="A403" s="13" t="n">
        <v>402</v>
      </c>
      <c r="B403" s="13" t="s">
        <v>2924</v>
      </c>
      <c r="C403" s="13" t="s">
        <v>255</v>
      </c>
      <c r="D403" s="13" t="s">
        <v>256</v>
      </c>
      <c r="E403" s="13" t="s">
        <v>50</v>
      </c>
      <c r="F403" s="13" t="s">
        <v>115</v>
      </c>
      <c r="G403" s="13" t="s">
        <v>808</v>
      </c>
      <c r="H403" s="13" t="s">
        <v>2925</v>
      </c>
      <c r="I403" s="13" t="s">
        <v>2926</v>
      </c>
      <c r="J403" s="13" t="s">
        <v>2927</v>
      </c>
      <c r="K403" s="13" t="s">
        <v>2928</v>
      </c>
      <c r="L403" s="13" t="s">
        <v>2339</v>
      </c>
      <c r="M403" s="13" t="n">
        <v>309.95</v>
      </c>
      <c r="N403" s="13" t="n">
        <v>0.63</v>
      </c>
      <c r="O403" s="13" t="n">
        <v>94</v>
      </c>
      <c r="P403" s="13" t="s">
        <v>2340</v>
      </c>
      <c r="Q403" s="13" t="s">
        <v>2929</v>
      </c>
      <c r="R403" s="13" t="s">
        <v>1777</v>
      </c>
      <c r="S403" s="13" t="s">
        <v>1777</v>
      </c>
      <c r="T403" s="13" t="s">
        <v>61</v>
      </c>
      <c r="U403" s="13"/>
    </row>
    <row r="404" customFormat="false" ht="18" hidden="false" customHeight="true" outlineLevel="0" collapsed="false">
      <c r="A404" s="13" t="n">
        <v>403</v>
      </c>
      <c r="B404" s="13" t="s">
        <v>2930</v>
      </c>
      <c r="C404" s="13" t="s">
        <v>173</v>
      </c>
      <c r="D404" s="13" t="s">
        <v>174</v>
      </c>
      <c r="E404" s="13" t="s">
        <v>79</v>
      </c>
      <c r="F404" s="13" t="s">
        <v>956</v>
      </c>
      <c r="G404" s="13" t="s">
        <v>197</v>
      </c>
      <c r="H404" s="13" t="s">
        <v>2931</v>
      </c>
      <c r="I404" s="13" t="s">
        <v>2932</v>
      </c>
      <c r="J404" s="13" t="s">
        <v>2933</v>
      </c>
      <c r="K404" s="13" t="s">
        <v>2934</v>
      </c>
      <c r="L404" s="13" t="s">
        <v>1045</v>
      </c>
      <c r="M404" s="13" t="n">
        <v>1702.18</v>
      </c>
      <c r="N404" s="13" t="n">
        <v>2.45</v>
      </c>
      <c r="O404" s="13" t="n">
        <v>445</v>
      </c>
      <c r="P404" s="13" t="s">
        <v>1046</v>
      </c>
      <c r="Q404" s="13" t="s">
        <v>2935</v>
      </c>
      <c r="R404" s="13" t="s">
        <v>2434</v>
      </c>
      <c r="S404" s="13" t="s">
        <v>2434</v>
      </c>
      <c r="T404" s="13" t="s">
        <v>61</v>
      </c>
      <c r="U404" s="13"/>
    </row>
    <row r="405" customFormat="false" ht="18" hidden="false" customHeight="true" outlineLevel="0" collapsed="false">
      <c r="A405" s="13" t="n">
        <v>404</v>
      </c>
      <c r="B405" s="13" t="s">
        <v>2936</v>
      </c>
      <c r="C405" s="13" t="s">
        <v>113</v>
      </c>
      <c r="D405" s="13" t="s">
        <v>114</v>
      </c>
      <c r="E405" s="13" t="s">
        <v>50</v>
      </c>
      <c r="F405" s="13" t="s">
        <v>127</v>
      </c>
      <c r="G405" s="13" t="s">
        <v>352</v>
      </c>
      <c r="H405" s="13" t="s">
        <v>2937</v>
      </c>
      <c r="I405" s="13" t="s">
        <v>2938</v>
      </c>
      <c r="J405" s="13" t="s">
        <v>2939</v>
      </c>
      <c r="K405" s="13" t="s">
        <v>2940</v>
      </c>
      <c r="L405" s="13" t="s">
        <v>582</v>
      </c>
      <c r="M405" s="13" t="n">
        <v>1212.03</v>
      </c>
      <c r="N405" s="13" t="n">
        <v>0.77</v>
      </c>
      <c r="O405" s="13" t="n">
        <v>466</v>
      </c>
      <c r="P405" s="13" t="s">
        <v>583</v>
      </c>
      <c r="Q405" s="13" t="s">
        <v>1194</v>
      </c>
      <c r="R405" s="13" t="s">
        <v>595</v>
      </c>
      <c r="S405" s="13" t="s">
        <v>595</v>
      </c>
      <c r="T405" s="13" t="s">
        <v>61</v>
      </c>
      <c r="U405" s="13"/>
    </row>
    <row r="406" customFormat="false" ht="18" hidden="false" customHeight="true" outlineLevel="0" collapsed="false">
      <c r="A406" s="13" t="n">
        <v>405</v>
      </c>
      <c r="B406" s="13" t="s">
        <v>2941</v>
      </c>
      <c r="C406" s="13" t="s">
        <v>48</v>
      </c>
      <c r="D406" s="13" t="s">
        <v>49</v>
      </c>
      <c r="E406" s="13" t="s">
        <v>65</v>
      </c>
      <c r="F406" s="13" t="s">
        <v>390</v>
      </c>
      <c r="G406" s="13" t="s">
        <v>67</v>
      </c>
      <c r="H406" s="13" t="s">
        <v>2942</v>
      </c>
      <c r="I406" s="13" t="s">
        <v>2943</v>
      </c>
      <c r="J406" s="13" t="s">
        <v>2944</v>
      </c>
      <c r="K406" s="13" t="s">
        <v>1750</v>
      </c>
      <c r="L406" s="13" t="s">
        <v>1751</v>
      </c>
      <c r="M406" s="13" t="n">
        <v>62.67</v>
      </c>
      <c r="N406" s="13" t="n">
        <v>1.19</v>
      </c>
      <c r="O406" s="13" t="n">
        <v>165</v>
      </c>
      <c r="P406" s="13" t="s">
        <v>1752</v>
      </c>
      <c r="Q406" s="13" t="s">
        <v>2854</v>
      </c>
      <c r="R406" s="13" t="s">
        <v>2945</v>
      </c>
      <c r="S406" s="13" t="s">
        <v>2945</v>
      </c>
      <c r="T406" s="13" t="s">
        <v>61</v>
      </c>
      <c r="U406" s="13"/>
    </row>
    <row r="407" customFormat="false" ht="18" hidden="false" customHeight="true" outlineLevel="0" collapsed="false">
      <c r="A407" s="13" t="n">
        <v>406</v>
      </c>
      <c r="B407" s="13" t="s">
        <v>2946</v>
      </c>
      <c r="C407" s="13" t="s">
        <v>113</v>
      </c>
      <c r="D407" s="13" t="s">
        <v>114</v>
      </c>
      <c r="E407" s="13" t="s">
        <v>50</v>
      </c>
      <c r="F407" s="13" t="s">
        <v>51</v>
      </c>
      <c r="G407" s="13" t="s">
        <v>52</v>
      </c>
      <c r="H407" s="13" t="s">
        <v>2947</v>
      </c>
      <c r="I407" s="13" t="s">
        <v>2948</v>
      </c>
      <c r="J407" s="13" t="s">
        <v>2949</v>
      </c>
      <c r="K407" s="13" t="s">
        <v>269</v>
      </c>
      <c r="L407" s="13" t="s">
        <v>57</v>
      </c>
      <c r="M407" s="13" t="n">
        <v>1175.02</v>
      </c>
      <c r="N407" s="13" t="n">
        <v>0.62</v>
      </c>
      <c r="O407" s="13" t="n">
        <v>137</v>
      </c>
      <c r="P407" s="13" t="s">
        <v>58</v>
      </c>
      <c r="Q407" s="13" t="s">
        <v>241</v>
      </c>
      <c r="R407" s="13" t="s">
        <v>2950</v>
      </c>
      <c r="S407" s="13" t="s">
        <v>2950</v>
      </c>
      <c r="T407" s="13" t="s">
        <v>61</v>
      </c>
      <c r="U407" s="13"/>
    </row>
    <row r="408" customFormat="false" ht="18" hidden="false" customHeight="true" outlineLevel="0" collapsed="false">
      <c r="A408" s="14" t="n">
        <v>407</v>
      </c>
      <c r="B408" s="14" t="s">
        <v>2951</v>
      </c>
      <c r="C408" s="14" t="s">
        <v>125</v>
      </c>
      <c r="D408" s="14" t="s">
        <v>126</v>
      </c>
      <c r="E408" s="14" t="s">
        <v>91</v>
      </c>
      <c r="F408" s="14" t="s">
        <v>185</v>
      </c>
      <c r="G408" s="14" t="s">
        <v>186</v>
      </c>
      <c r="H408" s="14" t="s">
        <v>2952</v>
      </c>
      <c r="I408" s="14" t="s">
        <v>2953</v>
      </c>
      <c r="J408" s="14" t="s">
        <v>2954</v>
      </c>
      <c r="K408" s="14"/>
      <c r="L408" s="14" t="s">
        <v>191</v>
      </c>
      <c r="M408" s="14" t="n">
        <v>1674.13</v>
      </c>
      <c r="N408" s="14" t="n">
        <v>49.66</v>
      </c>
      <c r="O408" s="14" t="n">
        <v>258</v>
      </c>
      <c r="P408" s="14" t="s">
        <v>192</v>
      </c>
      <c r="Q408" s="14" t="s">
        <v>2955</v>
      </c>
      <c r="R408" s="14" t="s">
        <v>687</v>
      </c>
      <c r="S408" s="14" t="s">
        <v>687</v>
      </c>
      <c r="T408" s="14" t="s">
        <v>61</v>
      </c>
      <c r="U408" s="14" t="s">
        <v>1048</v>
      </c>
    </row>
    <row r="409" customFormat="false" ht="18" hidden="false" customHeight="true" outlineLevel="0" collapsed="false">
      <c r="A409" s="13" t="n">
        <v>408</v>
      </c>
      <c r="B409" s="13" t="s">
        <v>2956</v>
      </c>
      <c r="C409" s="13" t="s">
        <v>159</v>
      </c>
      <c r="D409" s="13" t="s">
        <v>160</v>
      </c>
      <c r="E409" s="13" t="s">
        <v>91</v>
      </c>
      <c r="F409" s="13" t="s">
        <v>587</v>
      </c>
      <c r="G409" s="13" t="s">
        <v>743</v>
      </c>
      <c r="H409" s="13" t="s">
        <v>2957</v>
      </c>
      <c r="I409" s="13" t="s">
        <v>2958</v>
      </c>
      <c r="J409" s="13" t="s">
        <v>2959</v>
      </c>
      <c r="K409" s="13" t="s">
        <v>2960</v>
      </c>
      <c r="L409" s="13" t="s">
        <v>2961</v>
      </c>
      <c r="M409" s="13" t="n">
        <v>3226.87</v>
      </c>
      <c r="N409" s="13" t="n">
        <v>49.97</v>
      </c>
      <c r="O409" s="13" t="n">
        <v>249</v>
      </c>
      <c r="P409" s="13" t="s">
        <v>2962</v>
      </c>
      <c r="Q409" s="13" t="s">
        <v>1914</v>
      </c>
      <c r="R409" s="13" t="s">
        <v>2963</v>
      </c>
      <c r="S409" s="13" t="s">
        <v>2963</v>
      </c>
      <c r="T409" s="13" t="s">
        <v>61</v>
      </c>
      <c r="U409" s="13"/>
    </row>
    <row r="410" customFormat="false" ht="18" hidden="false" customHeight="true" outlineLevel="0" collapsed="false">
      <c r="A410" s="13" t="n">
        <v>409</v>
      </c>
      <c r="B410" s="13" t="s">
        <v>2964</v>
      </c>
      <c r="C410" s="13" t="s">
        <v>63</v>
      </c>
      <c r="D410" s="13" t="s">
        <v>64</v>
      </c>
      <c r="E410" s="13" t="s">
        <v>161</v>
      </c>
      <c r="F410" s="13" t="s">
        <v>429</v>
      </c>
      <c r="G410" s="13" t="s">
        <v>257</v>
      </c>
      <c r="H410" s="13" t="s">
        <v>2965</v>
      </c>
      <c r="I410" s="13" t="s">
        <v>2966</v>
      </c>
      <c r="J410" s="13" t="s">
        <v>2967</v>
      </c>
      <c r="K410" s="13" t="s">
        <v>2968</v>
      </c>
      <c r="L410" s="13" t="s">
        <v>1406</v>
      </c>
      <c r="M410" s="13" t="n">
        <v>229.03</v>
      </c>
      <c r="N410" s="13" t="n">
        <v>0.36</v>
      </c>
      <c r="O410" s="13" t="n">
        <v>357</v>
      </c>
      <c r="P410" s="13" t="s">
        <v>1407</v>
      </c>
      <c r="Q410" s="13" t="s">
        <v>490</v>
      </c>
      <c r="R410" s="13" t="s">
        <v>1116</v>
      </c>
      <c r="S410" s="13" t="s">
        <v>1116</v>
      </c>
      <c r="T410" s="13" t="s">
        <v>61</v>
      </c>
      <c r="U410" s="13"/>
    </row>
    <row r="411" customFormat="false" ht="18" hidden="false" customHeight="true" outlineLevel="0" collapsed="false">
      <c r="A411" s="13" t="n">
        <v>410</v>
      </c>
      <c r="B411" s="13" t="s">
        <v>2969</v>
      </c>
      <c r="C411" s="13" t="s">
        <v>63</v>
      </c>
      <c r="D411" s="13" t="s">
        <v>64</v>
      </c>
      <c r="E411" s="13" t="s">
        <v>50</v>
      </c>
      <c r="F411" s="13" t="s">
        <v>127</v>
      </c>
      <c r="G411" s="13" t="s">
        <v>808</v>
      </c>
      <c r="H411" s="13" t="s">
        <v>2970</v>
      </c>
      <c r="I411" s="13" t="s">
        <v>2971</v>
      </c>
      <c r="J411" s="13" t="s">
        <v>2972</v>
      </c>
      <c r="K411" s="13" t="s">
        <v>2973</v>
      </c>
      <c r="L411" s="13" t="s">
        <v>1737</v>
      </c>
      <c r="M411" s="13" t="n">
        <v>831.04</v>
      </c>
      <c r="N411" s="13" t="n">
        <v>0.4</v>
      </c>
      <c r="O411" s="13" t="n">
        <v>85</v>
      </c>
      <c r="P411" s="13" t="s">
        <v>1738</v>
      </c>
      <c r="Q411" s="13" t="s">
        <v>2974</v>
      </c>
      <c r="R411" s="13" t="s">
        <v>1459</v>
      </c>
      <c r="S411" s="13" t="s">
        <v>1459</v>
      </c>
      <c r="T411" s="13" t="s">
        <v>61</v>
      </c>
      <c r="U411" s="13"/>
    </row>
    <row r="412" customFormat="false" ht="18" hidden="false" customHeight="true" outlineLevel="0" collapsed="false">
      <c r="A412" s="13" t="n">
        <v>411</v>
      </c>
      <c r="B412" s="13" t="s">
        <v>2975</v>
      </c>
      <c r="C412" s="13" t="s">
        <v>63</v>
      </c>
      <c r="D412" s="13" t="s">
        <v>64</v>
      </c>
      <c r="E412" s="13" t="s">
        <v>79</v>
      </c>
      <c r="F412" s="13" t="s">
        <v>465</v>
      </c>
      <c r="G412" s="13" t="s">
        <v>733</v>
      </c>
      <c r="H412" s="13" t="s">
        <v>2976</v>
      </c>
      <c r="I412" s="13" t="s">
        <v>2977</v>
      </c>
      <c r="J412" s="13" t="s">
        <v>2978</v>
      </c>
      <c r="K412" s="13" t="s">
        <v>2979</v>
      </c>
      <c r="L412" s="13" t="s">
        <v>2061</v>
      </c>
      <c r="M412" s="13" t="n">
        <v>2405.99</v>
      </c>
      <c r="N412" s="13" t="n">
        <v>1.5</v>
      </c>
      <c r="O412" s="13" t="n">
        <v>317</v>
      </c>
      <c r="P412" s="13" t="s">
        <v>2062</v>
      </c>
      <c r="Q412" s="13" t="s">
        <v>1984</v>
      </c>
      <c r="R412" s="13" t="s">
        <v>1860</v>
      </c>
      <c r="S412" s="13" t="s">
        <v>1860</v>
      </c>
      <c r="T412" s="13" t="s">
        <v>61</v>
      </c>
      <c r="U412" s="13"/>
    </row>
    <row r="413" customFormat="false" ht="18" hidden="false" customHeight="true" outlineLevel="0" collapsed="false">
      <c r="A413" s="13" t="n">
        <v>412</v>
      </c>
      <c r="B413" s="13" t="s">
        <v>2980</v>
      </c>
      <c r="C413" s="13" t="s">
        <v>125</v>
      </c>
      <c r="D413" s="13" t="s">
        <v>126</v>
      </c>
      <c r="E413" s="13" t="s">
        <v>91</v>
      </c>
      <c r="F413" s="13" t="s">
        <v>92</v>
      </c>
      <c r="G413" s="13" t="s">
        <v>743</v>
      </c>
      <c r="H413" s="13" t="s">
        <v>2981</v>
      </c>
      <c r="I413" s="13" t="s">
        <v>2982</v>
      </c>
      <c r="J413" s="13" t="s">
        <v>2983</v>
      </c>
      <c r="K413" s="13" t="s">
        <v>2984</v>
      </c>
      <c r="L413" s="13" t="s">
        <v>1349</v>
      </c>
      <c r="M413" s="13" t="n">
        <v>2390.18</v>
      </c>
      <c r="N413" s="13" t="n">
        <v>25.14</v>
      </c>
      <c r="O413" s="13" t="n">
        <v>304</v>
      </c>
      <c r="P413" s="13" t="s">
        <v>1350</v>
      </c>
      <c r="Q413" s="13" t="s">
        <v>1807</v>
      </c>
      <c r="R413" s="13" t="s">
        <v>1772</v>
      </c>
      <c r="S413" s="13" t="s">
        <v>1772</v>
      </c>
      <c r="T413" s="13" t="s">
        <v>61</v>
      </c>
      <c r="U413" s="13"/>
    </row>
    <row r="414" customFormat="false" ht="18" hidden="false" customHeight="true" outlineLevel="0" collapsed="false">
      <c r="A414" s="13" t="n">
        <v>413</v>
      </c>
      <c r="B414" s="13" t="s">
        <v>2985</v>
      </c>
      <c r="C414" s="13" t="s">
        <v>77</v>
      </c>
      <c r="D414" s="13" t="s">
        <v>78</v>
      </c>
      <c r="E414" s="13" t="s">
        <v>50</v>
      </c>
      <c r="F414" s="13" t="s">
        <v>138</v>
      </c>
      <c r="G414" s="13" t="s">
        <v>689</v>
      </c>
      <c r="H414" s="13" t="s">
        <v>2986</v>
      </c>
      <c r="I414" s="13" t="s">
        <v>2987</v>
      </c>
      <c r="J414" s="13" t="s">
        <v>2988</v>
      </c>
      <c r="K414" s="13" t="s">
        <v>2989</v>
      </c>
      <c r="L414" s="13" t="s">
        <v>2990</v>
      </c>
      <c r="M414" s="13" t="n">
        <v>1233.86</v>
      </c>
      <c r="N414" s="13" t="n">
        <v>0.31</v>
      </c>
      <c r="O414" s="13" t="n">
        <v>414</v>
      </c>
      <c r="P414" s="13" t="s">
        <v>2991</v>
      </c>
      <c r="Q414" s="13" t="s">
        <v>1771</v>
      </c>
      <c r="R414" s="13" t="s">
        <v>2634</v>
      </c>
      <c r="S414" s="13" t="s">
        <v>2634</v>
      </c>
      <c r="T414" s="13" t="s">
        <v>61</v>
      </c>
      <c r="U414" s="13"/>
    </row>
    <row r="415" customFormat="false" ht="18" hidden="false" customHeight="true" outlineLevel="0" collapsed="false">
      <c r="A415" s="13" t="n">
        <v>414</v>
      </c>
      <c r="B415" s="13" t="s">
        <v>2992</v>
      </c>
      <c r="C415" s="13" t="s">
        <v>113</v>
      </c>
      <c r="D415" s="13" t="s">
        <v>114</v>
      </c>
      <c r="E415" s="13" t="s">
        <v>91</v>
      </c>
      <c r="F415" s="13" t="s">
        <v>419</v>
      </c>
      <c r="G415" s="13" t="s">
        <v>139</v>
      </c>
      <c r="H415" s="13" t="s">
        <v>2993</v>
      </c>
      <c r="I415" s="13" t="s">
        <v>2994</v>
      </c>
      <c r="J415" s="13" t="s">
        <v>2995</v>
      </c>
      <c r="K415" s="13" t="s">
        <v>2996</v>
      </c>
      <c r="L415" s="13" t="s">
        <v>1912</v>
      </c>
      <c r="M415" s="13" t="n">
        <v>279.37</v>
      </c>
      <c r="N415" s="13" t="n">
        <v>46.06</v>
      </c>
      <c r="O415" s="13" t="n">
        <v>398</v>
      </c>
      <c r="P415" s="13" t="s">
        <v>1913</v>
      </c>
      <c r="Q415" s="13" t="s">
        <v>2997</v>
      </c>
      <c r="R415" s="13" t="s">
        <v>2998</v>
      </c>
      <c r="S415" s="13" t="s">
        <v>2998</v>
      </c>
      <c r="T415" s="13" t="s">
        <v>61</v>
      </c>
      <c r="U415" s="13"/>
    </row>
    <row r="416" customFormat="false" ht="18" hidden="false" customHeight="true" outlineLevel="0" collapsed="false">
      <c r="A416" s="13" t="n">
        <v>415</v>
      </c>
      <c r="B416" s="13" t="s">
        <v>2999</v>
      </c>
      <c r="C416" s="13" t="s">
        <v>77</v>
      </c>
      <c r="D416" s="13" t="s">
        <v>78</v>
      </c>
      <c r="E416" s="13" t="s">
        <v>50</v>
      </c>
      <c r="F416" s="13" t="s">
        <v>127</v>
      </c>
      <c r="G416" s="13" t="s">
        <v>689</v>
      </c>
      <c r="H416" s="13" t="s">
        <v>3000</v>
      </c>
      <c r="I416" s="13" t="s">
        <v>3001</v>
      </c>
      <c r="J416" s="13" t="s">
        <v>3002</v>
      </c>
      <c r="K416" s="13" t="s">
        <v>3003</v>
      </c>
      <c r="L416" s="13" t="s">
        <v>1970</v>
      </c>
      <c r="M416" s="13" t="n">
        <v>1159.92</v>
      </c>
      <c r="N416" s="13" t="n">
        <v>0.6</v>
      </c>
      <c r="O416" s="13" t="n">
        <v>94</v>
      </c>
      <c r="P416" s="13" t="s">
        <v>1971</v>
      </c>
      <c r="Q416" s="13" t="s">
        <v>3004</v>
      </c>
      <c r="R416" s="13" t="s">
        <v>3005</v>
      </c>
      <c r="S416" s="13" t="s">
        <v>3005</v>
      </c>
      <c r="T416" s="13" t="s">
        <v>61</v>
      </c>
      <c r="U416" s="13"/>
    </row>
    <row r="417" customFormat="false" ht="18" hidden="false" customHeight="true" outlineLevel="0" collapsed="false">
      <c r="A417" s="13" t="n">
        <v>416</v>
      </c>
      <c r="B417" s="13" t="s">
        <v>3006</v>
      </c>
      <c r="C417" s="13" t="s">
        <v>255</v>
      </c>
      <c r="D417" s="13" t="s">
        <v>256</v>
      </c>
      <c r="E417" s="13" t="s">
        <v>161</v>
      </c>
      <c r="F417" s="13" t="s">
        <v>51</v>
      </c>
      <c r="G417" s="13" t="s">
        <v>296</v>
      </c>
      <c r="H417" s="13" t="s">
        <v>3007</v>
      </c>
      <c r="I417" s="13" t="s">
        <v>3008</v>
      </c>
      <c r="J417" s="13" t="s">
        <v>3009</v>
      </c>
      <c r="K417" s="13" t="s">
        <v>1561</v>
      </c>
      <c r="L417" s="13" t="s">
        <v>861</v>
      </c>
      <c r="M417" s="13" t="n">
        <v>101.08</v>
      </c>
      <c r="N417" s="13" t="n">
        <v>0.31</v>
      </c>
      <c r="O417" s="13" t="n">
        <v>160</v>
      </c>
      <c r="P417" s="13" t="s">
        <v>862</v>
      </c>
      <c r="Q417" s="13" t="s">
        <v>916</v>
      </c>
      <c r="R417" s="13" t="s">
        <v>3010</v>
      </c>
      <c r="S417" s="13" t="s">
        <v>3010</v>
      </c>
      <c r="T417" s="13" t="s">
        <v>61</v>
      </c>
      <c r="U417" s="13"/>
    </row>
    <row r="418" customFormat="false" ht="18" hidden="false" customHeight="true" outlineLevel="0" collapsed="false">
      <c r="A418" s="13" t="n">
        <v>417</v>
      </c>
      <c r="B418" s="13" t="s">
        <v>3011</v>
      </c>
      <c r="C418" s="13" t="s">
        <v>48</v>
      </c>
      <c r="D418" s="13" t="s">
        <v>49</v>
      </c>
      <c r="E418" s="13" t="s">
        <v>91</v>
      </c>
      <c r="F418" s="13" t="s">
        <v>587</v>
      </c>
      <c r="G418" s="13" t="s">
        <v>533</v>
      </c>
      <c r="H418" s="13" t="s">
        <v>3012</v>
      </c>
      <c r="I418" s="13" t="s">
        <v>3013</v>
      </c>
      <c r="J418" s="13" t="s">
        <v>3014</v>
      </c>
      <c r="K418" s="13" t="s">
        <v>868</v>
      </c>
      <c r="L418" s="13" t="s">
        <v>869</v>
      </c>
      <c r="M418" s="13" t="n">
        <v>2367.53</v>
      </c>
      <c r="N418" s="13" t="n">
        <v>37.84</v>
      </c>
      <c r="O418" s="13" t="n">
        <v>284</v>
      </c>
      <c r="P418" s="13" t="s">
        <v>870</v>
      </c>
      <c r="Q418" s="13" t="s">
        <v>3015</v>
      </c>
      <c r="R418" s="13" t="s">
        <v>855</v>
      </c>
      <c r="S418" s="13" t="s">
        <v>855</v>
      </c>
      <c r="T418" s="13" t="s">
        <v>61</v>
      </c>
      <c r="U418" s="13"/>
    </row>
    <row r="419" customFormat="false" ht="18" hidden="false" customHeight="true" outlineLevel="0" collapsed="false">
      <c r="A419" s="13" t="n">
        <v>418</v>
      </c>
      <c r="B419" s="13" t="s">
        <v>3016</v>
      </c>
      <c r="C419" s="13" t="s">
        <v>63</v>
      </c>
      <c r="D419" s="13" t="s">
        <v>64</v>
      </c>
      <c r="E419" s="13" t="s">
        <v>79</v>
      </c>
      <c r="F419" s="13" t="s">
        <v>127</v>
      </c>
      <c r="G419" s="13" t="s">
        <v>733</v>
      </c>
      <c r="H419" s="13" t="s">
        <v>3017</v>
      </c>
      <c r="I419" s="13" t="s">
        <v>3018</v>
      </c>
      <c r="J419" s="13" t="s">
        <v>3019</v>
      </c>
      <c r="K419" s="13" t="s">
        <v>3020</v>
      </c>
      <c r="L419" s="13" t="s">
        <v>738</v>
      </c>
      <c r="M419" s="13" t="n">
        <v>1825.81</v>
      </c>
      <c r="N419" s="13" t="n">
        <v>1.44</v>
      </c>
      <c r="O419" s="13" t="n">
        <v>341</v>
      </c>
      <c r="P419" s="13" t="s">
        <v>739</v>
      </c>
      <c r="Q419" s="13" t="s">
        <v>3021</v>
      </c>
      <c r="R419" s="13" t="s">
        <v>3022</v>
      </c>
      <c r="S419" s="13" t="s">
        <v>3022</v>
      </c>
      <c r="T419" s="13" t="s">
        <v>61</v>
      </c>
      <c r="U419" s="13"/>
    </row>
    <row r="420" customFormat="false" ht="18" hidden="false" customHeight="true" outlineLevel="0" collapsed="false">
      <c r="A420" s="13" t="n">
        <v>419</v>
      </c>
      <c r="B420" s="13" t="s">
        <v>3023</v>
      </c>
      <c r="C420" s="13" t="s">
        <v>173</v>
      </c>
      <c r="D420" s="13" t="s">
        <v>174</v>
      </c>
      <c r="E420" s="13" t="s">
        <v>65</v>
      </c>
      <c r="F420" s="13" t="s">
        <v>227</v>
      </c>
      <c r="G420" s="13" t="s">
        <v>274</v>
      </c>
      <c r="H420" s="13" t="s">
        <v>3024</v>
      </c>
      <c r="I420" s="13" t="s">
        <v>3025</v>
      </c>
      <c r="J420" s="13" t="s">
        <v>3026</v>
      </c>
      <c r="K420" s="13" t="s">
        <v>278</v>
      </c>
      <c r="L420" s="13" t="s">
        <v>279</v>
      </c>
      <c r="M420" s="13" t="n">
        <v>456.19</v>
      </c>
      <c r="N420" s="13" t="n">
        <v>0.77</v>
      </c>
      <c r="O420" s="13" t="n">
        <v>116</v>
      </c>
      <c r="P420" s="13" t="s">
        <v>280</v>
      </c>
      <c r="Q420" s="13" t="s">
        <v>1115</v>
      </c>
      <c r="R420" s="13" t="s">
        <v>1724</v>
      </c>
      <c r="S420" s="13" t="s">
        <v>1724</v>
      </c>
      <c r="T420" s="13" t="s">
        <v>61</v>
      </c>
      <c r="U420" s="13"/>
    </row>
    <row r="421" customFormat="false" ht="18" hidden="false" customHeight="true" outlineLevel="0" collapsed="false">
      <c r="A421" s="13" t="n">
        <v>420</v>
      </c>
      <c r="B421" s="13" t="s">
        <v>3027</v>
      </c>
      <c r="C421" s="13" t="s">
        <v>159</v>
      </c>
      <c r="D421" s="13" t="s">
        <v>160</v>
      </c>
      <c r="E421" s="13" t="s">
        <v>65</v>
      </c>
      <c r="F421" s="13" t="s">
        <v>438</v>
      </c>
      <c r="G421" s="13" t="s">
        <v>391</v>
      </c>
      <c r="H421" s="13" t="s">
        <v>3028</v>
      </c>
      <c r="I421" s="13" t="s">
        <v>3029</v>
      </c>
      <c r="J421" s="13" t="s">
        <v>3030</v>
      </c>
      <c r="K421" s="13" t="s">
        <v>2046</v>
      </c>
      <c r="L421" s="13" t="s">
        <v>2047</v>
      </c>
      <c r="M421" s="13" t="n">
        <v>301.55</v>
      </c>
      <c r="N421" s="13" t="n">
        <v>0.16</v>
      </c>
      <c r="O421" s="13" t="n">
        <v>367</v>
      </c>
      <c r="P421" s="13" t="s">
        <v>2048</v>
      </c>
      <c r="Q421" s="13" t="s">
        <v>1753</v>
      </c>
      <c r="R421" s="13" t="s">
        <v>2622</v>
      </c>
      <c r="S421" s="13" t="s">
        <v>2622</v>
      </c>
      <c r="T421" s="13" t="s">
        <v>61</v>
      </c>
      <c r="U421" s="13"/>
    </row>
    <row r="422" customFormat="false" ht="18" hidden="false" customHeight="true" outlineLevel="0" collapsed="false">
      <c r="A422" s="15" t="n">
        <v>421</v>
      </c>
      <c r="B422" s="15" t="s">
        <v>3031</v>
      </c>
      <c r="C422" s="15" t="s">
        <v>113</v>
      </c>
      <c r="D422" s="15" t="s">
        <v>114</v>
      </c>
      <c r="E422" s="15" t="s">
        <v>91</v>
      </c>
      <c r="F422" s="15" t="s">
        <v>138</v>
      </c>
      <c r="G422" s="15" t="s">
        <v>420</v>
      </c>
      <c r="H422" s="15" t="s">
        <v>3032</v>
      </c>
      <c r="I422" s="15" t="s">
        <v>3033</v>
      </c>
      <c r="J422" s="15" t="s">
        <v>3034</v>
      </c>
      <c r="K422" s="15" t="s">
        <v>3035</v>
      </c>
      <c r="L422" s="15" t="s">
        <v>3036</v>
      </c>
      <c r="M422" s="15" t="n">
        <v>1943.69</v>
      </c>
      <c r="N422" s="15" t="n">
        <v>28.39</v>
      </c>
      <c r="O422" s="15" t="n">
        <v>436</v>
      </c>
      <c r="P422" s="15" t="s">
        <v>3037</v>
      </c>
      <c r="Q422" s="15" t="s">
        <v>1951</v>
      </c>
      <c r="R422" s="15" t="s">
        <v>829</v>
      </c>
      <c r="S422" s="15" t="s">
        <v>829</v>
      </c>
      <c r="T422" s="15" t="s">
        <v>61</v>
      </c>
      <c r="U422" s="15" t="s">
        <v>243</v>
      </c>
    </row>
    <row r="423" customFormat="false" ht="18" hidden="false" customHeight="true" outlineLevel="0" collapsed="false">
      <c r="A423" s="13" t="n">
        <v>422</v>
      </c>
      <c r="B423" s="13" t="s">
        <v>3038</v>
      </c>
      <c r="C423" s="13" t="s">
        <v>159</v>
      </c>
      <c r="D423" s="13" t="s">
        <v>160</v>
      </c>
      <c r="E423" s="13" t="s">
        <v>65</v>
      </c>
      <c r="F423" s="13" t="s">
        <v>371</v>
      </c>
      <c r="G423" s="13" t="s">
        <v>372</v>
      </c>
      <c r="H423" s="13" t="s">
        <v>3039</v>
      </c>
      <c r="I423" s="13" t="s">
        <v>3040</v>
      </c>
      <c r="J423" s="13" t="s">
        <v>3041</v>
      </c>
      <c r="K423" s="13" t="s">
        <v>376</v>
      </c>
      <c r="L423" s="13" t="s">
        <v>377</v>
      </c>
      <c r="M423" s="13" t="n">
        <v>461.59</v>
      </c>
      <c r="N423" s="13" t="n">
        <v>0.44</v>
      </c>
      <c r="O423" s="13" t="n">
        <v>255</v>
      </c>
      <c r="P423" s="13" t="s">
        <v>378</v>
      </c>
      <c r="Q423" s="13" t="s">
        <v>1753</v>
      </c>
      <c r="R423" s="13" t="s">
        <v>1435</v>
      </c>
      <c r="S423" s="13" t="s">
        <v>1435</v>
      </c>
      <c r="T423" s="13" t="s">
        <v>61</v>
      </c>
      <c r="U423" s="13"/>
    </row>
    <row r="424" customFormat="false" ht="18" hidden="false" customHeight="true" outlineLevel="0" collapsed="false">
      <c r="A424" s="14" t="n">
        <v>423</v>
      </c>
      <c r="B424" s="14" t="s">
        <v>3042</v>
      </c>
      <c r="C424" s="14" t="s">
        <v>48</v>
      </c>
      <c r="D424" s="14" t="s">
        <v>49</v>
      </c>
      <c r="E424" s="14" t="s">
        <v>79</v>
      </c>
      <c r="F424" s="14"/>
      <c r="G424" s="14" t="s">
        <v>514</v>
      </c>
      <c r="H424" s="14" t="s">
        <v>3043</v>
      </c>
      <c r="I424" s="14" t="s">
        <v>3044</v>
      </c>
      <c r="J424" s="14" t="s">
        <v>3045</v>
      </c>
      <c r="K424" s="14" t="s">
        <v>3046</v>
      </c>
      <c r="L424" s="14" t="s">
        <v>3047</v>
      </c>
      <c r="M424" s="14" t="n">
        <v>1431.05</v>
      </c>
      <c r="N424" s="14" t="n">
        <v>2.68</v>
      </c>
      <c r="O424" s="14" t="n">
        <v>481</v>
      </c>
      <c r="P424" s="14" t="s">
        <v>3048</v>
      </c>
      <c r="Q424" s="14" t="s">
        <v>3049</v>
      </c>
      <c r="R424" s="14" t="s">
        <v>3050</v>
      </c>
      <c r="S424" s="14" t="s">
        <v>3050</v>
      </c>
      <c r="T424" s="14" t="s">
        <v>61</v>
      </c>
      <c r="U424" s="14" t="s">
        <v>89</v>
      </c>
    </row>
    <row r="425" customFormat="false" ht="18" hidden="false" customHeight="true" outlineLevel="0" collapsed="false">
      <c r="A425" s="15" t="n">
        <v>424</v>
      </c>
      <c r="B425" s="15" t="s">
        <v>3051</v>
      </c>
      <c r="C425" s="15" t="s">
        <v>159</v>
      </c>
      <c r="D425" s="15" t="s">
        <v>160</v>
      </c>
      <c r="E425" s="15" t="s">
        <v>91</v>
      </c>
      <c r="F425" s="15" t="s">
        <v>92</v>
      </c>
      <c r="G425" s="15" t="s">
        <v>93</v>
      </c>
      <c r="H425" s="15" t="s">
        <v>3052</v>
      </c>
      <c r="I425" s="15" t="s">
        <v>3053</v>
      </c>
      <c r="J425" s="15" t="s">
        <v>3054</v>
      </c>
      <c r="K425" s="15" t="s">
        <v>3055</v>
      </c>
      <c r="L425" s="15" t="s">
        <v>98</v>
      </c>
      <c r="M425" s="15" t="n">
        <v>23045.74</v>
      </c>
      <c r="N425" s="15" t="n">
        <v>51.72</v>
      </c>
      <c r="O425" s="15" t="n">
        <v>401</v>
      </c>
      <c r="P425" s="15" t="s">
        <v>99</v>
      </c>
      <c r="Q425" s="15" t="s">
        <v>776</v>
      </c>
      <c r="R425" s="15" t="s">
        <v>2634</v>
      </c>
      <c r="S425" s="15" t="s">
        <v>2634</v>
      </c>
      <c r="T425" s="15" t="s">
        <v>61</v>
      </c>
      <c r="U425" s="15" t="s">
        <v>343</v>
      </c>
    </row>
    <row r="426" customFormat="false" ht="18" hidden="false" customHeight="true" outlineLevel="0" collapsed="false">
      <c r="A426" s="13" t="n">
        <v>425</v>
      </c>
      <c r="B426" s="13" t="s">
        <v>3056</v>
      </c>
      <c r="C426" s="13" t="s">
        <v>48</v>
      </c>
      <c r="D426" s="13" t="s">
        <v>49</v>
      </c>
      <c r="E426" s="13" t="s">
        <v>161</v>
      </c>
      <c r="F426" s="13" t="s">
        <v>185</v>
      </c>
      <c r="G426" s="13" t="s">
        <v>163</v>
      </c>
      <c r="H426" s="13" t="s">
        <v>3057</v>
      </c>
      <c r="I426" s="13" t="s">
        <v>3058</v>
      </c>
      <c r="J426" s="13" t="s">
        <v>3059</v>
      </c>
      <c r="K426" s="13" t="s">
        <v>3060</v>
      </c>
      <c r="L426" s="13" t="s">
        <v>2240</v>
      </c>
      <c r="M426" s="13" t="n">
        <v>120.62</v>
      </c>
      <c r="N426" s="13" t="n">
        <v>0.44</v>
      </c>
      <c r="O426" s="13" t="n">
        <v>338</v>
      </c>
      <c r="P426" s="13" t="s">
        <v>3061</v>
      </c>
      <c r="Q426" s="13" t="s">
        <v>1545</v>
      </c>
      <c r="R426" s="13" t="s">
        <v>1061</v>
      </c>
      <c r="S426" s="13" t="s">
        <v>1061</v>
      </c>
      <c r="T426" s="13" t="s">
        <v>61</v>
      </c>
      <c r="U426" s="13"/>
    </row>
    <row r="427" customFormat="false" ht="18" hidden="false" customHeight="true" outlineLevel="0" collapsed="false">
      <c r="A427" s="14" t="n">
        <v>426</v>
      </c>
      <c r="B427" s="14" t="s">
        <v>3062</v>
      </c>
      <c r="C427" s="14" t="s">
        <v>113</v>
      </c>
      <c r="D427" s="14" t="s">
        <v>114</v>
      </c>
      <c r="E427" s="14" t="s">
        <v>91</v>
      </c>
      <c r="F427" s="14" t="s">
        <v>587</v>
      </c>
      <c r="G427" s="14" t="s">
        <v>533</v>
      </c>
      <c r="H427" s="14" t="s">
        <v>3063</v>
      </c>
      <c r="I427" s="14" t="s">
        <v>3064</v>
      </c>
      <c r="J427" s="14" t="s">
        <v>3065</v>
      </c>
      <c r="K427" s="14" t="s">
        <v>3066</v>
      </c>
      <c r="L427" s="14"/>
      <c r="M427" s="14" t="n">
        <v>282.49</v>
      </c>
      <c r="N427" s="14" t="n">
        <v>9.85</v>
      </c>
      <c r="O427" s="14" t="n">
        <v>401</v>
      </c>
      <c r="P427" s="14" t="s">
        <v>870</v>
      </c>
      <c r="Q427" s="14" t="s">
        <v>3067</v>
      </c>
      <c r="R427" s="14" t="s">
        <v>1179</v>
      </c>
      <c r="S427" s="14" t="s">
        <v>1179</v>
      </c>
      <c r="T427" s="14" t="s">
        <v>61</v>
      </c>
      <c r="U427" s="14" t="s">
        <v>1107</v>
      </c>
    </row>
    <row r="428" customFormat="false" ht="18" hidden="false" customHeight="true" outlineLevel="0" collapsed="false">
      <c r="A428" s="13" t="n">
        <v>427</v>
      </c>
      <c r="B428" s="13" t="s">
        <v>3068</v>
      </c>
      <c r="C428" s="13" t="s">
        <v>48</v>
      </c>
      <c r="D428" s="13" t="s">
        <v>49</v>
      </c>
      <c r="E428" s="13" t="s">
        <v>91</v>
      </c>
      <c r="F428" s="13" t="s">
        <v>587</v>
      </c>
      <c r="G428" s="13" t="s">
        <v>533</v>
      </c>
      <c r="H428" s="13" t="s">
        <v>3069</v>
      </c>
      <c r="I428" s="13" t="s">
        <v>3070</v>
      </c>
      <c r="J428" s="13" t="s">
        <v>3071</v>
      </c>
      <c r="K428" s="13" t="s">
        <v>3066</v>
      </c>
      <c r="L428" s="13" t="s">
        <v>869</v>
      </c>
      <c r="M428" s="13" t="n">
        <v>808.29</v>
      </c>
      <c r="N428" s="13" t="n">
        <v>11.96</v>
      </c>
      <c r="O428" s="13" t="n">
        <v>261</v>
      </c>
      <c r="P428" s="13" t="s">
        <v>870</v>
      </c>
      <c r="Q428" s="13" t="s">
        <v>1105</v>
      </c>
      <c r="R428" s="13" t="s">
        <v>2640</v>
      </c>
      <c r="S428" s="13" t="s">
        <v>2640</v>
      </c>
      <c r="T428" s="13" t="s">
        <v>61</v>
      </c>
      <c r="U428" s="13"/>
    </row>
    <row r="429" customFormat="false" ht="18" hidden="false" customHeight="true" outlineLevel="0" collapsed="false">
      <c r="A429" s="13" t="n">
        <v>428</v>
      </c>
      <c r="B429" s="13" t="s">
        <v>3072</v>
      </c>
      <c r="C429" s="13" t="s">
        <v>63</v>
      </c>
      <c r="D429" s="13" t="s">
        <v>64</v>
      </c>
      <c r="E429" s="13" t="s">
        <v>50</v>
      </c>
      <c r="F429" s="13" t="s">
        <v>138</v>
      </c>
      <c r="G429" s="13" t="s">
        <v>217</v>
      </c>
      <c r="H429" s="13" t="s">
        <v>3073</v>
      </c>
      <c r="I429" s="13" t="s">
        <v>3074</v>
      </c>
      <c r="J429" s="13" t="s">
        <v>3075</v>
      </c>
      <c r="K429" s="13" t="s">
        <v>3076</v>
      </c>
      <c r="L429" s="13" t="s">
        <v>3077</v>
      </c>
      <c r="M429" s="13" t="n">
        <v>183.07</v>
      </c>
      <c r="N429" s="13" t="n">
        <v>0.46</v>
      </c>
      <c r="O429" s="13" t="n">
        <v>230</v>
      </c>
      <c r="P429" s="13" t="s">
        <v>3078</v>
      </c>
      <c r="Q429" s="13" t="s">
        <v>3079</v>
      </c>
      <c r="R429" s="13" t="s">
        <v>3080</v>
      </c>
      <c r="S429" s="13" t="s">
        <v>3080</v>
      </c>
      <c r="T429" s="13" t="s">
        <v>61</v>
      </c>
      <c r="U429" s="13"/>
    </row>
    <row r="430" customFormat="false" ht="18" hidden="false" customHeight="true" outlineLevel="0" collapsed="false">
      <c r="A430" s="13" t="n">
        <v>429</v>
      </c>
      <c r="B430" s="13" t="s">
        <v>3081</v>
      </c>
      <c r="C430" s="13" t="s">
        <v>255</v>
      </c>
      <c r="D430" s="13" t="s">
        <v>256</v>
      </c>
      <c r="E430" s="13" t="s">
        <v>161</v>
      </c>
      <c r="F430" s="13" t="s">
        <v>306</v>
      </c>
      <c r="G430" s="13" t="s">
        <v>257</v>
      </c>
      <c r="H430" s="13" t="s">
        <v>3082</v>
      </c>
      <c r="I430" s="13" t="s">
        <v>3083</v>
      </c>
      <c r="J430" s="13" t="s">
        <v>3084</v>
      </c>
      <c r="K430" s="13" t="s">
        <v>1919</v>
      </c>
      <c r="L430" s="13" t="s">
        <v>320</v>
      </c>
      <c r="M430" s="13" t="n">
        <v>223.73</v>
      </c>
      <c r="N430" s="13" t="n">
        <v>0.23</v>
      </c>
      <c r="O430" s="13" t="n">
        <v>84</v>
      </c>
      <c r="P430" s="13" t="s">
        <v>321</v>
      </c>
      <c r="Q430" s="13" t="s">
        <v>1730</v>
      </c>
      <c r="R430" s="13" t="s">
        <v>1292</v>
      </c>
      <c r="S430" s="13" t="s">
        <v>1292</v>
      </c>
      <c r="T430" s="13" t="s">
        <v>61</v>
      </c>
      <c r="U430" s="13"/>
    </row>
    <row r="431" customFormat="false" ht="18" hidden="false" customHeight="true" outlineLevel="0" collapsed="false">
      <c r="A431" s="13" t="n">
        <v>430</v>
      </c>
      <c r="B431" s="13" t="s">
        <v>3085</v>
      </c>
      <c r="C431" s="13" t="s">
        <v>63</v>
      </c>
      <c r="D431" s="13" t="s">
        <v>64</v>
      </c>
      <c r="E431" s="13" t="s">
        <v>91</v>
      </c>
      <c r="F431" s="13" t="s">
        <v>419</v>
      </c>
      <c r="G431" s="13" t="s">
        <v>139</v>
      </c>
      <c r="H431" s="13" t="s">
        <v>3086</v>
      </c>
      <c r="I431" s="13" t="s">
        <v>3087</v>
      </c>
      <c r="J431" s="13" t="s">
        <v>3088</v>
      </c>
      <c r="K431" s="13" t="s">
        <v>3089</v>
      </c>
      <c r="L431" s="13" t="s">
        <v>1912</v>
      </c>
      <c r="M431" s="13" t="n">
        <v>2369.26</v>
      </c>
      <c r="N431" s="13" t="n">
        <v>51.9</v>
      </c>
      <c r="O431" s="13" t="n">
        <v>322</v>
      </c>
      <c r="P431" s="13" t="s">
        <v>1913</v>
      </c>
      <c r="Q431" s="13" t="s">
        <v>146</v>
      </c>
      <c r="R431" s="13" t="s">
        <v>627</v>
      </c>
      <c r="S431" s="13" t="s">
        <v>627</v>
      </c>
      <c r="T431" s="13" t="s">
        <v>61</v>
      </c>
      <c r="U431" s="13"/>
    </row>
    <row r="432" customFormat="false" ht="18" hidden="false" customHeight="true" outlineLevel="0" collapsed="false">
      <c r="A432" s="13" t="n">
        <v>431</v>
      </c>
      <c r="B432" s="13" t="s">
        <v>3090</v>
      </c>
      <c r="C432" s="13" t="s">
        <v>63</v>
      </c>
      <c r="D432" s="13" t="s">
        <v>64</v>
      </c>
      <c r="E432" s="13" t="s">
        <v>50</v>
      </c>
      <c r="F432" s="13" t="s">
        <v>503</v>
      </c>
      <c r="G432" s="13" t="s">
        <v>52</v>
      </c>
      <c r="H432" s="13" t="s">
        <v>3091</v>
      </c>
      <c r="I432" s="13" t="s">
        <v>3092</v>
      </c>
      <c r="J432" s="13" t="s">
        <v>3093</v>
      </c>
      <c r="K432" s="13" t="s">
        <v>3094</v>
      </c>
      <c r="L432" s="13" t="s">
        <v>969</v>
      </c>
      <c r="M432" s="13" t="n">
        <v>1134.14</v>
      </c>
      <c r="N432" s="13" t="n">
        <v>0.5</v>
      </c>
      <c r="O432" s="13" t="n">
        <v>315</v>
      </c>
      <c r="P432" s="13" t="s">
        <v>970</v>
      </c>
      <c r="Q432" s="13" t="s">
        <v>3095</v>
      </c>
      <c r="R432" s="13" t="s">
        <v>1510</v>
      </c>
      <c r="S432" s="13" t="s">
        <v>1510</v>
      </c>
      <c r="T432" s="13" t="s">
        <v>61</v>
      </c>
      <c r="U432" s="13"/>
    </row>
    <row r="433" customFormat="false" ht="18" hidden="false" customHeight="true" outlineLevel="0" collapsed="false">
      <c r="A433" s="13" t="n">
        <v>432</v>
      </c>
      <c r="B433" s="13" t="s">
        <v>3096</v>
      </c>
      <c r="C433" s="13" t="s">
        <v>173</v>
      </c>
      <c r="D433" s="13" t="s">
        <v>174</v>
      </c>
      <c r="E433" s="13" t="s">
        <v>91</v>
      </c>
      <c r="F433" s="13" t="s">
        <v>185</v>
      </c>
      <c r="G433" s="13" t="s">
        <v>186</v>
      </c>
      <c r="H433" s="13" t="s">
        <v>3097</v>
      </c>
      <c r="I433" s="13" t="s">
        <v>3098</v>
      </c>
      <c r="J433" s="13" t="s">
        <v>3099</v>
      </c>
      <c r="K433" s="13" t="s">
        <v>190</v>
      </c>
      <c r="L433" s="13" t="s">
        <v>191</v>
      </c>
      <c r="M433" s="13" t="n">
        <v>1588.67</v>
      </c>
      <c r="N433" s="13" t="n">
        <v>9.61</v>
      </c>
      <c r="O433" s="13" t="n">
        <v>378</v>
      </c>
      <c r="P433" s="13" t="s">
        <v>192</v>
      </c>
      <c r="Q433" s="13" t="s">
        <v>540</v>
      </c>
      <c r="R433" s="13" t="s">
        <v>3050</v>
      </c>
      <c r="S433" s="13" t="s">
        <v>3050</v>
      </c>
      <c r="T433" s="13" t="s">
        <v>61</v>
      </c>
      <c r="U433" s="13"/>
    </row>
    <row r="434" customFormat="false" ht="18" hidden="false" customHeight="true" outlineLevel="0" collapsed="false">
      <c r="A434" s="13" t="n">
        <v>433</v>
      </c>
      <c r="B434" s="13" t="s">
        <v>3100</v>
      </c>
      <c r="C434" s="13" t="s">
        <v>159</v>
      </c>
      <c r="D434" s="13" t="s">
        <v>160</v>
      </c>
      <c r="E434" s="13" t="s">
        <v>161</v>
      </c>
      <c r="F434" s="13" t="s">
        <v>51</v>
      </c>
      <c r="G434" s="13" t="s">
        <v>334</v>
      </c>
      <c r="H434" s="13" t="s">
        <v>3101</v>
      </c>
      <c r="I434" s="13" t="s">
        <v>3102</v>
      </c>
      <c r="J434" s="13" t="s">
        <v>3103</v>
      </c>
      <c r="K434" s="13" t="s">
        <v>3104</v>
      </c>
      <c r="L434" s="13" t="s">
        <v>1032</v>
      </c>
      <c r="M434" s="13" t="n">
        <v>74.36</v>
      </c>
      <c r="N434" s="13" t="n">
        <v>0.23</v>
      </c>
      <c r="O434" s="13" t="n">
        <v>322</v>
      </c>
      <c r="P434" s="13" t="s">
        <v>1033</v>
      </c>
      <c r="Q434" s="13" t="s">
        <v>1562</v>
      </c>
      <c r="R434" s="13" t="s">
        <v>829</v>
      </c>
      <c r="S434" s="13" t="s">
        <v>829</v>
      </c>
      <c r="T434" s="13" t="s">
        <v>61</v>
      </c>
      <c r="U434" s="13"/>
    </row>
    <row r="435" customFormat="false" ht="18" hidden="false" customHeight="true" outlineLevel="0" collapsed="false">
      <c r="A435" s="15" t="n">
        <v>434</v>
      </c>
      <c r="B435" s="15" t="s">
        <v>3105</v>
      </c>
      <c r="C435" s="15" t="s">
        <v>113</v>
      </c>
      <c r="D435" s="15" t="s">
        <v>114</v>
      </c>
      <c r="E435" s="15" t="s">
        <v>79</v>
      </c>
      <c r="F435" s="15" t="s">
        <v>503</v>
      </c>
      <c r="G435" s="15" t="s">
        <v>352</v>
      </c>
      <c r="H435" s="15" t="s">
        <v>3106</v>
      </c>
      <c r="I435" s="15" t="s">
        <v>3107</v>
      </c>
      <c r="J435" s="15" t="s">
        <v>3108</v>
      </c>
      <c r="K435" s="15" t="s">
        <v>3109</v>
      </c>
      <c r="L435" s="15" t="s">
        <v>508</v>
      </c>
      <c r="M435" s="15" t="n">
        <v>199.43</v>
      </c>
      <c r="N435" s="15" t="n">
        <v>0.84</v>
      </c>
      <c r="O435" s="15" t="n">
        <v>98</v>
      </c>
      <c r="P435" s="15" t="s">
        <v>509</v>
      </c>
      <c r="Q435" s="15" t="s">
        <v>3110</v>
      </c>
      <c r="R435" s="15" t="s">
        <v>1423</v>
      </c>
      <c r="S435" s="15" t="s">
        <v>1423</v>
      </c>
      <c r="T435" s="15" t="s">
        <v>61</v>
      </c>
      <c r="U435" s="15" t="s">
        <v>453</v>
      </c>
    </row>
    <row r="436" customFormat="false" ht="18" hidden="false" customHeight="true" outlineLevel="0" collapsed="false">
      <c r="A436" s="13" t="n">
        <v>435</v>
      </c>
      <c r="B436" s="13" t="s">
        <v>3111</v>
      </c>
      <c r="C436" s="13" t="s">
        <v>113</v>
      </c>
      <c r="D436" s="13" t="s">
        <v>114</v>
      </c>
      <c r="E436" s="13" t="s">
        <v>161</v>
      </c>
      <c r="F436" s="13" t="s">
        <v>51</v>
      </c>
      <c r="G436" s="13" t="s">
        <v>163</v>
      </c>
      <c r="H436" s="13" t="s">
        <v>3112</v>
      </c>
      <c r="I436" s="13" t="s">
        <v>3113</v>
      </c>
      <c r="J436" s="13" t="s">
        <v>3114</v>
      </c>
      <c r="K436" s="13" t="s">
        <v>3115</v>
      </c>
      <c r="L436" s="13" t="s">
        <v>1241</v>
      </c>
      <c r="M436" s="13" t="n">
        <v>332.39</v>
      </c>
      <c r="N436" s="13" t="n">
        <v>0.41</v>
      </c>
      <c r="O436" s="13" t="n">
        <v>243</v>
      </c>
      <c r="P436" s="13" t="s">
        <v>1242</v>
      </c>
      <c r="Q436" s="13" t="s">
        <v>2710</v>
      </c>
      <c r="R436" s="13" t="s">
        <v>323</v>
      </c>
      <c r="S436" s="13" t="s">
        <v>323</v>
      </c>
      <c r="T436" s="13" t="s">
        <v>61</v>
      </c>
      <c r="U436" s="13"/>
    </row>
    <row r="437" customFormat="false" ht="18" hidden="false" customHeight="true" outlineLevel="0" collapsed="false">
      <c r="A437" s="13" t="n">
        <v>436</v>
      </c>
      <c r="B437" s="13" t="s">
        <v>3116</v>
      </c>
      <c r="C437" s="13" t="s">
        <v>77</v>
      </c>
      <c r="D437" s="13" t="s">
        <v>78</v>
      </c>
      <c r="E437" s="13" t="s">
        <v>50</v>
      </c>
      <c r="F437" s="13" t="s">
        <v>503</v>
      </c>
      <c r="G437" s="13" t="s">
        <v>52</v>
      </c>
      <c r="H437" s="13" t="s">
        <v>3117</v>
      </c>
      <c r="I437" s="13" t="s">
        <v>3118</v>
      </c>
      <c r="J437" s="13" t="s">
        <v>3119</v>
      </c>
      <c r="K437" s="13" t="s">
        <v>3120</v>
      </c>
      <c r="L437" s="13" t="s">
        <v>969</v>
      </c>
      <c r="M437" s="13" t="n">
        <v>1292.25</v>
      </c>
      <c r="N437" s="13" t="n">
        <v>0.33</v>
      </c>
      <c r="O437" s="13" t="n">
        <v>378</v>
      </c>
      <c r="P437" s="13" t="s">
        <v>970</v>
      </c>
      <c r="Q437" s="13" t="s">
        <v>1771</v>
      </c>
      <c r="R437" s="13" t="s">
        <v>2634</v>
      </c>
      <c r="S437" s="13" t="s">
        <v>2634</v>
      </c>
      <c r="T437" s="13" t="s">
        <v>61</v>
      </c>
      <c r="U437" s="13"/>
    </row>
    <row r="438" customFormat="false" ht="18" hidden="false" customHeight="true" outlineLevel="0" collapsed="false">
      <c r="A438" s="13" t="n">
        <v>437</v>
      </c>
      <c r="B438" s="13" t="s">
        <v>3121</v>
      </c>
      <c r="C438" s="13" t="s">
        <v>125</v>
      </c>
      <c r="D438" s="13" t="s">
        <v>126</v>
      </c>
      <c r="E438" s="13" t="s">
        <v>161</v>
      </c>
      <c r="F438" s="13" t="s">
        <v>429</v>
      </c>
      <c r="G438" s="13" t="s">
        <v>334</v>
      </c>
      <c r="H438" s="13" t="s">
        <v>3122</v>
      </c>
      <c r="I438" s="13" t="s">
        <v>3123</v>
      </c>
      <c r="J438" s="13" t="s">
        <v>3124</v>
      </c>
      <c r="K438" s="13" t="s">
        <v>1080</v>
      </c>
      <c r="L438" s="13" t="s">
        <v>488</v>
      </c>
      <c r="M438" s="13" t="n">
        <v>137.62</v>
      </c>
      <c r="N438" s="13" t="n">
        <v>0.43</v>
      </c>
      <c r="O438" s="13" t="n">
        <v>155</v>
      </c>
      <c r="P438" s="13" t="s">
        <v>489</v>
      </c>
      <c r="Q438" s="13" t="s">
        <v>1020</v>
      </c>
      <c r="R438" s="13" t="s">
        <v>3125</v>
      </c>
      <c r="S438" s="13" t="s">
        <v>3125</v>
      </c>
      <c r="T438" s="13" t="s">
        <v>61</v>
      </c>
      <c r="U438" s="13"/>
    </row>
    <row r="439" customFormat="false" ht="18" hidden="false" customHeight="true" outlineLevel="0" collapsed="false">
      <c r="A439" s="13" t="n">
        <v>438</v>
      </c>
      <c r="B439" s="13" t="s">
        <v>3126</v>
      </c>
      <c r="C439" s="13" t="s">
        <v>63</v>
      </c>
      <c r="D439" s="13" t="s">
        <v>64</v>
      </c>
      <c r="E439" s="13" t="s">
        <v>65</v>
      </c>
      <c r="F439" s="13" t="s">
        <v>245</v>
      </c>
      <c r="G439" s="13" t="s">
        <v>149</v>
      </c>
      <c r="H439" s="13" t="s">
        <v>3127</v>
      </c>
      <c r="I439" s="13" t="s">
        <v>3128</v>
      </c>
      <c r="J439" s="13" t="s">
        <v>3129</v>
      </c>
      <c r="K439" s="13" t="s">
        <v>249</v>
      </c>
      <c r="L439" s="13" t="s">
        <v>250</v>
      </c>
      <c r="M439" s="13" t="n">
        <v>179.97</v>
      </c>
      <c r="N439" s="13" t="n">
        <v>0.21</v>
      </c>
      <c r="O439" s="13" t="n">
        <v>338</v>
      </c>
      <c r="P439" s="13" t="s">
        <v>251</v>
      </c>
      <c r="Q439" s="13" t="s">
        <v>2150</v>
      </c>
      <c r="R439" s="13" t="s">
        <v>1334</v>
      </c>
      <c r="S439" s="13" t="s">
        <v>1334</v>
      </c>
      <c r="T439" s="13" t="s">
        <v>61</v>
      </c>
      <c r="U439" s="13"/>
    </row>
    <row r="440" customFormat="false" ht="18" hidden="false" customHeight="true" outlineLevel="0" collapsed="false">
      <c r="A440" s="13" t="n">
        <v>439</v>
      </c>
      <c r="B440" s="13" t="s">
        <v>3130</v>
      </c>
      <c r="C440" s="13" t="s">
        <v>173</v>
      </c>
      <c r="D440" s="13" t="s">
        <v>174</v>
      </c>
      <c r="E440" s="13" t="s">
        <v>65</v>
      </c>
      <c r="F440" s="13" t="s">
        <v>66</v>
      </c>
      <c r="G440" s="13" t="s">
        <v>391</v>
      </c>
      <c r="H440" s="13" t="s">
        <v>3131</v>
      </c>
      <c r="I440" s="13" t="s">
        <v>3132</v>
      </c>
      <c r="J440" s="13" t="s">
        <v>3133</v>
      </c>
      <c r="K440" s="13" t="s">
        <v>1145</v>
      </c>
      <c r="L440" s="13" t="s">
        <v>1146</v>
      </c>
      <c r="M440" s="13" t="n">
        <v>224.88</v>
      </c>
      <c r="N440" s="13" t="n">
        <v>0.63</v>
      </c>
      <c r="O440" s="13" t="n">
        <v>280</v>
      </c>
      <c r="P440" s="13" t="s">
        <v>1147</v>
      </c>
      <c r="Q440" s="13" t="s">
        <v>499</v>
      </c>
      <c r="R440" s="13" t="s">
        <v>342</v>
      </c>
      <c r="S440" s="13" t="s">
        <v>342</v>
      </c>
      <c r="T440" s="13" t="s">
        <v>61</v>
      </c>
      <c r="U440" s="13"/>
    </row>
    <row r="441" customFormat="false" ht="18" hidden="false" customHeight="true" outlineLevel="0" collapsed="false">
      <c r="A441" s="13" t="n">
        <v>440</v>
      </c>
      <c r="B441" s="13" t="s">
        <v>3134</v>
      </c>
      <c r="C441" s="13" t="s">
        <v>159</v>
      </c>
      <c r="D441" s="13" t="s">
        <v>160</v>
      </c>
      <c r="E441" s="13" t="s">
        <v>65</v>
      </c>
      <c r="F441" s="13" t="s">
        <v>245</v>
      </c>
      <c r="G441" s="13" t="s">
        <v>103</v>
      </c>
      <c r="H441" s="13" t="s">
        <v>3135</v>
      </c>
      <c r="I441" s="13" t="s">
        <v>3136</v>
      </c>
      <c r="J441" s="13" t="s">
        <v>3137</v>
      </c>
      <c r="K441" s="13" t="s">
        <v>1832</v>
      </c>
      <c r="L441" s="13" t="s">
        <v>1833</v>
      </c>
      <c r="M441" s="13" t="n">
        <v>363.36</v>
      </c>
      <c r="N441" s="13" t="n">
        <v>1.43</v>
      </c>
      <c r="O441" s="13" t="n">
        <v>42</v>
      </c>
      <c r="P441" s="13" t="s">
        <v>1834</v>
      </c>
      <c r="Q441" s="13" t="s">
        <v>686</v>
      </c>
      <c r="R441" s="13" t="s">
        <v>2634</v>
      </c>
      <c r="S441" s="13" t="s">
        <v>2634</v>
      </c>
      <c r="T441" s="13" t="s">
        <v>61</v>
      </c>
      <c r="U441" s="13"/>
    </row>
    <row r="442" customFormat="false" ht="18" hidden="false" customHeight="true" outlineLevel="0" collapsed="false">
      <c r="A442" s="13" t="n">
        <v>441</v>
      </c>
      <c r="B442" s="13" t="s">
        <v>3138</v>
      </c>
      <c r="C442" s="13" t="s">
        <v>159</v>
      </c>
      <c r="D442" s="13" t="s">
        <v>160</v>
      </c>
      <c r="E442" s="13" t="s">
        <v>91</v>
      </c>
      <c r="F442" s="13" t="s">
        <v>138</v>
      </c>
      <c r="G442" s="13" t="s">
        <v>533</v>
      </c>
      <c r="H442" s="13" t="s">
        <v>3139</v>
      </c>
      <c r="I442" s="13" t="s">
        <v>3140</v>
      </c>
      <c r="J442" s="13" t="s">
        <v>3141</v>
      </c>
      <c r="K442" s="13" t="s">
        <v>3142</v>
      </c>
      <c r="L442" s="13" t="s">
        <v>538</v>
      </c>
      <c r="M442" s="13" t="n">
        <v>3466.09</v>
      </c>
      <c r="N442" s="13" t="n">
        <v>20.21</v>
      </c>
      <c r="O442" s="13" t="n">
        <v>436</v>
      </c>
      <c r="P442" s="13" t="s">
        <v>539</v>
      </c>
      <c r="Q442" s="13" t="s">
        <v>1691</v>
      </c>
      <c r="R442" s="13" t="s">
        <v>3143</v>
      </c>
      <c r="S442" s="13" t="s">
        <v>3143</v>
      </c>
      <c r="T442" s="13" t="s">
        <v>61</v>
      </c>
      <c r="U442" s="13"/>
    </row>
    <row r="443" customFormat="false" ht="18" hidden="false" customHeight="true" outlineLevel="0" collapsed="false">
      <c r="A443" s="13" t="n">
        <v>442</v>
      </c>
      <c r="B443" s="13" t="s">
        <v>3144</v>
      </c>
      <c r="C443" s="13" t="s">
        <v>255</v>
      </c>
      <c r="D443" s="13" t="s">
        <v>256</v>
      </c>
      <c r="E443" s="13" t="s">
        <v>65</v>
      </c>
      <c r="F443" s="13" t="s">
        <v>245</v>
      </c>
      <c r="G443" s="13" t="s">
        <v>103</v>
      </c>
      <c r="H443" s="13" t="s">
        <v>3145</v>
      </c>
      <c r="I443" s="13" t="s">
        <v>3146</v>
      </c>
      <c r="J443" s="13" t="s">
        <v>3147</v>
      </c>
      <c r="K443" s="13" t="s">
        <v>1832</v>
      </c>
      <c r="L443" s="13" t="s">
        <v>1833</v>
      </c>
      <c r="M443" s="13" t="n">
        <v>285.75</v>
      </c>
      <c r="N443" s="13" t="n">
        <v>1.05</v>
      </c>
      <c r="O443" s="13" t="n">
        <v>444</v>
      </c>
      <c r="P443" s="13" t="s">
        <v>1834</v>
      </c>
      <c r="Q443" s="13" t="s">
        <v>954</v>
      </c>
      <c r="R443" s="13" t="s">
        <v>2474</v>
      </c>
      <c r="S443" s="13" t="s">
        <v>2474</v>
      </c>
      <c r="T443" s="13" t="s">
        <v>61</v>
      </c>
      <c r="U443" s="13"/>
    </row>
    <row r="444" customFormat="false" ht="18" hidden="false" customHeight="true" outlineLevel="0" collapsed="false">
      <c r="A444" s="13" t="n">
        <v>443</v>
      </c>
      <c r="B444" s="13" t="s">
        <v>3148</v>
      </c>
      <c r="C444" s="13" t="s">
        <v>113</v>
      </c>
      <c r="D444" s="13" t="s">
        <v>114</v>
      </c>
      <c r="E444" s="13" t="s">
        <v>91</v>
      </c>
      <c r="F444" s="13" t="s">
        <v>138</v>
      </c>
      <c r="G444" s="13" t="s">
        <v>533</v>
      </c>
      <c r="H444" s="13" t="s">
        <v>3149</v>
      </c>
      <c r="I444" s="13" t="s">
        <v>3150</v>
      </c>
      <c r="J444" s="13" t="s">
        <v>3151</v>
      </c>
      <c r="K444" s="13" t="s">
        <v>3152</v>
      </c>
      <c r="L444" s="13" t="s">
        <v>538</v>
      </c>
      <c r="M444" s="13" t="n">
        <v>3522.07</v>
      </c>
      <c r="N444" s="13" t="n">
        <v>40.38</v>
      </c>
      <c r="O444" s="13" t="n">
        <v>31</v>
      </c>
      <c r="P444" s="13" t="s">
        <v>539</v>
      </c>
      <c r="Q444" s="13" t="s">
        <v>3153</v>
      </c>
      <c r="R444" s="13" t="s">
        <v>1685</v>
      </c>
      <c r="S444" s="13" t="s">
        <v>1685</v>
      </c>
      <c r="T444" s="13" t="s">
        <v>61</v>
      </c>
      <c r="U444" s="13"/>
    </row>
    <row r="445" customFormat="false" ht="18" hidden="false" customHeight="true" outlineLevel="0" collapsed="false">
      <c r="A445" s="15" t="n">
        <v>444</v>
      </c>
      <c r="B445" s="15" t="s">
        <v>3154</v>
      </c>
      <c r="C445" s="15" t="s">
        <v>63</v>
      </c>
      <c r="D445" s="15" t="s">
        <v>64</v>
      </c>
      <c r="E445" s="15" t="s">
        <v>65</v>
      </c>
      <c r="F445" s="15" t="s">
        <v>127</v>
      </c>
      <c r="G445" s="15" t="s">
        <v>352</v>
      </c>
      <c r="H445" s="15" t="s">
        <v>3155</v>
      </c>
      <c r="I445" s="15" t="s">
        <v>3156</v>
      </c>
      <c r="J445" s="15" t="s">
        <v>3157</v>
      </c>
      <c r="K445" s="15" t="s">
        <v>3158</v>
      </c>
      <c r="L445" s="15" t="s">
        <v>582</v>
      </c>
      <c r="M445" s="15" t="n">
        <v>1069.19</v>
      </c>
      <c r="N445" s="15" t="n">
        <v>0.55</v>
      </c>
      <c r="O445" s="15" t="n">
        <v>180</v>
      </c>
      <c r="P445" s="15" t="s">
        <v>583</v>
      </c>
      <c r="Q445" s="15" t="s">
        <v>3159</v>
      </c>
      <c r="R445" s="15" t="s">
        <v>1283</v>
      </c>
      <c r="S445" s="15" t="s">
        <v>1283</v>
      </c>
      <c r="T445" s="15" t="s">
        <v>61</v>
      </c>
      <c r="U445" s="15" t="s">
        <v>453</v>
      </c>
    </row>
    <row r="446" customFormat="false" ht="18" hidden="false" customHeight="true" outlineLevel="0" collapsed="false">
      <c r="A446" s="13" t="n">
        <v>445</v>
      </c>
      <c r="B446" s="13" t="s">
        <v>3160</v>
      </c>
      <c r="C446" s="13" t="s">
        <v>113</v>
      </c>
      <c r="D446" s="13" t="s">
        <v>114</v>
      </c>
      <c r="E446" s="13" t="s">
        <v>79</v>
      </c>
      <c r="F446" s="13" t="s">
        <v>465</v>
      </c>
      <c r="G446" s="13" t="s">
        <v>197</v>
      </c>
      <c r="H446" s="13" t="s">
        <v>3161</v>
      </c>
      <c r="I446" s="13" t="s">
        <v>3162</v>
      </c>
      <c r="J446" s="13" t="s">
        <v>3163</v>
      </c>
      <c r="K446" s="13" t="s">
        <v>3164</v>
      </c>
      <c r="L446" s="13" t="s">
        <v>991</v>
      </c>
      <c r="M446" s="13" t="n">
        <v>2208.12</v>
      </c>
      <c r="N446" s="13" t="n">
        <v>1.71</v>
      </c>
      <c r="O446" s="13" t="n">
        <v>440</v>
      </c>
      <c r="P446" s="13" t="s">
        <v>992</v>
      </c>
      <c r="Q446" s="13" t="s">
        <v>3165</v>
      </c>
      <c r="R446" s="13" t="s">
        <v>3166</v>
      </c>
      <c r="S446" s="13" t="s">
        <v>3166</v>
      </c>
      <c r="T446" s="13" t="s">
        <v>61</v>
      </c>
      <c r="U446" s="13"/>
    </row>
    <row r="447" customFormat="false" ht="18" hidden="false" customHeight="true" outlineLevel="0" collapsed="false">
      <c r="A447" s="13" t="n">
        <v>446</v>
      </c>
      <c r="B447" s="13" t="s">
        <v>3167</v>
      </c>
      <c r="C447" s="13" t="s">
        <v>113</v>
      </c>
      <c r="D447" s="13" t="s">
        <v>114</v>
      </c>
      <c r="E447" s="13" t="s">
        <v>91</v>
      </c>
      <c r="F447" s="13" t="s">
        <v>587</v>
      </c>
      <c r="G447" s="13" t="s">
        <v>93</v>
      </c>
      <c r="H447" s="13" t="s">
        <v>3168</v>
      </c>
      <c r="I447" s="13" t="s">
        <v>3169</v>
      </c>
      <c r="J447" s="13" t="s">
        <v>3170</v>
      </c>
      <c r="K447" s="13" t="s">
        <v>3171</v>
      </c>
      <c r="L447" s="13" t="s">
        <v>1783</v>
      </c>
      <c r="M447" s="13" t="n">
        <v>1990.02</v>
      </c>
      <c r="N447" s="13" t="n">
        <v>31.63</v>
      </c>
      <c r="O447" s="13" t="n">
        <v>400</v>
      </c>
      <c r="P447" s="13" t="s">
        <v>1784</v>
      </c>
      <c r="Q447" s="13" t="s">
        <v>3172</v>
      </c>
      <c r="R447" s="13" t="s">
        <v>741</v>
      </c>
      <c r="S447" s="13" t="s">
        <v>741</v>
      </c>
      <c r="T447" s="13" t="s">
        <v>61</v>
      </c>
      <c r="U447" s="13"/>
    </row>
    <row r="448" customFormat="false" ht="18" hidden="false" customHeight="true" outlineLevel="0" collapsed="false">
      <c r="A448" s="13" t="n">
        <v>447</v>
      </c>
      <c r="B448" s="13" t="s">
        <v>3173</v>
      </c>
      <c r="C448" s="13" t="s">
        <v>125</v>
      </c>
      <c r="D448" s="13" t="s">
        <v>126</v>
      </c>
      <c r="E448" s="13" t="s">
        <v>161</v>
      </c>
      <c r="F448" s="13" t="s">
        <v>162</v>
      </c>
      <c r="G448" s="13" t="s">
        <v>285</v>
      </c>
      <c r="H448" s="13" t="s">
        <v>3174</v>
      </c>
      <c r="I448" s="13" t="s">
        <v>3175</v>
      </c>
      <c r="J448" s="13" t="s">
        <v>3176</v>
      </c>
      <c r="K448" s="13" t="s">
        <v>3177</v>
      </c>
      <c r="L448" s="13" t="s">
        <v>1996</v>
      </c>
      <c r="M448" s="13" t="n">
        <v>142.65</v>
      </c>
      <c r="N448" s="13" t="n">
        <v>0.34</v>
      </c>
      <c r="O448" s="13" t="n">
        <v>93</v>
      </c>
      <c r="P448" s="13" t="s">
        <v>1997</v>
      </c>
      <c r="Q448" s="13" t="s">
        <v>3178</v>
      </c>
      <c r="R448" s="13" t="s">
        <v>1957</v>
      </c>
      <c r="S448" s="13" t="s">
        <v>1957</v>
      </c>
      <c r="T448" s="13" t="s">
        <v>61</v>
      </c>
      <c r="U448" s="13"/>
    </row>
    <row r="449" customFormat="false" ht="18" hidden="false" customHeight="true" outlineLevel="0" collapsed="false">
      <c r="A449" s="14" t="n">
        <v>448</v>
      </c>
      <c r="B449" s="14" t="s">
        <v>3179</v>
      </c>
      <c r="C449" s="14" t="s">
        <v>48</v>
      </c>
      <c r="D449" s="14" t="s">
        <v>49</v>
      </c>
      <c r="E449" s="14" t="s">
        <v>161</v>
      </c>
      <c r="F449" s="14" t="s">
        <v>51</v>
      </c>
      <c r="G449" s="14" t="s">
        <v>257</v>
      </c>
      <c r="H449" s="14" t="s">
        <v>3180</v>
      </c>
      <c r="I449" s="14" t="s">
        <v>3181</v>
      </c>
      <c r="J449" s="14" t="s">
        <v>3182</v>
      </c>
      <c r="K449" s="14" t="s">
        <v>2815</v>
      </c>
      <c r="L449" s="14"/>
      <c r="M449" s="14" t="n">
        <v>436.22</v>
      </c>
      <c r="N449" s="14" t="n">
        <v>0.44</v>
      </c>
      <c r="O449" s="14" t="n">
        <v>51</v>
      </c>
      <c r="P449" s="14" t="s">
        <v>2563</v>
      </c>
      <c r="Q449" s="14" t="s">
        <v>1562</v>
      </c>
      <c r="R449" s="14" t="s">
        <v>1631</v>
      </c>
      <c r="S449" s="14" t="s">
        <v>1631</v>
      </c>
      <c r="T449" s="14" t="s">
        <v>61</v>
      </c>
      <c r="U449" s="14" t="s">
        <v>1107</v>
      </c>
    </row>
    <row r="450" customFormat="false" ht="18" hidden="false" customHeight="true" outlineLevel="0" collapsed="false">
      <c r="A450" s="13" t="n">
        <v>449</v>
      </c>
      <c r="B450" s="13" t="s">
        <v>3183</v>
      </c>
      <c r="C450" s="13" t="s">
        <v>113</v>
      </c>
      <c r="D450" s="13" t="s">
        <v>114</v>
      </c>
      <c r="E450" s="13" t="s">
        <v>161</v>
      </c>
      <c r="F450" s="13" t="s">
        <v>185</v>
      </c>
      <c r="G450" s="13" t="s">
        <v>175</v>
      </c>
      <c r="H450" s="13" t="s">
        <v>3184</v>
      </c>
      <c r="I450" s="13" t="s">
        <v>3185</v>
      </c>
      <c r="J450" s="13" t="s">
        <v>3186</v>
      </c>
      <c r="K450" s="13" t="s">
        <v>675</v>
      </c>
      <c r="L450" s="13" t="s">
        <v>676</v>
      </c>
      <c r="M450" s="13" t="n">
        <v>215.12</v>
      </c>
      <c r="N450" s="13" t="n">
        <v>0.3</v>
      </c>
      <c r="O450" s="13" t="n">
        <v>82</v>
      </c>
      <c r="P450" s="13" t="s">
        <v>677</v>
      </c>
      <c r="Q450" s="13" t="s">
        <v>2810</v>
      </c>
      <c r="R450" s="13" t="s">
        <v>1899</v>
      </c>
      <c r="S450" s="13" t="s">
        <v>1899</v>
      </c>
      <c r="T450" s="13" t="s">
        <v>61</v>
      </c>
      <c r="U450" s="13"/>
    </row>
    <row r="451" customFormat="false" ht="18" hidden="false" customHeight="true" outlineLevel="0" collapsed="false">
      <c r="A451" s="13" t="n">
        <v>450</v>
      </c>
      <c r="B451" s="13" t="s">
        <v>3187</v>
      </c>
      <c r="C451" s="13" t="s">
        <v>113</v>
      </c>
      <c r="D451" s="13" t="s">
        <v>114</v>
      </c>
      <c r="E451" s="13" t="s">
        <v>91</v>
      </c>
      <c r="F451" s="13" t="s">
        <v>185</v>
      </c>
      <c r="G451" s="13" t="s">
        <v>533</v>
      </c>
      <c r="H451" s="13" t="s">
        <v>3188</v>
      </c>
      <c r="I451" s="13" t="s">
        <v>3189</v>
      </c>
      <c r="J451" s="13" t="s">
        <v>3190</v>
      </c>
      <c r="K451" s="13" t="s">
        <v>3191</v>
      </c>
      <c r="L451" s="13" t="s">
        <v>1617</v>
      </c>
      <c r="M451" s="13" t="n">
        <v>1314.38</v>
      </c>
      <c r="N451" s="13" t="n">
        <v>17.63</v>
      </c>
      <c r="O451" s="13" t="n">
        <v>134</v>
      </c>
      <c r="P451" s="13" t="s">
        <v>1618</v>
      </c>
      <c r="Q451" s="13" t="s">
        <v>3172</v>
      </c>
      <c r="R451" s="13" t="s">
        <v>360</v>
      </c>
      <c r="S451" s="13" t="s">
        <v>360</v>
      </c>
      <c r="T451" s="13" t="s">
        <v>61</v>
      </c>
      <c r="U451" s="13"/>
    </row>
    <row r="452" customFormat="false" ht="18" hidden="false" customHeight="true" outlineLevel="0" collapsed="false">
      <c r="A452" s="13" t="n">
        <v>451</v>
      </c>
      <c r="B452" s="13" t="s">
        <v>3192</v>
      </c>
      <c r="C452" s="13" t="s">
        <v>255</v>
      </c>
      <c r="D452" s="13" t="s">
        <v>256</v>
      </c>
      <c r="E452" s="13" t="s">
        <v>65</v>
      </c>
      <c r="F452" s="13" t="s">
        <v>66</v>
      </c>
      <c r="G452" s="13" t="s">
        <v>274</v>
      </c>
      <c r="H452" s="13" t="s">
        <v>3193</v>
      </c>
      <c r="I452" s="13" t="s">
        <v>3194</v>
      </c>
      <c r="J452" s="13" t="s">
        <v>3195</v>
      </c>
      <c r="K452" s="13" t="s">
        <v>1696</v>
      </c>
      <c r="L452" s="13" t="s">
        <v>1697</v>
      </c>
      <c r="M452" s="13" t="n">
        <v>97.59</v>
      </c>
      <c r="N452" s="13" t="n">
        <v>0.33</v>
      </c>
      <c r="O452" s="13" t="n">
        <v>141</v>
      </c>
      <c r="P452" s="13" t="s">
        <v>1698</v>
      </c>
      <c r="Q452" s="13" t="s">
        <v>686</v>
      </c>
      <c r="R452" s="13" t="s">
        <v>462</v>
      </c>
      <c r="S452" s="13" t="s">
        <v>462</v>
      </c>
      <c r="T452" s="13" t="s">
        <v>61</v>
      </c>
      <c r="U452" s="13"/>
    </row>
    <row r="453" customFormat="false" ht="18" hidden="false" customHeight="true" outlineLevel="0" collapsed="false">
      <c r="A453" s="13" t="n">
        <v>452</v>
      </c>
      <c r="B453" s="13" t="s">
        <v>3196</v>
      </c>
      <c r="C453" s="13" t="s">
        <v>77</v>
      </c>
      <c r="D453" s="13" t="s">
        <v>78</v>
      </c>
      <c r="E453" s="13" t="s">
        <v>50</v>
      </c>
      <c r="F453" s="13" t="s">
        <v>503</v>
      </c>
      <c r="G453" s="13" t="s">
        <v>689</v>
      </c>
      <c r="H453" s="13" t="s">
        <v>3197</v>
      </c>
      <c r="I453" s="13" t="s">
        <v>3198</v>
      </c>
      <c r="J453" s="13" t="s">
        <v>3199</v>
      </c>
      <c r="K453" s="13" t="s">
        <v>3200</v>
      </c>
      <c r="L453" s="13" t="s">
        <v>1298</v>
      </c>
      <c r="M453" s="13" t="n">
        <v>157.45</v>
      </c>
      <c r="N453" s="13" t="n">
        <v>0.9</v>
      </c>
      <c r="O453" s="13" t="n">
        <v>494</v>
      </c>
      <c r="P453" s="13" t="s">
        <v>1299</v>
      </c>
      <c r="Q453" s="13" t="s">
        <v>805</v>
      </c>
      <c r="R453" s="13" t="s">
        <v>806</v>
      </c>
      <c r="S453" s="13" t="s">
        <v>806</v>
      </c>
      <c r="T453" s="13" t="s">
        <v>61</v>
      </c>
      <c r="U453" s="13"/>
    </row>
    <row r="454" customFormat="false" ht="18" hidden="false" customHeight="true" outlineLevel="0" collapsed="false">
      <c r="A454" s="13" t="n">
        <v>453</v>
      </c>
      <c r="B454" s="13" t="s">
        <v>3201</v>
      </c>
      <c r="C454" s="13" t="s">
        <v>48</v>
      </c>
      <c r="D454" s="13" t="s">
        <v>49</v>
      </c>
      <c r="E454" s="13" t="s">
        <v>79</v>
      </c>
      <c r="F454" s="13" t="s">
        <v>127</v>
      </c>
      <c r="G454" s="13" t="s">
        <v>128</v>
      </c>
      <c r="H454" s="13" t="s">
        <v>3202</v>
      </c>
      <c r="I454" s="13" t="s">
        <v>3203</v>
      </c>
      <c r="J454" s="13" t="s">
        <v>3204</v>
      </c>
      <c r="K454" s="13" t="s">
        <v>3205</v>
      </c>
      <c r="L454" s="13" t="s">
        <v>133</v>
      </c>
      <c r="M454" s="13" t="n">
        <v>2151.36</v>
      </c>
      <c r="N454" s="13" t="n">
        <v>1.32</v>
      </c>
      <c r="O454" s="13" t="n">
        <v>110</v>
      </c>
      <c r="P454" s="13" t="s">
        <v>134</v>
      </c>
      <c r="Q454" s="13" t="s">
        <v>472</v>
      </c>
      <c r="R454" s="13" t="s">
        <v>3206</v>
      </c>
      <c r="S454" s="13" t="s">
        <v>3206</v>
      </c>
      <c r="T454" s="13" t="s">
        <v>61</v>
      </c>
      <c r="U454" s="13"/>
    </row>
    <row r="455" customFormat="false" ht="18" hidden="false" customHeight="true" outlineLevel="0" collapsed="false">
      <c r="A455" s="13" t="n">
        <v>454</v>
      </c>
      <c r="B455" s="13" t="s">
        <v>3207</v>
      </c>
      <c r="C455" s="13" t="s">
        <v>48</v>
      </c>
      <c r="D455" s="13" t="s">
        <v>49</v>
      </c>
      <c r="E455" s="13" t="s">
        <v>161</v>
      </c>
      <c r="F455" s="13" t="s">
        <v>162</v>
      </c>
      <c r="G455" s="13" t="s">
        <v>207</v>
      </c>
      <c r="H455" s="13" t="s">
        <v>3208</v>
      </c>
      <c r="I455" s="13" t="s">
        <v>3209</v>
      </c>
      <c r="J455" s="13" t="s">
        <v>3210</v>
      </c>
      <c r="K455" s="13" t="s">
        <v>3211</v>
      </c>
      <c r="L455" s="13" t="s">
        <v>3212</v>
      </c>
      <c r="M455" s="13" t="n">
        <v>297.65</v>
      </c>
      <c r="N455" s="13" t="n">
        <v>0.25</v>
      </c>
      <c r="O455" s="13" t="n">
        <v>123</v>
      </c>
      <c r="P455" s="13" t="s">
        <v>3213</v>
      </c>
      <c r="Q455" s="13" t="s">
        <v>214</v>
      </c>
      <c r="R455" s="13" t="s">
        <v>788</v>
      </c>
      <c r="S455" s="13" t="s">
        <v>788</v>
      </c>
      <c r="T455" s="13" t="s">
        <v>61</v>
      </c>
      <c r="U455" s="13"/>
    </row>
    <row r="456" customFormat="false" ht="18" hidden="false" customHeight="true" outlineLevel="0" collapsed="false">
      <c r="A456" s="13" t="n">
        <v>455</v>
      </c>
      <c r="B456" s="13" t="s">
        <v>3214</v>
      </c>
      <c r="C456" s="13" t="s">
        <v>255</v>
      </c>
      <c r="D456" s="13" t="s">
        <v>256</v>
      </c>
      <c r="E456" s="13" t="s">
        <v>161</v>
      </c>
      <c r="F456" s="13" t="s">
        <v>306</v>
      </c>
      <c r="G456" s="13" t="s">
        <v>207</v>
      </c>
      <c r="H456" s="13" t="s">
        <v>3215</v>
      </c>
      <c r="I456" s="13" t="s">
        <v>3216</v>
      </c>
      <c r="J456" s="13" t="s">
        <v>3217</v>
      </c>
      <c r="K456" s="13" t="s">
        <v>3218</v>
      </c>
      <c r="L456" s="13" t="s">
        <v>1683</v>
      </c>
      <c r="M456" s="13" t="n">
        <v>399.82</v>
      </c>
      <c r="N456" s="13" t="n">
        <v>0.22</v>
      </c>
      <c r="O456" s="13" t="n">
        <v>78</v>
      </c>
      <c r="P456" s="13" t="s">
        <v>1684</v>
      </c>
      <c r="Q456" s="13" t="s">
        <v>3219</v>
      </c>
      <c r="R456" s="13" t="s">
        <v>2276</v>
      </c>
      <c r="S456" s="13" t="s">
        <v>2276</v>
      </c>
      <c r="T456" s="13" t="s">
        <v>61</v>
      </c>
      <c r="U456" s="13"/>
    </row>
    <row r="457" customFormat="false" ht="18" hidden="false" customHeight="true" outlineLevel="0" collapsed="false">
      <c r="A457" s="13" t="n">
        <v>456</v>
      </c>
      <c r="B457" s="13" t="s">
        <v>3220</v>
      </c>
      <c r="C457" s="13" t="s">
        <v>48</v>
      </c>
      <c r="D457" s="13" t="s">
        <v>49</v>
      </c>
      <c r="E457" s="13" t="s">
        <v>65</v>
      </c>
      <c r="F457" s="13" t="s">
        <v>66</v>
      </c>
      <c r="G457" s="13" t="s">
        <v>149</v>
      </c>
      <c r="H457" s="13" t="s">
        <v>3221</v>
      </c>
      <c r="I457" s="13" t="s">
        <v>3222</v>
      </c>
      <c r="J457" s="13" t="s">
        <v>3223</v>
      </c>
      <c r="K457" s="13" t="s">
        <v>1175</v>
      </c>
      <c r="L457" s="13" t="s">
        <v>1176</v>
      </c>
      <c r="M457" s="13" t="n">
        <v>89.5</v>
      </c>
      <c r="N457" s="13" t="n">
        <v>1.07</v>
      </c>
      <c r="O457" s="13" t="n">
        <v>352</v>
      </c>
      <c r="P457" s="13" t="s">
        <v>1177</v>
      </c>
      <c r="Q457" s="13" t="s">
        <v>252</v>
      </c>
      <c r="R457" s="13" t="s">
        <v>2622</v>
      </c>
      <c r="S457" s="13" t="s">
        <v>2622</v>
      </c>
      <c r="T457" s="13" t="s">
        <v>61</v>
      </c>
      <c r="U457" s="13"/>
    </row>
    <row r="458" customFormat="false" ht="18" hidden="false" customHeight="true" outlineLevel="0" collapsed="false">
      <c r="A458" s="13" t="n">
        <v>457</v>
      </c>
      <c r="B458" s="13" t="s">
        <v>3224</v>
      </c>
      <c r="C458" s="13" t="s">
        <v>125</v>
      </c>
      <c r="D458" s="13" t="s">
        <v>126</v>
      </c>
      <c r="E458" s="13" t="s">
        <v>91</v>
      </c>
      <c r="F458" s="13" t="s">
        <v>587</v>
      </c>
      <c r="G458" s="13" t="s">
        <v>420</v>
      </c>
      <c r="H458" s="13" t="s">
        <v>3225</v>
      </c>
      <c r="I458" s="13" t="s">
        <v>3226</v>
      </c>
      <c r="J458" s="13" t="s">
        <v>3227</v>
      </c>
      <c r="K458" s="13" t="s">
        <v>3228</v>
      </c>
      <c r="L458" s="13" t="s">
        <v>592</v>
      </c>
      <c r="M458" s="13" t="n">
        <v>1467.33</v>
      </c>
      <c r="N458" s="13" t="n">
        <v>41.63</v>
      </c>
      <c r="O458" s="13" t="n">
        <v>451</v>
      </c>
      <c r="P458" s="13" t="s">
        <v>593</v>
      </c>
      <c r="Q458" s="13" t="s">
        <v>1230</v>
      </c>
      <c r="R458" s="13" t="s">
        <v>1827</v>
      </c>
      <c r="S458" s="13" t="s">
        <v>1827</v>
      </c>
      <c r="T458" s="13" t="s">
        <v>61</v>
      </c>
      <c r="U458" s="13"/>
    </row>
    <row r="459" customFormat="false" ht="18" hidden="false" customHeight="true" outlineLevel="0" collapsed="false">
      <c r="A459" s="13" t="n">
        <v>458</v>
      </c>
      <c r="B459" s="13" t="s">
        <v>3229</v>
      </c>
      <c r="C459" s="13" t="s">
        <v>48</v>
      </c>
      <c r="D459" s="13" t="s">
        <v>49</v>
      </c>
      <c r="E459" s="13" t="s">
        <v>91</v>
      </c>
      <c r="F459" s="13" t="s">
        <v>185</v>
      </c>
      <c r="G459" s="13" t="s">
        <v>93</v>
      </c>
      <c r="H459" s="13" t="s">
        <v>3230</v>
      </c>
      <c r="I459" s="13" t="s">
        <v>3231</v>
      </c>
      <c r="J459" s="13" t="s">
        <v>3232</v>
      </c>
      <c r="K459" s="13" t="s">
        <v>3233</v>
      </c>
      <c r="L459" s="13" t="s">
        <v>528</v>
      </c>
      <c r="M459" s="13" t="n">
        <v>3087.68</v>
      </c>
      <c r="N459" s="13" t="n">
        <v>23.07</v>
      </c>
      <c r="O459" s="13" t="n">
        <v>352</v>
      </c>
      <c r="P459" s="13" t="s">
        <v>529</v>
      </c>
      <c r="Q459" s="13" t="s">
        <v>3234</v>
      </c>
      <c r="R459" s="13" t="s">
        <v>2503</v>
      </c>
      <c r="S459" s="13" t="s">
        <v>2503</v>
      </c>
      <c r="T459" s="13" t="s">
        <v>61</v>
      </c>
      <c r="U459" s="13"/>
    </row>
    <row r="460" customFormat="false" ht="18" hidden="false" customHeight="true" outlineLevel="0" collapsed="false">
      <c r="A460" s="13" t="n">
        <v>459</v>
      </c>
      <c r="B460" s="13" t="s">
        <v>3235</v>
      </c>
      <c r="C460" s="13" t="s">
        <v>125</v>
      </c>
      <c r="D460" s="13" t="s">
        <v>126</v>
      </c>
      <c r="E460" s="13" t="s">
        <v>161</v>
      </c>
      <c r="F460" s="13" t="s">
        <v>51</v>
      </c>
      <c r="G460" s="13" t="s">
        <v>257</v>
      </c>
      <c r="H460" s="13" t="s">
        <v>3236</v>
      </c>
      <c r="I460" s="13" t="s">
        <v>3237</v>
      </c>
      <c r="J460" s="13" t="s">
        <v>3238</v>
      </c>
      <c r="K460" s="13" t="s">
        <v>3239</v>
      </c>
      <c r="L460" s="13" t="s">
        <v>2562</v>
      </c>
      <c r="M460" s="13" t="n">
        <v>370.43</v>
      </c>
      <c r="N460" s="13" t="n">
        <v>0.22</v>
      </c>
      <c r="O460" s="13" t="n">
        <v>480</v>
      </c>
      <c r="P460" s="13" t="s">
        <v>2563</v>
      </c>
      <c r="Q460" s="13" t="s">
        <v>2556</v>
      </c>
      <c r="R460" s="13" t="s">
        <v>3240</v>
      </c>
      <c r="S460" s="13" t="s">
        <v>3240</v>
      </c>
      <c r="T460" s="13" t="s">
        <v>61</v>
      </c>
      <c r="U460" s="13"/>
    </row>
    <row r="461" customFormat="false" ht="18" hidden="false" customHeight="true" outlineLevel="0" collapsed="false">
      <c r="A461" s="15" t="n">
        <v>460</v>
      </c>
      <c r="B461" s="15" t="s">
        <v>1815</v>
      </c>
      <c r="C461" s="15" t="s">
        <v>255</v>
      </c>
      <c r="D461" s="15" t="s">
        <v>256</v>
      </c>
      <c r="E461" s="15" t="s">
        <v>50</v>
      </c>
      <c r="F461" s="15" t="s">
        <v>51</v>
      </c>
      <c r="G461" s="15" t="s">
        <v>52</v>
      </c>
      <c r="H461" s="15" t="s">
        <v>1816</v>
      </c>
      <c r="I461" s="15" t="s">
        <v>1817</v>
      </c>
      <c r="J461" s="15" t="s">
        <v>1818</v>
      </c>
      <c r="K461" s="15" t="s">
        <v>1819</v>
      </c>
      <c r="L461" s="15" t="s">
        <v>57</v>
      </c>
      <c r="M461" s="15" t="n">
        <v>492.18</v>
      </c>
      <c r="N461" s="15" t="n">
        <v>0.73</v>
      </c>
      <c r="O461" s="15" t="n">
        <v>398</v>
      </c>
      <c r="P461" s="15" t="s">
        <v>58</v>
      </c>
      <c r="Q461" s="15" t="s">
        <v>1820</v>
      </c>
      <c r="R461" s="15" t="s">
        <v>1821</v>
      </c>
      <c r="S461" s="15" t="s">
        <v>1821</v>
      </c>
      <c r="T461" s="15" t="s">
        <v>61</v>
      </c>
      <c r="U461" s="15" t="s">
        <v>283</v>
      </c>
    </row>
    <row r="462" customFormat="false" ht="18" hidden="false" customHeight="true" outlineLevel="0" collapsed="false">
      <c r="A462" s="13" t="n">
        <v>461</v>
      </c>
      <c r="B462" s="13" t="s">
        <v>3241</v>
      </c>
      <c r="C462" s="13" t="s">
        <v>159</v>
      </c>
      <c r="D462" s="13" t="s">
        <v>160</v>
      </c>
      <c r="E462" s="13" t="s">
        <v>79</v>
      </c>
      <c r="F462" s="13" t="s">
        <v>127</v>
      </c>
      <c r="G462" s="13" t="s">
        <v>760</v>
      </c>
      <c r="H462" s="13" t="s">
        <v>3242</v>
      </c>
      <c r="I462" s="13" t="s">
        <v>3243</v>
      </c>
      <c r="J462" s="13" t="s">
        <v>3244</v>
      </c>
      <c r="K462" s="13" t="s">
        <v>3245</v>
      </c>
      <c r="L462" s="13" t="s">
        <v>1649</v>
      </c>
      <c r="M462" s="13" t="n">
        <v>420.67</v>
      </c>
      <c r="N462" s="13" t="n">
        <v>1.41</v>
      </c>
      <c r="O462" s="13" t="n">
        <v>165</v>
      </c>
      <c r="P462" s="13" t="s">
        <v>1650</v>
      </c>
      <c r="Q462" s="13" t="s">
        <v>2756</v>
      </c>
      <c r="R462" s="13" t="s">
        <v>3246</v>
      </c>
      <c r="S462" s="13" t="s">
        <v>3246</v>
      </c>
      <c r="T462" s="13" t="s">
        <v>61</v>
      </c>
      <c r="U462" s="13"/>
    </row>
    <row r="463" customFormat="false" ht="18" hidden="false" customHeight="true" outlineLevel="0" collapsed="false">
      <c r="A463" s="13" t="n">
        <v>462</v>
      </c>
      <c r="B463" s="13" t="s">
        <v>3247</v>
      </c>
      <c r="C463" s="13" t="s">
        <v>159</v>
      </c>
      <c r="D463" s="13" t="s">
        <v>160</v>
      </c>
      <c r="E463" s="13" t="s">
        <v>161</v>
      </c>
      <c r="F463" s="13" t="s">
        <v>822</v>
      </c>
      <c r="G463" s="13" t="s">
        <v>163</v>
      </c>
      <c r="H463" s="13" t="s">
        <v>3248</v>
      </c>
      <c r="I463" s="13" t="s">
        <v>3249</v>
      </c>
      <c r="J463" s="13" t="s">
        <v>3250</v>
      </c>
      <c r="K463" s="13" t="s">
        <v>3251</v>
      </c>
      <c r="L463" s="13" t="s">
        <v>3252</v>
      </c>
      <c r="M463" s="13" t="n">
        <v>209.37</v>
      </c>
      <c r="N463" s="13" t="n">
        <v>0.37</v>
      </c>
      <c r="O463" s="13" t="n">
        <v>496</v>
      </c>
      <c r="P463" s="13" t="s">
        <v>3253</v>
      </c>
      <c r="Q463" s="13" t="s">
        <v>3254</v>
      </c>
      <c r="R463" s="13" t="s">
        <v>1845</v>
      </c>
      <c r="S463" s="13" t="s">
        <v>1845</v>
      </c>
      <c r="T463" s="13" t="s">
        <v>61</v>
      </c>
      <c r="U463" s="13"/>
    </row>
    <row r="464" customFormat="false" ht="18" hidden="false" customHeight="true" outlineLevel="0" collapsed="false">
      <c r="A464" s="15" t="n">
        <v>463</v>
      </c>
      <c r="B464" s="15" t="s">
        <v>3255</v>
      </c>
      <c r="C464" s="15" t="s">
        <v>48</v>
      </c>
      <c r="D464" s="15" t="s">
        <v>49</v>
      </c>
      <c r="E464" s="15" t="s">
        <v>79</v>
      </c>
      <c r="F464" s="15" t="s">
        <v>513</v>
      </c>
      <c r="G464" s="15" t="s">
        <v>562</v>
      </c>
      <c r="H464" s="15" t="s">
        <v>3256</v>
      </c>
      <c r="I464" s="15" t="s">
        <v>3257</v>
      </c>
      <c r="J464" s="15" t="s">
        <v>3258</v>
      </c>
      <c r="K464" s="15" t="s">
        <v>1892</v>
      </c>
      <c r="L464" s="15" t="s">
        <v>567</v>
      </c>
      <c r="M464" s="15" t="n">
        <v>9045.32</v>
      </c>
      <c r="N464" s="15" t="n">
        <v>2.22</v>
      </c>
      <c r="O464" s="15" t="n">
        <v>141</v>
      </c>
      <c r="P464" s="15" t="s">
        <v>568</v>
      </c>
      <c r="Q464" s="15" t="s">
        <v>3259</v>
      </c>
      <c r="R464" s="15" t="s">
        <v>1510</v>
      </c>
      <c r="S464" s="15" t="s">
        <v>1510</v>
      </c>
      <c r="T464" s="15" t="s">
        <v>61</v>
      </c>
      <c r="U464" s="15" t="s">
        <v>343</v>
      </c>
    </row>
    <row r="465" customFormat="false" ht="18" hidden="false" customHeight="true" outlineLevel="0" collapsed="false">
      <c r="A465" s="13" t="n">
        <v>464</v>
      </c>
      <c r="B465" s="13" t="s">
        <v>3260</v>
      </c>
      <c r="C465" s="13" t="s">
        <v>77</v>
      </c>
      <c r="D465" s="13" t="s">
        <v>78</v>
      </c>
      <c r="E465" s="13" t="s">
        <v>161</v>
      </c>
      <c r="F465" s="13" t="s">
        <v>162</v>
      </c>
      <c r="G465" s="13" t="s">
        <v>285</v>
      </c>
      <c r="H465" s="13" t="s">
        <v>3261</v>
      </c>
      <c r="I465" s="13" t="s">
        <v>3262</v>
      </c>
      <c r="J465" s="13" t="s">
        <v>3263</v>
      </c>
      <c r="K465" s="13" t="s">
        <v>3264</v>
      </c>
      <c r="L465" s="13" t="s">
        <v>1996</v>
      </c>
      <c r="M465" s="13" t="n">
        <v>506.76</v>
      </c>
      <c r="N465" s="13" t="n">
        <v>0.22</v>
      </c>
      <c r="O465" s="13" t="n">
        <v>341</v>
      </c>
      <c r="P465" s="13" t="s">
        <v>1997</v>
      </c>
      <c r="Q465" s="13" t="s">
        <v>1188</v>
      </c>
      <c r="R465" s="13" t="s">
        <v>1409</v>
      </c>
      <c r="S465" s="13" t="s">
        <v>1409</v>
      </c>
      <c r="T465" s="13" t="s">
        <v>61</v>
      </c>
      <c r="U465" s="13"/>
    </row>
    <row r="466" customFormat="false" ht="18" hidden="false" customHeight="true" outlineLevel="0" collapsed="false">
      <c r="A466" s="13" t="n">
        <v>465</v>
      </c>
      <c r="B466" s="13" t="s">
        <v>3265</v>
      </c>
      <c r="C466" s="13" t="s">
        <v>125</v>
      </c>
      <c r="D466" s="13" t="s">
        <v>126</v>
      </c>
      <c r="E466" s="13" t="s">
        <v>50</v>
      </c>
      <c r="F466" s="13" t="s">
        <v>138</v>
      </c>
      <c r="G466" s="13" t="s">
        <v>808</v>
      </c>
      <c r="H466" s="13" t="s">
        <v>3266</v>
      </c>
      <c r="I466" s="13" t="s">
        <v>3267</v>
      </c>
      <c r="J466" s="13" t="s">
        <v>3268</v>
      </c>
      <c r="K466" s="13" t="s">
        <v>3269</v>
      </c>
      <c r="L466" s="13" t="s">
        <v>813</v>
      </c>
      <c r="M466" s="13" t="n">
        <v>961.16</v>
      </c>
      <c r="N466" s="13" t="n">
        <v>0.76</v>
      </c>
      <c r="O466" s="13" t="n">
        <v>49</v>
      </c>
      <c r="P466" s="13" t="s">
        <v>814</v>
      </c>
      <c r="Q466" s="13" t="s">
        <v>3270</v>
      </c>
      <c r="R466" s="13" t="s">
        <v>2581</v>
      </c>
      <c r="S466" s="13" t="s">
        <v>2581</v>
      </c>
      <c r="T466" s="13" t="s">
        <v>61</v>
      </c>
      <c r="U466" s="13"/>
    </row>
    <row r="467" customFormat="false" ht="18" hidden="false" customHeight="true" outlineLevel="0" collapsed="false">
      <c r="A467" s="13" t="n">
        <v>466</v>
      </c>
      <c r="B467" s="13" t="s">
        <v>3271</v>
      </c>
      <c r="C467" s="13" t="s">
        <v>173</v>
      </c>
      <c r="D467" s="13" t="s">
        <v>174</v>
      </c>
      <c r="E467" s="13" t="s">
        <v>65</v>
      </c>
      <c r="F467" s="13" t="s">
        <v>66</v>
      </c>
      <c r="G467" s="13" t="s">
        <v>67</v>
      </c>
      <c r="H467" s="13" t="s">
        <v>3272</v>
      </c>
      <c r="I467" s="13" t="s">
        <v>3273</v>
      </c>
      <c r="J467" s="13" t="s">
        <v>3274</v>
      </c>
      <c r="K467" s="13" t="s">
        <v>71</v>
      </c>
      <c r="L467" s="13" t="s">
        <v>72</v>
      </c>
      <c r="M467" s="13" t="n">
        <v>247.41</v>
      </c>
      <c r="N467" s="13" t="n">
        <v>0.81</v>
      </c>
      <c r="O467" s="13" t="n">
        <v>203</v>
      </c>
      <c r="P467" s="13" t="s">
        <v>73</v>
      </c>
      <c r="Q467" s="13" t="s">
        <v>1699</v>
      </c>
      <c r="R467" s="13" t="s">
        <v>1611</v>
      </c>
      <c r="S467" s="13" t="s">
        <v>1611</v>
      </c>
      <c r="T467" s="13" t="s">
        <v>61</v>
      </c>
      <c r="U467" s="13"/>
    </row>
    <row r="468" customFormat="false" ht="18" hidden="false" customHeight="true" outlineLevel="0" collapsed="false">
      <c r="A468" s="13" t="n">
        <v>467</v>
      </c>
      <c r="B468" s="13" t="s">
        <v>3275</v>
      </c>
      <c r="C468" s="13" t="s">
        <v>113</v>
      </c>
      <c r="D468" s="13" t="s">
        <v>114</v>
      </c>
      <c r="E468" s="13" t="s">
        <v>79</v>
      </c>
      <c r="F468" s="13" t="s">
        <v>1531</v>
      </c>
      <c r="G468" s="13" t="s">
        <v>562</v>
      </c>
      <c r="H468" s="13" t="s">
        <v>3276</v>
      </c>
      <c r="I468" s="13" t="s">
        <v>3277</v>
      </c>
      <c r="J468" s="13" t="s">
        <v>3278</v>
      </c>
      <c r="K468" s="13" t="s">
        <v>3279</v>
      </c>
      <c r="L468" s="13" t="s">
        <v>3280</v>
      </c>
      <c r="M468" s="13" t="n">
        <v>1418.28</v>
      </c>
      <c r="N468" s="13" t="n">
        <v>1.36</v>
      </c>
      <c r="O468" s="13" t="n">
        <v>292</v>
      </c>
      <c r="P468" s="13" t="s">
        <v>3281</v>
      </c>
      <c r="Q468" s="13" t="s">
        <v>906</v>
      </c>
      <c r="R468" s="13" t="s">
        <v>2581</v>
      </c>
      <c r="S468" s="13" t="s">
        <v>2581</v>
      </c>
      <c r="T468" s="13" t="s">
        <v>61</v>
      </c>
      <c r="U468" s="13"/>
    </row>
    <row r="469" customFormat="false" ht="18" hidden="false" customHeight="true" outlineLevel="0" collapsed="false">
      <c r="A469" s="13" t="n">
        <v>468</v>
      </c>
      <c r="B469" s="13" t="s">
        <v>3282</v>
      </c>
      <c r="C469" s="13" t="s">
        <v>173</v>
      </c>
      <c r="D469" s="13" t="s">
        <v>174</v>
      </c>
      <c r="E469" s="13" t="s">
        <v>79</v>
      </c>
      <c r="F469" s="13" t="s">
        <v>127</v>
      </c>
      <c r="G469" s="13" t="s">
        <v>80</v>
      </c>
      <c r="H469" s="13" t="s">
        <v>3283</v>
      </c>
      <c r="I469" s="13" t="s">
        <v>3284</v>
      </c>
      <c r="J469" s="13" t="s">
        <v>3285</v>
      </c>
      <c r="K469" s="13" t="s">
        <v>3286</v>
      </c>
      <c r="L469" s="13" t="s">
        <v>1138</v>
      </c>
      <c r="M469" s="13" t="n">
        <v>978.83</v>
      </c>
      <c r="N469" s="13" t="n">
        <v>2.21</v>
      </c>
      <c r="O469" s="13" t="n">
        <v>262</v>
      </c>
      <c r="P469" s="13" t="s">
        <v>1139</v>
      </c>
      <c r="Q469" s="13" t="s">
        <v>3287</v>
      </c>
      <c r="R469" s="13" t="s">
        <v>3288</v>
      </c>
      <c r="S469" s="13" t="s">
        <v>3288</v>
      </c>
      <c r="T469" s="13" t="s">
        <v>61</v>
      </c>
      <c r="U469" s="13"/>
    </row>
    <row r="470" customFormat="false" ht="18" hidden="false" customHeight="true" outlineLevel="0" collapsed="false">
      <c r="A470" s="13" t="n">
        <v>469</v>
      </c>
      <c r="B470" s="13" t="s">
        <v>3289</v>
      </c>
      <c r="C470" s="13" t="s">
        <v>113</v>
      </c>
      <c r="D470" s="13" t="s">
        <v>114</v>
      </c>
      <c r="E470" s="13" t="s">
        <v>79</v>
      </c>
      <c r="F470" s="13" t="s">
        <v>1531</v>
      </c>
      <c r="G470" s="13" t="s">
        <v>80</v>
      </c>
      <c r="H470" s="13" t="s">
        <v>3290</v>
      </c>
      <c r="I470" s="13" t="s">
        <v>3291</v>
      </c>
      <c r="J470" s="13" t="s">
        <v>3292</v>
      </c>
      <c r="K470" s="13" t="s">
        <v>3293</v>
      </c>
      <c r="L470" s="13" t="s">
        <v>3294</v>
      </c>
      <c r="M470" s="13" t="n">
        <v>1369.55</v>
      </c>
      <c r="N470" s="13" t="n">
        <v>1.32</v>
      </c>
      <c r="O470" s="13" t="n">
        <v>355</v>
      </c>
      <c r="P470" s="13" t="s">
        <v>3295</v>
      </c>
      <c r="Q470" s="13" t="s">
        <v>1458</v>
      </c>
      <c r="R470" s="13" t="s">
        <v>75</v>
      </c>
      <c r="S470" s="13" t="s">
        <v>75</v>
      </c>
      <c r="T470" s="13" t="s">
        <v>61</v>
      </c>
      <c r="U470" s="13"/>
    </row>
    <row r="471" customFormat="false" ht="18" hidden="false" customHeight="true" outlineLevel="0" collapsed="false">
      <c r="A471" s="13" t="n">
        <v>470</v>
      </c>
      <c r="B471" s="13" t="s">
        <v>3296</v>
      </c>
      <c r="C471" s="13" t="s">
        <v>63</v>
      </c>
      <c r="D471" s="13" t="s">
        <v>64</v>
      </c>
      <c r="E471" s="13" t="s">
        <v>79</v>
      </c>
      <c r="F471" s="13" t="s">
        <v>196</v>
      </c>
      <c r="G471" s="13" t="s">
        <v>733</v>
      </c>
      <c r="H471" s="13" t="s">
        <v>3297</v>
      </c>
      <c r="I471" s="13" t="s">
        <v>3298</v>
      </c>
      <c r="J471" s="13" t="s">
        <v>3299</v>
      </c>
      <c r="K471" s="13" t="s">
        <v>3300</v>
      </c>
      <c r="L471" s="13" t="s">
        <v>3301</v>
      </c>
      <c r="M471" s="13" t="n">
        <v>1972.6</v>
      </c>
      <c r="N471" s="13" t="n">
        <v>1.78</v>
      </c>
      <c r="O471" s="13" t="n">
        <v>18</v>
      </c>
      <c r="P471" s="13" t="s">
        <v>3302</v>
      </c>
      <c r="Q471" s="13" t="s">
        <v>3303</v>
      </c>
      <c r="R471" s="13" t="s">
        <v>2892</v>
      </c>
      <c r="S471" s="13" t="s">
        <v>2892</v>
      </c>
      <c r="T471" s="13" t="s">
        <v>61</v>
      </c>
      <c r="U471" s="13"/>
    </row>
    <row r="472" customFormat="false" ht="18" hidden="false" customHeight="true" outlineLevel="0" collapsed="false">
      <c r="A472" s="13" t="n">
        <v>471</v>
      </c>
      <c r="B472" s="13" t="s">
        <v>3304</v>
      </c>
      <c r="C472" s="13" t="s">
        <v>125</v>
      </c>
      <c r="D472" s="13" t="s">
        <v>126</v>
      </c>
      <c r="E472" s="13" t="s">
        <v>79</v>
      </c>
      <c r="F472" s="13" t="s">
        <v>1531</v>
      </c>
      <c r="G472" s="13" t="s">
        <v>128</v>
      </c>
      <c r="H472" s="13" t="s">
        <v>3305</v>
      </c>
      <c r="I472" s="13" t="s">
        <v>3306</v>
      </c>
      <c r="J472" s="13" t="s">
        <v>3307</v>
      </c>
      <c r="K472" s="13" t="s">
        <v>3308</v>
      </c>
      <c r="L472" s="13" t="s">
        <v>1667</v>
      </c>
      <c r="M472" s="13" t="n">
        <v>442.08</v>
      </c>
      <c r="N472" s="13" t="n">
        <v>1.53</v>
      </c>
      <c r="O472" s="13" t="n">
        <v>198</v>
      </c>
      <c r="P472" s="13" t="s">
        <v>3309</v>
      </c>
      <c r="Q472" s="13" t="s">
        <v>2311</v>
      </c>
      <c r="R472" s="13" t="s">
        <v>3310</v>
      </c>
      <c r="S472" s="13" t="s">
        <v>3310</v>
      </c>
      <c r="T472" s="13" t="s">
        <v>61</v>
      </c>
      <c r="U472" s="13"/>
    </row>
    <row r="473" customFormat="false" ht="18" hidden="false" customHeight="true" outlineLevel="0" collapsed="false">
      <c r="A473" s="13" t="n">
        <v>472</v>
      </c>
      <c r="B473" s="13" t="s">
        <v>3311</v>
      </c>
      <c r="C473" s="13" t="s">
        <v>77</v>
      </c>
      <c r="D473" s="13" t="s">
        <v>78</v>
      </c>
      <c r="E473" s="13" t="s">
        <v>65</v>
      </c>
      <c r="F473" s="13" t="s">
        <v>438</v>
      </c>
      <c r="G473" s="13" t="s">
        <v>391</v>
      </c>
      <c r="H473" s="13" t="s">
        <v>3312</v>
      </c>
      <c r="I473" s="13" t="s">
        <v>3313</v>
      </c>
      <c r="J473" s="13" t="s">
        <v>3314</v>
      </c>
      <c r="K473" s="13" t="s">
        <v>2046</v>
      </c>
      <c r="L473" s="13" t="s">
        <v>2047</v>
      </c>
      <c r="M473" s="13" t="n">
        <v>205.99</v>
      </c>
      <c r="N473" s="13" t="n">
        <v>0.7</v>
      </c>
      <c r="O473" s="13" t="n">
        <v>113</v>
      </c>
      <c r="P473" s="13" t="s">
        <v>2048</v>
      </c>
      <c r="Q473" s="13" t="s">
        <v>652</v>
      </c>
      <c r="R473" s="13" t="s">
        <v>788</v>
      </c>
      <c r="S473" s="13" t="s">
        <v>788</v>
      </c>
      <c r="T473" s="13" t="s">
        <v>61</v>
      </c>
      <c r="U473" s="13"/>
    </row>
    <row r="474" customFormat="false" ht="18" hidden="false" customHeight="true" outlineLevel="0" collapsed="false">
      <c r="A474" s="15" t="n">
        <v>473</v>
      </c>
      <c r="B474" s="15" t="s">
        <v>3315</v>
      </c>
      <c r="C474" s="15" t="s">
        <v>255</v>
      </c>
      <c r="D474" s="15" t="s">
        <v>256</v>
      </c>
      <c r="E474" s="15" t="s">
        <v>79</v>
      </c>
      <c r="F474" s="15" t="s">
        <v>51</v>
      </c>
      <c r="G474" s="15" t="s">
        <v>163</v>
      </c>
      <c r="H474" s="15" t="s">
        <v>3316</v>
      </c>
      <c r="I474" s="15" t="s">
        <v>3317</v>
      </c>
      <c r="J474" s="15" t="s">
        <v>3318</v>
      </c>
      <c r="K474" s="15" t="s">
        <v>3319</v>
      </c>
      <c r="L474" s="15" t="s">
        <v>1241</v>
      </c>
      <c r="M474" s="15" t="n">
        <v>271</v>
      </c>
      <c r="N474" s="15" t="n">
        <v>0.4</v>
      </c>
      <c r="O474" s="15" t="n">
        <v>460</v>
      </c>
      <c r="P474" s="15" t="s">
        <v>1242</v>
      </c>
      <c r="Q474" s="15" t="s">
        <v>1491</v>
      </c>
      <c r="R474" s="15" t="s">
        <v>2136</v>
      </c>
      <c r="S474" s="15" t="s">
        <v>2136</v>
      </c>
      <c r="T474" s="15" t="s">
        <v>61</v>
      </c>
      <c r="U474" s="15" t="s">
        <v>453</v>
      </c>
    </row>
    <row r="475" customFormat="false" ht="18" hidden="false" customHeight="true" outlineLevel="0" collapsed="false">
      <c r="A475" s="13" t="n">
        <v>474</v>
      </c>
      <c r="B475" s="13" t="s">
        <v>3320</v>
      </c>
      <c r="C475" s="13" t="s">
        <v>255</v>
      </c>
      <c r="D475" s="13" t="s">
        <v>256</v>
      </c>
      <c r="E475" s="13" t="s">
        <v>91</v>
      </c>
      <c r="F475" s="13" t="s">
        <v>185</v>
      </c>
      <c r="G475" s="13" t="s">
        <v>533</v>
      </c>
      <c r="H475" s="13" t="s">
        <v>3321</v>
      </c>
      <c r="I475" s="13" t="s">
        <v>3322</v>
      </c>
      <c r="J475" s="13" t="s">
        <v>3323</v>
      </c>
      <c r="K475" s="13" t="s">
        <v>3324</v>
      </c>
      <c r="L475" s="13" t="s">
        <v>1617</v>
      </c>
      <c r="M475" s="13" t="n">
        <v>2512.56</v>
      </c>
      <c r="N475" s="13" t="n">
        <v>49.04</v>
      </c>
      <c r="O475" s="13" t="n">
        <v>71</v>
      </c>
      <c r="P475" s="13" t="s">
        <v>1618</v>
      </c>
      <c r="Q475" s="13" t="s">
        <v>1706</v>
      </c>
      <c r="R475" s="13" t="s">
        <v>829</v>
      </c>
      <c r="S475" s="13" t="s">
        <v>829</v>
      </c>
      <c r="T475" s="13" t="s">
        <v>61</v>
      </c>
      <c r="U475" s="13"/>
    </row>
    <row r="476" customFormat="false" ht="18" hidden="false" customHeight="true" outlineLevel="0" collapsed="false">
      <c r="A476" s="13" t="n">
        <v>475</v>
      </c>
      <c r="B476" s="13" t="s">
        <v>3325</v>
      </c>
      <c r="C476" s="13" t="s">
        <v>63</v>
      </c>
      <c r="D476" s="13" t="s">
        <v>64</v>
      </c>
      <c r="E476" s="13" t="s">
        <v>65</v>
      </c>
      <c r="F476" s="13" t="s">
        <v>390</v>
      </c>
      <c r="G476" s="13" t="s">
        <v>67</v>
      </c>
      <c r="H476" s="13" t="s">
        <v>3326</v>
      </c>
      <c r="I476" s="13" t="s">
        <v>3327</v>
      </c>
      <c r="J476" s="13" t="s">
        <v>3328</v>
      </c>
      <c r="K476" s="13" t="s">
        <v>1750</v>
      </c>
      <c r="L476" s="13" t="s">
        <v>1751</v>
      </c>
      <c r="M476" s="13" t="n">
        <v>36.35</v>
      </c>
      <c r="N476" s="13" t="n">
        <v>0.78</v>
      </c>
      <c r="O476" s="13" t="n">
        <v>3</v>
      </c>
      <c r="P476" s="13" t="s">
        <v>1752</v>
      </c>
      <c r="Q476" s="13" t="s">
        <v>1660</v>
      </c>
      <c r="R476" s="13" t="s">
        <v>1652</v>
      </c>
      <c r="S476" s="13" t="s">
        <v>1652</v>
      </c>
      <c r="T476" s="13" t="s">
        <v>61</v>
      </c>
      <c r="U476" s="13"/>
    </row>
    <row r="477" customFormat="false" ht="18" hidden="false" customHeight="true" outlineLevel="0" collapsed="false">
      <c r="A477" s="13" t="n">
        <v>476</v>
      </c>
      <c r="B477" s="13" t="s">
        <v>3329</v>
      </c>
      <c r="C477" s="13" t="s">
        <v>255</v>
      </c>
      <c r="D477" s="13" t="s">
        <v>256</v>
      </c>
      <c r="E477" s="13" t="s">
        <v>50</v>
      </c>
      <c r="F477" s="13" t="s">
        <v>503</v>
      </c>
      <c r="G477" s="13" t="s">
        <v>808</v>
      </c>
      <c r="H477" s="13" t="s">
        <v>3330</v>
      </c>
      <c r="I477" s="13" t="s">
        <v>3331</v>
      </c>
      <c r="J477" s="13" t="s">
        <v>3332</v>
      </c>
      <c r="K477" s="13" t="s">
        <v>3333</v>
      </c>
      <c r="L477" s="13" t="s">
        <v>1340</v>
      </c>
      <c r="M477" s="13" t="n">
        <v>1231.82</v>
      </c>
      <c r="N477" s="13" t="n">
        <v>0.7</v>
      </c>
      <c r="O477" s="13" t="n">
        <v>402</v>
      </c>
      <c r="P477" s="13" t="s">
        <v>1341</v>
      </c>
      <c r="Q477" s="13" t="s">
        <v>1282</v>
      </c>
      <c r="R477" s="13" t="s">
        <v>611</v>
      </c>
      <c r="S477" s="13" t="s">
        <v>611</v>
      </c>
      <c r="T477" s="13" t="s">
        <v>61</v>
      </c>
      <c r="U477" s="13"/>
    </row>
    <row r="478" customFormat="false" ht="18" hidden="false" customHeight="true" outlineLevel="0" collapsed="false">
      <c r="A478" s="13" t="n">
        <v>477</v>
      </c>
      <c r="B478" s="13" t="s">
        <v>3334</v>
      </c>
      <c r="C478" s="13" t="s">
        <v>125</v>
      </c>
      <c r="D478" s="13" t="s">
        <v>126</v>
      </c>
      <c r="E478" s="13" t="s">
        <v>161</v>
      </c>
      <c r="F478" s="13" t="s">
        <v>51</v>
      </c>
      <c r="G478" s="13" t="s">
        <v>257</v>
      </c>
      <c r="H478" s="13" t="s">
        <v>3335</v>
      </c>
      <c r="I478" s="13" t="s">
        <v>3336</v>
      </c>
      <c r="J478" s="13" t="s">
        <v>3337</v>
      </c>
      <c r="K478" s="13" t="s">
        <v>3239</v>
      </c>
      <c r="L478" s="13" t="s">
        <v>2562</v>
      </c>
      <c r="M478" s="13" t="n">
        <v>482.67</v>
      </c>
      <c r="N478" s="13" t="n">
        <v>0.41</v>
      </c>
      <c r="O478" s="13" t="n">
        <v>350</v>
      </c>
      <c r="P478" s="13" t="s">
        <v>2563</v>
      </c>
      <c r="Q478" s="13" t="s">
        <v>863</v>
      </c>
      <c r="R478" s="13" t="s">
        <v>3022</v>
      </c>
      <c r="S478" s="13" t="s">
        <v>3022</v>
      </c>
      <c r="T478" s="13" t="s">
        <v>61</v>
      </c>
      <c r="U478" s="13"/>
    </row>
    <row r="479" customFormat="false" ht="18" hidden="false" customHeight="true" outlineLevel="0" collapsed="false">
      <c r="A479" s="13" t="n">
        <v>478</v>
      </c>
      <c r="B479" s="13" t="s">
        <v>3338</v>
      </c>
      <c r="C479" s="13" t="s">
        <v>113</v>
      </c>
      <c r="D479" s="13" t="s">
        <v>114</v>
      </c>
      <c r="E479" s="13" t="s">
        <v>50</v>
      </c>
      <c r="F479" s="13" t="s">
        <v>138</v>
      </c>
      <c r="G479" s="13" t="s">
        <v>52</v>
      </c>
      <c r="H479" s="13" t="s">
        <v>3339</v>
      </c>
      <c r="I479" s="13" t="s">
        <v>3340</v>
      </c>
      <c r="J479" s="13" t="s">
        <v>3341</v>
      </c>
      <c r="K479" s="13" t="s">
        <v>877</v>
      </c>
      <c r="L479" s="13" t="s">
        <v>878</v>
      </c>
      <c r="M479" s="13" t="n">
        <v>553.83</v>
      </c>
      <c r="N479" s="13" t="n">
        <v>0.43</v>
      </c>
      <c r="O479" s="13" t="n">
        <v>461</v>
      </c>
      <c r="P479" s="13" t="s">
        <v>879</v>
      </c>
      <c r="Q479" s="13" t="s">
        <v>880</v>
      </c>
      <c r="R479" s="13" t="s">
        <v>838</v>
      </c>
      <c r="S479" s="13" t="s">
        <v>838</v>
      </c>
      <c r="T479" s="13" t="s">
        <v>61</v>
      </c>
      <c r="U479" s="13"/>
    </row>
    <row r="480" customFormat="false" ht="18" hidden="false" customHeight="true" outlineLevel="0" collapsed="false">
      <c r="A480" s="14" t="n">
        <v>479</v>
      </c>
      <c r="B480" s="14" t="s">
        <v>3342</v>
      </c>
      <c r="C480" s="14" t="s">
        <v>48</v>
      </c>
      <c r="D480" s="14" t="s">
        <v>49</v>
      </c>
      <c r="E480" s="14" t="s">
        <v>65</v>
      </c>
      <c r="F480" s="14"/>
      <c r="G480" s="14" t="s">
        <v>103</v>
      </c>
      <c r="H480" s="14" t="s">
        <v>3343</v>
      </c>
      <c r="I480" s="14" t="s">
        <v>3344</v>
      </c>
      <c r="J480" s="14" t="s">
        <v>3345</v>
      </c>
      <c r="K480" s="14" t="s">
        <v>2220</v>
      </c>
      <c r="L480" s="14" t="s">
        <v>2221</v>
      </c>
      <c r="M480" s="14" t="n">
        <v>326.88</v>
      </c>
      <c r="N480" s="14" t="n">
        <v>1.32</v>
      </c>
      <c r="O480" s="14" t="n">
        <v>496</v>
      </c>
      <c r="P480" s="14" t="s">
        <v>2222</v>
      </c>
      <c r="Q480" s="14" t="s">
        <v>398</v>
      </c>
      <c r="R480" s="14" t="s">
        <v>60</v>
      </c>
      <c r="S480" s="14" t="s">
        <v>60</v>
      </c>
      <c r="T480" s="14" t="s">
        <v>61</v>
      </c>
      <c r="U480" s="14" t="s">
        <v>89</v>
      </c>
    </row>
    <row r="481" customFormat="false" ht="18" hidden="false" customHeight="true" outlineLevel="0" collapsed="false">
      <c r="A481" s="13" t="n">
        <v>480</v>
      </c>
      <c r="B481" s="13" t="s">
        <v>3346</v>
      </c>
      <c r="C481" s="13" t="s">
        <v>125</v>
      </c>
      <c r="D481" s="13" t="s">
        <v>126</v>
      </c>
      <c r="E481" s="13" t="s">
        <v>91</v>
      </c>
      <c r="F481" s="13" t="s">
        <v>419</v>
      </c>
      <c r="G481" s="13" t="s">
        <v>186</v>
      </c>
      <c r="H481" s="13" t="s">
        <v>3347</v>
      </c>
      <c r="I481" s="13" t="s">
        <v>3348</v>
      </c>
      <c r="J481" s="13" t="s">
        <v>3349</v>
      </c>
      <c r="K481" s="13" t="s">
        <v>3350</v>
      </c>
      <c r="L481" s="13" t="s">
        <v>2784</v>
      </c>
      <c r="M481" s="13" t="n">
        <v>614.39</v>
      </c>
      <c r="N481" s="13" t="n">
        <v>36.99</v>
      </c>
      <c r="O481" s="13" t="n">
        <v>1</v>
      </c>
      <c r="P481" s="13" t="s">
        <v>2785</v>
      </c>
      <c r="Q481" s="13" t="s">
        <v>100</v>
      </c>
      <c r="R481" s="13" t="s">
        <v>2366</v>
      </c>
      <c r="S481" s="13" t="s">
        <v>2366</v>
      </c>
      <c r="T481" s="13" t="s">
        <v>61</v>
      </c>
      <c r="U481" s="13"/>
    </row>
    <row r="482" customFormat="false" ht="18" hidden="false" customHeight="true" outlineLevel="0" collapsed="false">
      <c r="A482" s="13" t="n">
        <v>481</v>
      </c>
      <c r="B482" s="13" t="s">
        <v>3351</v>
      </c>
      <c r="C482" s="13" t="s">
        <v>255</v>
      </c>
      <c r="D482" s="13" t="s">
        <v>256</v>
      </c>
      <c r="E482" s="13" t="s">
        <v>50</v>
      </c>
      <c r="F482" s="13" t="s">
        <v>51</v>
      </c>
      <c r="G482" s="13" t="s">
        <v>352</v>
      </c>
      <c r="H482" s="13" t="s">
        <v>3352</v>
      </c>
      <c r="I482" s="13" t="s">
        <v>3353</v>
      </c>
      <c r="J482" s="13" t="s">
        <v>3354</v>
      </c>
      <c r="K482" s="13" t="s">
        <v>2904</v>
      </c>
      <c r="L482" s="13" t="s">
        <v>357</v>
      </c>
      <c r="M482" s="13" t="n">
        <v>1037.27</v>
      </c>
      <c r="N482" s="13" t="n">
        <v>0.76</v>
      </c>
      <c r="O482" s="13" t="n">
        <v>475</v>
      </c>
      <c r="P482" s="13" t="s">
        <v>358</v>
      </c>
      <c r="Q482" s="13" t="s">
        <v>3355</v>
      </c>
      <c r="R482" s="13" t="s">
        <v>1642</v>
      </c>
      <c r="S482" s="13" t="s">
        <v>1642</v>
      </c>
      <c r="T482" s="13" t="s">
        <v>61</v>
      </c>
      <c r="U482" s="13"/>
    </row>
    <row r="483" customFormat="false" ht="18" hidden="false" customHeight="true" outlineLevel="0" collapsed="false">
      <c r="A483" s="15" t="n">
        <v>482</v>
      </c>
      <c r="B483" s="15" t="s">
        <v>3356</v>
      </c>
      <c r="C483" s="15" t="s">
        <v>125</v>
      </c>
      <c r="D483" s="15" t="s">
        <v>126</v>
      </c>
      <c r="E483" s="15" t="s">
        <v>50</v>
      </c>
      <c r="F483" s="15" t="s">
        <v>115</v>
      </c>
      <c r="G483" s="15" t="s">
        <v>217</v>
      </c>
      <c r="H483" s="15" t="s">
        <v>3357</v>
      </c>
      <c r="I483" s="15" t="s">
        <v>3358</v>
      </c>
      <c r="J483" s="15" t="s">
        <v>3359</v>
      </c>
      <c r="K483" s="15" t="s">
        <v>3360</v>
      </c>
      <c r="L483" s="15" t="s">
        <v>366</v>
      </c>
      <c r="M483" s="15" t="n">
        <v>430.44</v>
      </c>
      <c r="N483" s="15" t="n">
        <v>0.33</v>
      </c>
      <c r="O483" s="15" t="n">
        <v>224</v>
      </c>
      <c r="P483" s="15" t="s">
        <v>367</v>
      </c>
      <c r="Q483" s="15" t="s">
        <v>3361</v>
      </c>
      <c r="R483" s="15" t="s">
        <v>2136</v>
      </c>
      <c r="S483" s="15" t="s">
        <v>2136</v>
      </c>
      <c r="T483" s="15" t="s">
        <v>61</v>
      </c>
      <c r="U483" s="15" t="s">
        <v>243</v>
      </c>
    </row>
    <row r="484" customFormat="false" ht="18" hidden="false" customHeight="true" outlineLevel="0" collapsed="false">
      <c r="A484" s="13" t="n">
        <v>483</v>
      </c>
      <c r="B484" s="13" t="s">
        <v>3362</v>
      </c>
      <c r="C484" s="13" t="s">
        <v>77</v>
      </c>
      <c r="D484" s="13" t="s">
        <v>78</v>
      </c>
      <c r="E484" s="13" t="s">
        <v>79</v>
      </c>
      <c r="F484" s="13" t="s">
        <v>196</v>
      </c>
      <c r="G484" s="13" t="s">
        <v>733</v>
      </c>
      <c r="H484" s="13" t="s">
        <v>3363</v>
      </c>
      <c r="I484" s="13" t="s">
        <v>3364</v>
      </c>
      <c r="J484" s="13" t="s">
        <v>3365</v>
      </c>
      <c r="K484" s="13" t="s">
        <v>3366</v>
      </c>
      <c r="L484" s="13" t="s">
        <v>3301</v>
      </c>
      <c r="M484" s="13" t="n">
        <v>424.92</v>
      </c>
      <c r="N484" s="13" t="n">
        <v>1.86</v>
      </c>
      <c r="O484" s="13" t="n">
        <v>398</v>
      </c>
      <c r="P484" s="13" t="s">
        <v>3302</v>
      </c>
      <c r="Q484" s="13" t="s">
        <v>3367</v>
      </c>
      <c r="R484" s="13" t="s">
        <v>1700</v>
      </c>
      <c r="S484" s="13" t="s">
        <v>1700</v>
      </c>
      <c r="T484" s="13" t="s">
        <v>61</v>
      </c>
      <c r="U484" s="13"/>
    </row>
    <row r="485" customFormat="false" ht="18" hidden="false" customHeight="true" outlineLevel="0" collapsed="false">
      <c r="A485" s="13" t="n">
        <v>484</v>
      </c>
      <c r="B485" s="13" t="s">
        <v>3368</v>
      </c>
      <c r="C485" s="13" t="s">
        <v>159</v>
      </c>
      <c r="D485" s="13" t="s">
        <v>160</v>
      </c>
      <c r="E485" s="13" t="s">
        <v>65</v>
      </c>
      <c r="F485" s="13" t="s">
        <v>115</v>
      </c>
      <c r="G485" s="13" t="s">
        <v>274</v>
      </c>
      <c r="H485" s="13" t="s">
        <v>3369</v>
      </c>
      <c r="I485" s="13" t="s">
        <v>3370</v>
      </c>
      <c r="J485" s="13" t="s">
        <v>3371</v>
      </c>
      <c r="K485" s="13" t="s">
        <v>496</v>
      </c>
      <c r="L485" s="13" t="s">
        <v>497</v>
      </c>
      <c r="M485" s="13" t="n">
        <v>157.16</v>
      </c>
      <c r="N485" s="13" t="n">
        <v>0.69</v>
      </c>
      <c r="O485" s="13" t="n">
        <v>466</v>
      </c>
      <c r="P485" s="13" t="s">
        <v>498</v>
      </c>
      <c r="Q485" s="13" t="s">
        <v>2087</v>
      </c>
      <c r="R485" s="13" t="s">
        <v>2164</v>
      </c>
      <c r="S485" s="13" t="s">
        <v>2164</v>
      </c>
      <c r="T485" s="13" t="s">
        <v>61</v>
      </c>
      <c r="U485" s="13"/>
    </row>
    <row r="486" customFormat="false" ht="18" hidden="false" customHeight="true" outlineLevel="0" collapsed="false">
      <c r="A486" s="13" t="n">
        <v>485</v>
      </c>
      <c r="B486" s="13" t="s">
        <v>3372</v>
      </c>
      <c r="C486" s="13" t="s">
        <v>159</v>
      </c>
      <c r="D486" s="13" t="s">
        <v>160</v>
      </c>
      <c r="E486" s="13" t="s">
        <v>50</v>
      </c>
      <c r="F486" s="13" t="s">
        <v>115</v>
      </c>
      <c r="G486" s="13" t="s">
        <v>689</v>
      </c>
      <c r="H486" s="13" t="s">
        <v>3373</v>
      </c>
      <c r="I486" s="13" t="s">
        <v>3374</v>
      </c>
      <c r="J486" s="13" t="s">
        <v>3375</v>
      </c>
      <c r="K486" s="13" t="s">
        <v>3376</v>
      </c>
      <c r="L486" s="13" t="s">
        <v>694</v>
      </c>
      <c r="M486" s="13" t="n">
        <v>1122.82</v>
      </c>
      <c r="N486" s="13" t="n">
        <v>0.44</v>
      </c>
      <c r="O486" s="13" t="n">
        <v>256</v>
      </c>
      <c r="P486" s="13" t="s">
        <v>695</v>
      </c>
      <c r="Q486" s="13" t="s">
        <v>3377</v>
      </c>
      <c r="R486" s="13" t="s">
        <v>171</v>
      </c>
      <c r="S486" s="13" t="s">
        <v>171</v>
      </c>
      <c r="T486" s="13" t="s">
        <v>61</v>
      </c>
      <c r="U486" s="13"/>
    </row>
    <row r="487" customFormat="false" ht="18" hidden="false" customHeight="true" outlineLevel="0" collapsed="false">
      <c r="A487" s="13" t="n">
        <v>486</v>
      </c>
      <c r="B487" s="13" t="s">
        <v>3378</v>
      </c>
      <c r="C487" s="13" t="s">
        <v>159</v>
      </c>
      <c r="D487" s="13" t="s">
        <v>160</v>
      </c>
      <c r="E487" s="13" t="s">
        <v>161</v>
      </c>
      <c r="F487" s="13" t="s">
        <v>51</v>
      </c>
      <c r="G487" s="13" t="s">
        <v>285</v>
      </c>
      <c r="H487" s="13" t="s">
        <v>3379</v>
      </c>
      <c r="I487" s="13" t="s">
        <v>3380</v>
      </c>
      <c r="J487" s="13" t="s">
        <v>3381</v>
      </c>
      <c r="K487" s="13" t="s">
        <v>3382</v>
      </c>
      <c r="L487" s="13" t="s">
        <v>290</v>
      </c>
      <c r="M487" s="13" t="n">
        <v>270.15</v>
      </c>
      <c r="N487" s="13" t="n">
        <v>0.44</v>
      </c>
      <c r="O487" s="13" t="n">
        <v>444</v>
      </c>
      <c r="P487" s="13" t="s">
        <v>291</v>
      </c>
      <c r="Q487" s="13" t="s">
        <v>2515</v>
      </c>
      <c r="R487" s="13" t="s">
        <v>1026</v>
      </c>
      <c r="S487" s="13" t="s">
        <v>1026</v>
      </c>
      <c r="T487" s="13" t="s">
        <v>61</v>
      </c>
      <c r="U487" s="13"/>
    </row>
    <row r="488" customFormat="false" ht="18" hidden="false" customHeight="true" outlineLevel="0" collapsed="false">
      <c r="A488" s="13" t="n">
        <v>487</v>
      </c>
      <c r="B488" s="13" t="s">
        <v>3383</v>
      </c>
      <c r="C488" s="13" t="s">
        <v>77</v>
      </c>
      <c r="D488" s="13" t="s">
        <v>78</v>
      </c>
      <c r="E488" s="13" t="s">
        <v>79</v>
      </c>
      <c r="F488" s="13" t="s">
        <v>1531</v>
      </c>
      <c r="G488" s="13" t="s">
        <v>197</v>
      </c>
      <c r="H488" s="13" t="s">
        <v>3384</v>
      </c>
      <c r="I488" s="13" t="s">
        <v>3385</v>
      </c>
      <c r="J488" s="13" t="s">
        <v>3386</v>
      </c>
      <c r="K488" s="13" t="s">
        <v>3387</v>
      </c>
      <c r="L488" s="13" t="s">
        <v>3388</v>
      </c>
      <c r="M488" s="13" t="n">
        <v>635.06</v>
      </c>
      <c r="N488" s="13" t="n">
        <v>1.96</v>
      </c>
      <c r="O488" s="13" t="n">
        <v>212</v>
      </c>
      <c r="P488" s="13" t="s">
        <v>3389</v>
      </c>
      <c r="Q488" s="13" t="s">
        <v>3390</v>
      </c>
      <c r="R488" s="13" t="s">
        <v>855</v>
      </c>
      <c r="S488" s="13" t="s">
        <v>855</v>
      </c>
      <c r="T488" s="13" t="s">
        <v>61</v>
      </c>
      <c r="U488" s="13"/>
    </row>
    <row r="489" customFormat="false" ht="18" hidden="false" customHeight="true" outlineLevel="0" collapsed="false">
      <c r="A489" s="13" t="n">
        <v>488</v>
      </c>
      <c r="B489" s="13" t="s">
        <v>3391</v>
      </c>
      <c r="C489" s="13" t="s">
        <v>255</v>
      </c>
      <c r="D489" s="13" t="s">
        <v>256</v>
      </c>
      <c r="E489" s="13" t="s">
        <v>161</v>
      </c>
      <c r="F489" s="13" t="s">
        <v>51</v>
      </c>
      <c r="G489" s="13" t="s">
        <v>285</v>
      </c>
      <c r="H489" s="13" t="s">
        <v>3392</v>
      </c>
      <c r="I489" s="13" t="s">
        <v>3393</v>
      </c>
      <c r="J489" s="13" t="s">
        <v>3394</v>
      </c>
      <c r="K489" s="13" t="s">
        <v>2737</v>
      </c>
      <c r="L489" s="13" t="s">
        <v>290</v>
      </c>
      <c r="M489" s="13" t="n">
        <v>246.3</v>
      </c>
      <c r="N489" s="13" t="n">
        <v>0.41</v>
      </c>
      <c r="O489" s="13" t="n">
        <v>478</v>
      </c>
      <c r="P489" s="13" t="s">
        <v>291</v>
      </c>
      <c r="Q489" s="13" t="s">
        <v>303</v>
      </c>
      <c r="R489" s="13" t="s">
        <v>3395</v>
      </c>
      <c r="S489" s="13" t="s">
        <v>3395</v>
      </c>
      <c r="T489" s="13" t="s">
        <v>61</v>
      </c>
      <c r="U489" s="13"/>
    </row>
    <row r="490" customFormat="false" ht="18" hidden="false" customHeight="true" outlineLevel="0" collapsed="false">
      <c r="A490" s="13" t="n">
        <v>489</v>
      </c>
      <c r="B490" s="13" t="s">
        <v>3396</v>
      </c>
      <c r="C490" s="13" t="s">
        <v>63</v>
      </c>
      <c r="D490" s="13" t="s">
        <v>64</v>
      </c>
      <c r="E490" s="13" t="s">
        <v>91</v>
      </c>
      <c r="F490" s="13" t="s">
        <v>185</v>
      </c>
      <c r="G490" s="13" t="s">
        <v>533</v>
      </c>
      <c r="H490" s="13" t="s">
        <v>3397</v>
      </c>
      <c r="I490" s="13" t="s">
        <v>3398</v>
      </c>
      <c r="J490" s="13" t="s">
        <v>3399</v>
      </c>
      <c r="K490" s="13" t="s">
        <v>3324</v>
      </c>
      <c r="L490" s="13" t="s">
        <v>1617</v>
      </c>
      <c r="M490" s="13" t="n">
        <v>3559.21</v>
      </c>
      <c r="N490" s="13" t="n">
        <v>13.75</v>
      </c>
      <c r="O490" s="13" t="n">
        <v>97</v>
      </c>
      <c r="P490" s="13" t="s">
        <v>1618</v>
      </c>
      <c r="Q490" s="13" t="s">
        <v>2255</v>
      </c>
      <c r="R490" s="13" t="s">
        <v>3400</v>
      </c>
      <c r="S490" s="13" t="s">
        <v>3400</v>
      </c>
      <c r="T490" s="13" t="s">
        <v>61</v>
      </c>
      <c r="U490" s="13"/>
    </row>
    <row r="491" customFormat="false" ht="18" hidden="false" customHeight="true" outlineLevel="0" collapsed="false">
      <c r="A491" s="15" t="n">
        <v>490</v>
      </c>
      <c r="B491" s="15" t="s">
        <v>3401</v>
      </c>
      <c r="C491" s="15" t="s">
        <v>63</v>
      </c>
      <c r="D491" s="15" t="s">
        <v>64</v>
      </c>
      <c r="E491" s="15" t="s">
        <v>50</v>
      </c>
      <c r="F491" s="15" t="s">
        <v>127</v>
      </c>
      <c r="G491" s="15" t="s">
        <v>808</v>
      </c>
      <c r="H491" s="15" t="s">
        <v>3402</v>
      </c>
      <c r="I491" s="15" t="s">
        <v>3403</v>
      </c>
      <c r="J491" s="15" t="s">
        <v>3404</v>
      </c>
      <c r="K491" s="15"/>
      <c r="L491" s="15" t="s">
        <v>1737</v>
      </c>
      <c r="M491" s="15" t="n">
        <v>1249.66</v>
      </c>
      <c r="N491" s="15" t="n">
        <v>0.76</v>
      </c>
      <c r="O491" s="15" t="n">
        <v>384</v>
      </c>
      <c r="P491" s="15" t="s">
        <v>1738</v>
      </c>
      <c r="Q491" s="15" t="s">
        <v>2875</v>
      </c>
      <c r="R491" s="15" t="s">
        <v>3405</v>
      </c>
      <c r="S491" s="15" t="s">
        <v>3405</v>
      </c>
      <c r="T491" s="15" t="s">
        <v>61</v>
      </c>
      <c r="U491" s="15" t="s">
        <v>243</v>
      </c>
    </row>
    <row r="492" customFormat="false" ht="18" hidden="false" customHeight="true" outlineLevel="0" collapsed="false">
      <c r="A492" s="13" t="n">
        <v>491</v>
      </c>
      <c r="B492" s="13" t="s">
        <v>3406</v>
      </c>
      <c r="C492" s="13" t="s">
        <v>48</v>
      </c>
      <c r="D492" s="13" t="s">
        <v>49</v>
      </c>
      <c r="E492" s="13" t="s">
        <v>65</v>
      </c>
      <c r="F492" s="13" t="s">
        <v>245</v>
      </c>
      <c r="G492" s="13" t="s">
        <v>724</v>
      </c>
      <c r="H492" s="13" t="s">
        <v>3407</v>
      </c>
      <c r="I492" s="13" t="s">
        <v>3408</v>
      </c>
      <c r="J492" s="13" t="s">
        <v>3409</v>
      </c>
      <c r="K492" s="13" t="s">
        <v>3410</v>
      </c>
      <c r="L492" s="13" t="s">
        <v>3411</v>
      </c>
      <c r="M492" s="13" t="n">
        <v>454.05</v>
      </c>
      <c r="N492" s="13" t="n">
        <v>0.28</v>
      </c>
      <c r="O492" s="13" t="n">
        <v>260</v>
      </c>
      <c r="P492" s="13" t="s">
        <v>3412</v>
      </c>
      <c r="Q492" s="13" t="s">
        <v>1660</v>
      </c>
      <c r="R492" s="13" t="s">
        <v>2151</v>
      </c>
      <c r="S492" s="13" t="s">
        <v>2151</v>
      </c>
      <c r="T492" s="13" t="s">
        <v>61</v>
      </c>
      <c r="U492" s="13"/>
    </row>
    <row r="493" customFormat="false" ht="18" hidden="false" customHeight="true" outlineLevel="0" collapsed="false">
      <c r="A493" s="13" t="n">
        <v>492</v>
      </c>
      <c r="B493" s="13" t="s">
        <v>3413</v>
      </c>
      <c r="C493" s="13" t="s">
        <v>48</v>
      </c>
      <c r="D493" s="13" t="s">
        <v>49</v>
      </c>
      <c r="E493" s="13" t="s">
        <v>65</v>
      </c>
      <c r="F493" s="13" t="s">
        <v>66</v>
      </c>
      <c r="G493" s="13" t="s">
        <v>391</v>
      </c>
      <c r="H493" s="13" t="s">
        <v>3414</v>
      </c>
      <c r="I493" s="13" t="s">
        <v>3415</v>
      </c>
      <c r="J493" s="13" t="s">
        <v>3416</v>
      </c>
      <c r="K493" s="13" t="s">
        <v>1145</v>
      </c>
      <c r="L493" s="13" t="s">
        <v>1146</v>
      </c>
      <c r="M493" s="13" t="n">
        <v>442.26</v>
      </c>
      <c r="N493" s="13" t="n">
        <v>0.62</v>
      </c>
      <c r="O493" s="13" t="n">
        <v>80</v>
      </c>
      <c r="P493" s="13" t="s">
        <v>1147</v>
      </c>
      <c r="Q493" s="13" t="s">
        <v>1148</v>
      </c>
      <c r="R493" s="13" t="s">
        <v>3417</v>
      </c>
      <c r="S493" s="13" t="s">
        <v>3417</v>
      </c>
      <c r="T493" s="13" t="s">
        <v>61</v>
      </c>
      <c r="U493" s="13"/>
    </row>
    <row r="494" customFormat="false" ht="18" hidden="false" customHeight="true" outlineLevel="0" collapsed="false">
      <c r="A494" s="15" t="n">
        <v>493</v>
      </c>
      <c r="B494" s="15" t="s">
        <v>3418</v>
      </c>
      <c r="C494" s="15" t="s">
        <v>255</v>
      </c>
      <c r="D494" s="15" t="s">
        <v>256</v>
      </c>
      <c r="E494" s="15" t="s">
        <v>91</v>
      </c>
      <c r="F494" s="15" t="s">
        <v>419</v>
      </c>
      <c r="G494" s="15" t="s">
        <v>139</v>
      </c>
      <c r="H494" s="15" t="s">
        <v>3419</v>
      </c>
      <c r="I494" s="15" t="s">
        <v>3420</v>
      </c>
      <c r="J494" s="15" t="s">
        <v>3421</v>
      </c>
      <c r="K494" s="15" t="s">
        <v>3422</v>
      </c>
      <c r="L494" s="15" t="s">
        <v>1912</v>
      </c>
      <c r="M494" s="15" t="n">
        <v>1375.47</v>
      </c>
      <c r="N494" s="15" t="n">
        <v>51.3</v>
      </c>
      <c r="O494" s="15" t="n">
        <v>350</v>
      </c>
      <c r="P494" s="15" t="s">
        <v>1913</v>
      </c>
      <c r="Q494" s="15" t="s">
        <v>1449</v>
      </c>
      <c r="R494" s="15" t="s">
        <v>1459</v>
      </c>
      <c r="S494" s="15" t="s">
        <v>1459</v>
      </c>
      <c r="T494" s="15" t="s">
        <v>61</v>
      </c>
      <c r="U494" s="15" t="s">
        <v>778</v>
      </c>
    </row>
    <row r="495" customFormat="false" ht="18" hidden="false" customHeight="true" outlineLevel="0" collapsed="false">
      <c r="A495" s="15" t="n">
        <v>494</v>
      </c>
      <c r="B495" s="15" t="s">
        <v>3423</v>
      </c>
      <c r="C495" s="15" t="s">
        <v>125</v>
      </c>
      <c r="D495" s="15" t="s">
        <v>126</v>
      </c>
      <c r="E495" s="15" t="s">
        <v>65</v>
      </c>
      <c r="F495" s="15" t="s">
        <v>227</v>
      </c>
      <c r="G495" s="15" t="s">
        <v>274</v>
      </c>
      <c r="H495" s="15" t="s">
        <v>3424</v>
      </c>
      <c r="I495" s="15" t="s">
        <v>3425</v>
      </c>
      <c r="J495" s="15" t="s">
        <v>3426</v>
      </c>
      <c r="K495" s="15" t="s">
        <v>278</v>
      </c>
      <c r="L495" s="15" t="s">
        <v>279</v>
      </c>
      <c r="M495" s="15" t="n">
        <v>189.83</v>
      </c>
      <c r="N495" s="15" t="n">
        <v>1.46</v>
      </c>
      <c r="O495" s="15" t="n">
        <v>282</v>
      </c>
      <c r="P495" s="15" t="s">
        <v>280</v>
      </c>
      <c r="Q495" s="15" t="s">
        <v>234</v>
      </c>
      <c r="R495" s="15" t="s">
        <v>171</v>
      </c>
      <c r="S495" s="15" t="s">
        <v>171</v>
      </c>
      <c r="T495" s="15" t="s">
        <v>61</v>
      </c>
      <c r="U495" s="15" t="s">
        <v>243</v>
      </c>
    </row>
    <row r="496" customFormat="false" ht="18" hidden="false" customHeight="true" outlineLevel="0" collapsed="false">
      <c r="A496" s="13" t="n">
        <v>495</v>
      </c>
      <c r="B496" s="13" t="s">
        <v>3427</v>
      </c>
      <c r="C496" s="13" t="s">
        <v>159</v>
      </c>
      <c r="D496" s="13" t="s">
        <v>160</v>
      </c>
      <c r="E496" s="13" t="s">
        <v>161</v>
      </c>
      <c r="F496" s="13" t="s">
        <v>295</v>
      </c>
      <c r="G496" s="13" t="s">
        <v>334</v>
      </c>
      <c r="H496" s="13" t="s">
        <v>3428</v>
      </c>
      <c r="I496" s="13" t="s">
        <v>3429</v>
      </c>
      <c r="J496" s="13" t="s">
        <v>3430</v>
      </c>
      <c r="K496" s="13" t="s">
        <v>3431</v>
      </c>
      <c r="L496" s="13" t="s">
        <v>659</v>
      </c>
      <c r="M496" s="13" t="n">
        <v>388.16</v>
      </c>
      <c r="N496" s="13" t="n">
        <v>0.22</v>
      </c>
      <c r="O496" s="13" t="n">
        <v>247</v>
      </c>
      <c r="P496" s="13" t="s">
        <v>660</v>
      </c>
      <c r="Q496" s="13" t="s">
        <v>3254</v>
      </c>
      <c r="R496" s="13" t="s">
        <v>2127</v>
      </c>
      <c r="S496" s="13" t="s">
        <v>2127</v>
      </c>
      <c r="T496" s="13" t="s">
        <v>61</v>
      </c>
      <c r="U496" s="13"/>
    </row>
    <row r="497" customFormat="false" ht="18" hidden="false" customHeight="true" outlineLevel="0" collapsed="false">
      <c r="A497" s="13" t="n">
        <v>496</v>
      </c>
      <c r="B497" s="13" t="s">
        <v>3432</v>
      </c>
      <c r="C497" s="13" t="s">
        <v>173</v>
      </c>
      <c r="D497" s="13" t="s">
        <v>174</v>
      </c>
      <c r="E497" s="13" t="s">
        <v>79</v>
      </c>
      <c r="F497" s="13" t="s">
        <v>196</v>
      </c>
      <c r="G497" s="13" t="s">
        <v>733</v>
      </c>
      <c r="H497" s="13" t="s">
        <v>3433</v>
      </c>
      <c r="I497" s="13" t="s">
        <v>3434</v>
      </c>
      <c r="J497" s="13" t="s">
        <v>3435</v>
      </c>
      <c r="K497" s="13" t="s">
        <v>3436</v>
      </c>
      <c r="L497" s="13" t="s">
        <v>3301</v>
      </c>
      <c r="M497" s="13" t="n">
        <v>1043.27</v>
      </c>
      <c r="N497" s="13" t="n">
        <v>1.85</v>
      </c>
      <c r="O497" s="13" t="n">
        <v>86</v>
      </c>
      <c r="P497" s="13" t="s">
        <v>3302</v>
      </c>
      <c r="Q497" s="13" t="s">
        <v>3437</v>
      </c>
      <c r="R497" s="13" t="s">
        <v>2025</v>
      </c>
      <c r="S497" s="13" t="s">
        <v>2025</v>
      </c>
      <c r="T497" s="13" t="s">
        <v>61</v>
      </c>
      <c r="U497" s="13"/>
    </row>
    <row r="498" customFormat="false" ht="18" hidden="false" customHeight="true" outlineLevel="0" collapsed="false">
      <c r="A498" s="13" t="n">
        <v>497</v>
      </c>
      <c r="B498" s="13" t="s">
        <v>3438</v>
      </c>
      <c r="C498" s="13" t="s">
        <v>173</v>
      </c>
      <c r="D498" s="13" t="s">
        <v>174</v>
      </c>
      <c r="E498" s="13" t="s">
        <v>50</v>
      </c>
      <c r="F498" s="13" t="s">
        <v>127</v>
      </c>
      <c r="G498" s="13" t="s">
        <v>52</v>
      </c>
      <c r="H498" s="13" t="s">
        <v>3439</v>
      </c>
      <c r="I498" s="13" t="s">
        <v>3440</v>
      </c>
      <c r="J498" s="13" t="s">
        <v>3441</v>
      </c>
      <c r="K498" s="13" t="s">
        <v>3442</v>
      </c>
      <c r="L498" s="13" t="s">
        <v>794</v>
      </c>
      <c r="M498" s="13" t="n">
        <v>844.71</v>
      </c>
      <c r="N498" s="13" t="n">
        <v>0.31</v>
      </c>
      <c r="O498" s="13" t="n">
        <v>369</v>
      </c>
      <c r="P498" s="13" t="s">
        <v>795</v>
      </c>
      <c r="Q498" s="13" t="s">
        <v>703</v>
      </c>
      <c r="R498" s="13" t="s">
        <v>215</v>
      </c>
      <c r="S498" s="13" t="s">
        <v>215</v>
      </c>
      <c r="T498" s="13" t="s">
        <v>61</v>
      </c>
      <c r="U498" s="13"/>
    </row>
    <row r="499" customFormat="false" ht="18" hidden="false" customHeight="true" outlineLevel="0" collapsed="false">
      <c r="A499" s="13" t="n">
        <v>498</v>
      </c>
      <c r="B499" s="13" t="s">
        <v>3443</v>
      </c>
      <c r="C499" s="13" t="s">
        <v>255</v>
      </c>
      <c r="D499" s="13" t="s">
        <v>256</v>
      </c>
      <c r="E499" s="13" t="s">
        <v>79</v>
      </c>
      <c r="F499" s="13" t="s">
        <v>51</v>
      </c>
      <c r="G499" s="13" t="s">
        <v>760</v>
      </c>
      <c r="H499" s="13" t="s">
        <v>3444</v>
      </c>
      <c r="I499" s="13" t="s">
        <v>3445</v>
      </c>
      <c r="J499" s="13" t="s">
        <v>3446</v>
      </c>
      <c r="K499" s="13" t="s">
        <v>3447</v>
      </c>
      <c r="L499" s="13" t="s">
        <v>3448</v>
      </c>
      <c r="M499" s="13" t="n">
        <v>1933.66</v>
      </c>
      <c r="N499" s="13" t="n">
        <v>2.12</v>
      </c>
      <c r="O499" s="13" t="n">
        <v>40</v>
      </c>
      <c r="P499" s="13" t="s">
        <v>3449</v>
      </c>
      <c r="Q499" s="13" t="s">
        <v>3450</v>
      </c>
      <c r="R499" s="13" t="s">
        <v>3451</v>
      </c>
      <c r="S499" s="13" t="s">
        <v>3451</v>
      </c>
      <c r="T499" s="13" t="s">
        <v>61</v>
      </c>
      <c r="U499" s="13"/>
    </row>
    <row r="500" customFormat="false" ht="18" hidden="false" customHeight="true" outlineLevel="0" collapsed="false">
      <c r="A500" s="13" t="n">
        <v>499</v>
      </c>
      <c r="B500" s="13" t="s">
        <v>3452</v>
      </c>
      <c r="C500" s="13" t="s">
        <v>255</v>
      </c>
      <c r="D500" s="13" t="s">
        <v>256</v>
      </c>
      <c r="E500" s="13" t="s">
        <v>65</v>
      </c>
      <c r="F500" s="13" t="s">
        <v>227</v>
      </c>
      <c r="G500" s="13" t="s">
        <v>372</v>
      </c>
      <c r="H500" s="13" t="s">
        <v>3453</v>
      </c>
      <c r="I500" s="13" t="s">
        <v>3454</v>
      </c>
      <c r="J500" s="13" t="s">
        <v>3455</v>
      </c>
      <c r="K500" s="13" t="s">
        <v>3456</v>
      </c>
      <c r="L500" s="13" t="s">
        <v>3457</v>
      </c>
      <c r="M500" s="13" t="n">
        <v>223.12</v>
      </c>
      <c r="N500" s="13" t="n">
        <v>0.75</v>
      </c>
      <c r="O500" s="13" t="n">
        <v>368</v>
      </c>
      <c r="P500" s="13" t="s">
        <v>3458</v>
      </c>
      <c r="Q500" s="13" t="s">
        <v>3459</v>
      </c>
      <c r="R500" s="13" t="s">
        <v>1116</v>
      </c>
      <c r="S500" s="13" t="s">
        <v>1116</v>
      </c>
      <c r="T500" s="13" t="s">
        <v>61</v>
      </c>
      <c r="U500" s="13"/>
    </row>
    <row r="501" customFormat="false" ht="18" hidden="false" customHeight="true" outlineLevel="0" collapsed="false">
      <c r="A501" s="13" t="n">
        <v>500</v>
      </c>
      <c r="B501" s="13" t="s">
        <v>3460</v>
      </c>
      <c r="C501" s="13" t="s">
        <v>125</v>
      </c>
      <c r="D501" s="13" t="s">
        <v>126</v>
      </c>
      <c r="E501" s="13" t="s">
        <v>50</v>
      </c>
      <c r="F501" s="13" t="s">
        <v>138</v>
      </c>
      <c r="G501" s="13" t="s">
        <v>808</v>
      </c>
      <c r="H501" s="13" t="s">
        <v>3461</v>
      </c>
      <c r="I501" s="13" t="s">
        <v>3462</v>
      </c>
      <c r="J501" s="13" t="s">
        <v>3463</v>
      </c>
      <c r="K501" s="13" t="s">
        <v>3464</v>
      </c>
      <c r="L501" s="13" t="s">
        <v>813</v>
      </c>
      <c r="M501" s="13" t="n">
        <v>181.77</v>
      </c>
      <c r="N501" s="13" t="n">
        <v>0.58</v>
      </c>
      <c r="O501" s="13" t="n">
        <v>376</v>
      </c>
      <c r="P501" s="13" t="s">
        <v>814</v>
      </c>
      <c r="Q501" s="13" t="s">
        <v>971</v>
      </c>
      <c r="R501" s="13" t="s">
        <v>111</v>
      </c>
      <c r="S501" s="13" t="s">
        <v>111</v>
      </c>
      <c r="T501" s="13" t="s">
        <v>61</v>
      </c>
      <c r="U501" s="13"/>
    </row>
    <row r="502" customFormat="false" ht="18" hidden="false" customHeight="true" outlineLevel="0" collapsed="false">
      <c r="A502" s="13" t="n">
        <v>501</v>
      </c>
      <c r="B502" s="13" t="s">
        <v>3465</v>
      </c>
      <c r="C502" s="13" t="s">
        <v>48</v>
      </c>
      <c r="D502" s="13" t="s">
        <v>49</v>
      </c>
      <c r="E502" s="13" t="s">
        <v>50</v>
      </c>
      <c r="F502" s="13" t="s">
        <v>115</v>
      </c>
      <c r="G502" s="13" t="s">
        <v>52</v>
      </c>
      <c r="H502" s="13" t="s">
        <v>3466</v>
      </c>
      <c r="I502" s="13" t="s">
        <v>3467</v>
      </c>
      <c r="J502" s="13" t="s">
        <v>3468</v>
      </c>
      <c r="K502" s="13" t="s">
        <v>3469</v>
      </c>
      <c r="L502" s="13" t="s">
        <v>120</v>
      </c>
      <c r="M502" s="13" t="n">
        <v>1044.18</v>
      </c>
      <c r="N502" s="13" t="n">
        <v>0.43</v>
      </c>
      <c r="O502" s="13" t="n">
        <v>411</v>
      </c>
      <c r="P502" s="13" t="s">
        <v>121</v>
      </c>
      <c r="Q502" s="13" t="s">
        <v>3377</v>
      </c>
      <c r="R502" s="13" t="s">
        <v>3206</v>
      </c>
      <c r="S502" s="13" t="s">
        <v>3206</v>
      </c>
      <c r="T502" s="13" t="s">
        <v>61</v>
      </c>
      <c r="U502" s="13"/>
    </row>
    <row r="503" customFormat="false" ht="18" hidden="false" customHeight="true" outlineLevel="0" collapsed="false">
      <c r="A503" s="13" t="n">
        <v>502</v>
      </c>
      <c r="B503" s="13" t="s">
        <v>3470</v>
      </c>
      <c r="C503" s="13" t="s">
        <v>173</v>
      </c>
      <c r="D503" s="13" t="s">
        <v>174</v>
      </c>
      <c r="E503" s="13" t="s">
        <v>79</v>
      </c>
      <c r="F503" s="13" t="s">
        <v>465</v>
      </c>
      <c r="G503" s="13" t="s">
        <v>562</v>
      </c>
      <c r="H503" s="13" t="s">
        <v>3471</v>
      </c>
      <c r="I503" s="13" t="s">
        <v>3472</v>
      </c>
      <c r="J503" s="13" t="s">
        <v>3473</v>
      </c>
      <c r="K503" s="13" t="s">
        <v>3474</v>
      </c>
      <c r="L503" s="13" t="s">
        <v>1584</v>
      </c>
      <c r="M503" s="13" t="n">
        <v>731.62</v>
      </c>
      <c r="N503" s="13" t="n">
        <v>2.39</v>
      </c>
      <c r="O503" s="13" t="n">
        <v>474</v>
      </c>
      <c r="P503" s="13" t="s">
        <v>1585</v>
      </c>
      <c r="Q503" s="13" t="s">
        <v>3475</v>
      </c>
      <c r="R503" s="13" t="s">
        <v>332</v>
      </c>
      <c r="S503" s="13" t="s">
        <v>332</v>
      </c>
      <c r="T503" s="13" t="s">
        <v>61</v>
      </c>
      <c r="U503" s="13"/>
    </row>
    <row r="504" customFormat="false" ht="18" hidden="false" customHeight="true" outlineLevel="0" collapsed="false">
      <c r="A504" s="13" t="n">
        <v>503</v>
      </c>
      <c r="B504" s="13" t="s">
        <v>3476</v>
      </c>
      <c r="C504" s="13" t="s">
        <v>77</v>
      </c>
      <c r="D504" s="13" t="s">
        <v>78</v>
      </c>
      <c r="E504" s="13" t="s">
        <v>91</v>
      </c>
      <c r="F504" s="13" t="s">
        <v>185</v>
      </c>
      <c r="G504" s="13" t="s">
        <v>533</v>
      </c>
      <c r="H504" s="13" t="s">
        <v>3477</v>
      </c>
      <c r="I504" s="13" t="s">
        <v>3478</v>
      </c>
      <c r="J504" s="13" t="s">
        <v>3479</v>
      </c>
      <c r="K504" s="13" t="s">
        <v>3480</v>
      </c>
      <c r="L504" s="13" t="s">
        <v>1617</v>
      </c>
      <c r="M504" s="13" t="n">
        <v>3882.74</v>
      </c>
      <c r="N504" s="13" t="n">
        <v>48.76</v>
      </c>
      <c r="O504" s="13" t="n">
        <v>434</v>
      </c>
      <c r="P504" s="13" t="s">
        <v>1618</v>
      </c>
      <c r="Q504" s="13" t="s">
        <v>3481</v>
      </c>
      <c r="R504" s="13" t="s">
        <v>585</v>
      </c>
      <c r="S504" s="13" t="s">
        <v>585</v>
      </c>
      <c r="T504" s="13" t="s">
        <v>61</v>
      </c>
      <c r="U504" s="13"/>
    </row>
    <row r="505" customFormat="false" ht="18" hidden="false" customHeight="true" outlineLevel="0" collapsed="false">
      <c r="A505" s="15" t="n">
        <v>504</v>
      </c>
      <c r="B505" s="15" t="s">
        <v>3482</v>
      </c>
      <c r="C505" s="15" t="s">
        <v>125</v>
      </c>
      <c r="D505" s="15" t="s">
        <v>126</v>
      </c>
      <c r="E505" s="15" t="s">
        <v>91</v>
      </c>
      <c r="F505" s="15" t="s">
        <v>587</v>
      </c>
      <c r="G505" s="15" t="s">
        <v>533</v>
      </c>
      <c r="H505" s="15" t="s">
        <v>3483</v>
      </c>
      <c r="I505" s="15" t="s">
        <v>3484</v>
      </c>
      <c r="J505" s="15" t="s">
        <v>3485</v>
      </c>
      <c r="K505" s="15" t="s">
        <v>3486</v>
      </c>
      <c r="L505" s="15" t="s">
        <v>869</v>
      </c>
      <c r="M505" s="15" t="n">
        <v>2454.62</v>
      </c>
      <c r="N505" s="15" t="n">
        <v>40.82</v>
      </c>
      <c r="O505" s="15" t="n">
        <v>65</v>
      </c>
      <c r="P505" s="15" t="s">
        <v>870</v>
      </c>
      <c r="Q505" s="15" t="s">
        <v>776</v>
      </c>
      <c r="R505" s="15" t="s">
        <v>1055</v>
      </c>
      <c r="S505" s="15" t="s">
        <v>1055</v>
      </c>
      <c r="T505" s="15" t="s">
        <v>61</v>
      </c>
      <c r="U505" s="15" t="s">
        <v>243</v>
      </c>
    </row>
    <row r="506" customFormat="false" ht="18" hidden="false" customHeight="true" outlineLevel="0" collapsed="false">
      <c r="A506" s="13" t="n">
        <v>505</v>
      </c>
      <c r="B506" s="13" t="s">
        <v>3487</v>
      </c>
      <c r="C506" s="13" t="s">
        <v>48</v>
      </c>
      <c r="D506" s="13" t="s">
        <v>49</v>
      </c>
      <c r="E506" s="13" t="s">
        <v>50</v>
      </c>
      <c r="F506" s="13" t="s">
        <v>115</v>
      </c>
      <c r="G506" s="13" t="s">
        <v>352</v>
      </c>
      <c r="H506" s="13" t="s">
        <v>3488</v>
      </c>
      <c r="I506" s="13" t="s">
        <v>3489</v>
      </c>
      <c r="J506" s="13" t="s">
        <v>3490</v>
      </c>
      <c r="K506" s="13" t="s">
        <v>3491</v>
      </c>
      <c r="L506" s="13" t="s">
        <v>1280</v>
      </c>
      <c r="M506" s="13" t="n">
        <v>1000.82</v>
      </c>
      <c r="N506" s="13" t="n">
        <v>0.54</v>
      </c>
      <c r="O506" s="13" t="n">
        <v>350</v>
      </c>
      <c r="P506" s="13" t="s">
        <v>1281</v>
      </c>
      <c r="Q506" s="13" t="s">
        <v>3492</v>
      </c>
      <c r="R506" s="13" t="s">
        <v>1836</v>
      </c>
      <c r="S506" s="13" t="s">
        <v>1836</v>
      </c>
      <c r="T506" s="13" t="s">
        <v>61</v>
      </c>
      <c r="U506" s="13"/>
    </row>
    <row r="507" customFormat="false" ht="18" hidden="false" customHeight="true" outlineLevel="0" collapsed="false">
      <c r="A507" s="15" t="n">
        <v>506</v>
      </c>
      <c r="B507" s="15" t="s">
        <v>2458</v>
      </c>
      <c r="C507" s="15" t="s">
        <v>63</v>
      </c>
      <c r="D507" s="15" t="s">
        <v>64</v>
      </c>
      <c r="E507" s="15" t="s">
        <v>65</v>
      </c>
      <c r="F507" s="15" t="s">
        <v>66</v>
      </c>
      <c r="G507" s="15" t="s">
        <v>103</v>
      </c>
      <c r="H507" s="15" t="s">
        <v>2459</v>
      </c>
      <c r="I507" s="15" t="s">
        <v>2460</v>
      </c>
      <c r="J507" s="15" t="s">
        <v>2461</v>
      </c>
      <c r="K507" s="15" t="s">
        <v>107</v>
      </c>
      <c r="L507" s="15" t="s">
        <v>108</v>
      </c>
      <c r="M507" s="15" t="n">
        <v>522.89</v>
      </c>
      <c r="N507" s="15" t="n">
        <v>0.39</v>
      </c>
      <c r="O507" s="15" t="n">
        <v>251</v>
      </c>
      <c r="P507" s="15" t="s">
        <v>109</v>
      </c>
      <c r="Q507" s="15" t="s">
        <v>2462</v>
      </c>
      <c r="R507" s="15" t="s">
        <v>511</v>
      </c>
      <c r="S507" s="15" t="s">
        <v>511</v>
      </c>
      <c r="T507" s="15" t="s">
        <v>61</v>
      </c>
      <c r="U507" s="15" t="s">
        <v>283</v>
      </c>
    </row>
    <row r="508" customFormat="false" ht="18" hidden="false" customHeight="true" outlineLevel="0" collapsed="false">
      <c r="A508" s="13" t="n">
        <v>507</v>
      </c>
      <c r="B508" s="13" t="s">
        <v>3493</v>
      </c>
      <c r="C508" s="13" t="s">
        <v>173</v>
      </c>
      <c r="D508" s="13" t="s">
        <v>174</v>
      </c>
      <c r="E508" s="13" t="s">
        <v>161</v>
      </c>
      <c r="F508" s="13" t="s">
        <v>295</v>
      </c>
      <c r="G508" s="13" t="s">
        <v>296</v>
      </c>
      <c r="H508" s="13" t="s">
        <v>3494</v>
      </c>
      <c r="I508" s="13" t="s">
        <v>3495</v>
      </c>
      <c r="J508" s="13" t="s">
        <v>3496</v>
      </c>
      <c r="K508" s="13" t="s">
        <v>3497</v>
      </c>
      <c r="L508" s="13" t="s">
        <v>301</v>
      </c>
      <c r="M508" s="13" t="n">
        <v>460.32</v>
      </c>
      <c r="N508" s="13" t="n">
        <v>0.28</v>
      </c>
      <c r="O508" s="13" t="n">
        <v>268</v>
      </c>
      <c r="P508" s="13" t="s">
        <v>302</v>
      </c>
      <c r="Q508" s="13" t="s">
        <v>1569</v>
      </c>
      <c r="R508" s="13" t="s">
        <v>3022</v>
      </c>
      <c r="S508" s="13" t="s">
        <v>3022</v>
      </c>
      <c r="T508" s="13" t="s">
        <v>61</v>
      </c>
      <c r="U508" s="13"/>
    </row>
    <row r="509" customFormat="false" ht="18" hidden="false" customHeight="true" outlineLevel="0" collapsed="false">
      <c r="A509" s="13" t="n">
        <v>508</v>
      </c>
      <c r="B509" s="13" t="s">
        <v>3498</v>
      </c>
      <c r="C509" s="13" t="s">
        <v>159</v>
      </c>
      <c r="D509" s="13" t="s">
        <v>160</v>
      </c>
      <c r="E509" s="13" t="s">
        <v>161</v>
      </c>
      <c r="F509" s="13" t="s">
        <v>185</v>
      </c>
      <c r="G509" s="13" t="s">
        <v>207</v>
      </c>
      <c r="H509" s="13" t="s">
        <v>3499</v>
      </c>
      <c r="I509" s="13" t="s">
        <v>3500</v>
      </c>
      <c r="J509" s="13" t="s">
        <v>3501</v>
      </c>
      <c r="K509" s="13" t="s">
        <v>3502</v>
      </c>
      <c r="L509" s="13" t="s">
        <v>1307</v>
      </c>
      <c r="M509" s="13" t="n">
        <v>213.75</v>
      </c>
      <c r="N509" s="13" t="n">
        <v>0.39</v>
      </c>
      <c r="O509" s="13" t="n">
        <v>157</v>
      </c>
      <c r="P509" s="13" t="s">
        <v>1308</v>
      </c>
      <c r="Q509" s="13" t="s">
        <v>3503</v>
      </c>
      <c r="R509" s="13" t="s">
        <v>462</v>
      </c>
      <c r="S509" s="13" t="s">
        <v>462</v>
      </c>
      <c r="T509" s="13" t="s">
        <v>61</v>
      </c>
      <c r="U509" s="13"/>
    </row>
    <row r="510" customFormat="false" ht="18" hidden="false" customHeight="true" outlineLevel="0" collapsed="false">
      <c r="A510" s="13" t="n">
        <v>509</v>
      </c>
      <c r="B510" s="13" t="s">
        <v>3504</v>
      </c>
      <c r="C510" s="13" t="s">
        <v>125</v>
      </c>
      <c r="D510" s="13" t="s">
        <v>126</v>
      </c>
      <c r="E510" s="13" t="s">
        <v>91</v>
      </c>
      <c r="F510" s="13" t="s">
        <v>780</v>
      </c>
      <c r="G510" s="13" t="s">
        <v>420</v>
      </c>
      <c r="H510" s="13" t="s">
        <v>3505</v>
      </c>
      <c r="I510" s="13" t="s">
        <v>3506</v>
      </c>
      <c r="J510" s="13" t="s">
        <v>3507</v>
      </c>
      <c r="K510" s="13" t="s">
        <v>3508</v>
      </c>
      <c r="L510" s="13" t="s">
        <v>3509</v>
      </c>
      <c r="M510" s="13" t="n">
        <v>827.02</v>
      </c>
      <c r="N510" s="13" t="n">
        <v>32.44</v>
      </c>
      <c r="O510" s="13" t="n">
        <v>397</v>
      </c>
      <c r="P510" s="13" t="s">
        <v>3510</v>
      </c>
      <c r="Q510" s="13" t="s">
        <v>1807</v>
      </c>
      <c r="R510" s="13" t="s">
        <v>806</v>
      </c>
      <c r="S510" s="13" t="s">
        <v>806</v>
      </c>
      <c r="T510" s="13" t="s">
        <v>61</v>
      </c>
      <c r="U510" s="13"/>
    </row>
    <row r="511" customFormat="false" ht="18" hidden="false" customHeight="true" outlineLevel="0" collapsed="false">
      <c r="A511" s="13" t="n">
        <v>510</v>
      </c>
      <c r="B511" s="13" t="s">
        <v>3511</v>
      </c>
      <c r="C511" s="13" t="s">
        <v>113</v>
      </c>
      <c r="D511" s="13" t="s">
        <v>114</v>
      </c>
      <c r="E511" s="13" t="s">
        <v>161</v>
      </c>
      <c r="F511" s="13" t="s">
        <v>295</v>
      </c>
      <c r="G511" s="13" t="s">
        <v>163</v>
      </c>
      <c r="H511" s="13" t="s">
        <v>3512</v>
      </c>
      <c r="I511" s="13" t="s">
        <v>3513</v>
      </c>
      <c r="J511" s="13" t="s">
        <v>3514</v>
      </c>
      <c r="K511" s="13" t="s">
        <v>3515</v>
      </c>
      <c r="L511" s="13" t="s">
        <v>1721</v>
      </c>
      <c r="M511" s="13" t="n">
        <v>472.17</v>
      </c>
      <c r="N511" s="13" t="n">
        <v>0.29</v>
      </c>
      <c r="O511" s="13" t="n">
        <v>346</v>
      </c>
      <c r="P511" s="13" t="s">
        <v>1722</v>
      </c>
      <c r="Q511" s="13" t="s">
        <v>3254</v>
      </c>
      <c r="R511" s="13" t="s">
        <v>1604</v>
      </c>
      <c r="S511" s="13" t="s">
        <v>1604</v>
      </c>
      <c r="T511" s="13" t="s">
        <v>61</v>
      </c>
      <c r="U511" s="13"/>
    </row>
    <row r="512" customFormat="false" ht="18" hidden="false" customHeight="true" outlineLevel="0" collapsed="false">
      <c r="A512" s="13" t="n">
        <v>511</v>
      </c>
      <c r="B512" s="13" t="s">
        <v>3516</v>
      </c>
      <c r="C512" s="13" t="s">
        <v>255</v>
      </c>
      <c r="D512" s="13" t="s">
        <v>256</v>
      </c>
      <c r="E512" s="13" t="s">
        <v>91</v>
      </c>
      <c r="F512" s="13" t="s">
        <v>780</v>
      </c>
      <c r="G512" s="13" t="s">
        <v>420</v>
      </c>
      <c r="H512" s="13" t="s">
        <v>3517</v>
      </c>
      <c r="I512" s="13" t="s">
        <v>3518</v>
      </c>
      <c r="J512" s="13" t="s">
        <v>3519</v>
      </c>
      <c r="K512" s="13" t="s">
        <v>3520</v>
      </c>
      <c r="L512" s="13" t="s">
        <v>3509</v>
      </c>
      <c r="M512" s="13" t="n">
        <v>2054.69</v>
      </c>
      <c r="N512" s="13" t="n">
        <v>29.07</v>
      </c>
      <c r="O512" s="13" t="n">
        <v>107</v>
      </c>
      <c r="P512" s="13" t="s">
        <v>3510</v>
      </c>
      <c r="Q512" s="13" t="s">
        <v>3521</v>
      </c>
      <c r="R512" s="13" t="s">
        <v>3522</v>
      </c>
      <c r="S512" s="13" t="s">
        <v>3522</v>
      </c>
      <c r="T512" s="13" t="s">
        <v>61</v>
      </c>
      <c r="U512" s="13"/>
    </row>
    <row r="513" customFormat="false" ht="18" hidden="false" customHeight="true" outlineLevel="0" collapsed="false">
      <c r="A513" s="13" t="n">
        <v>512</v>
      </c>
      <c r="B513" s="13" t="s">
        <v>3523</v>
      </c>
      <c r="C513" s="13" t="s">
        <v>113</v>
      </c>
      <c r="D513" s="13" t="s">
        <v>114</v>
      </c>
      <c r="E513" s="13" t="s">
        <v>50</v>
      </c>
      <c r="F513" s="13" t="s">
        <v>127</v>
      </c>
      <c r="G513" s="13" t="s">
        <v>217</v>
      </c>
      <c r="H513" s="13" t="s">
        <v>3524</v>
      </c>
      <c r="I513" s="13" t="s">
        <v>3525</v>
      </c>
      <c r="J513" s="13" t="s">
        <v>3526</v>
      </c>
      <c r="K513" s="13" t="s">
        <v>3527</v>
      </c>
      <c r="L513" s="13" t="s">
        <v>222</v>
      </c>
      <c r="M513" s="13" t="n">
        <v>313.03</v>
      </c>
      <c r="N513" s="13" t="n">
        <v>0.68</v>
      </c>
      <c r="O513" s="13" t="n">
        <v>6</v>
      </c>
      <c r="P513" s="13" t="s">
        <v>223</v>
      </c>
      <c r="Q513" s="13" t="s">
        <v>3528</v>
      </c>
      <c r="R513" s="13" t="s">
        <v>946</v>
      </c>
      <c r="S513" s="13" t="s">
        <v>946</v>
      </c>
      <c r="T513" s="13" t="s">
        <v>61</v>
      </c>
      <c r="U513" s="13"/>
    </row>
    <row r="514" customFormat="false" ht="18" hidden="false" customHeight="true" outlineLevel="0" collapsed="false">
      <c r="A514" s="13" t="n">
        <v>513</v>
      </c>
      <c r="B514" s="13" t="s">
        <v>3529</v>
      </c>
      <c r="C514" s="13" t="s">
        <v>255</v>
      </c>
      <c r="D514" s="13" t="s">
        <v>256</v>
      </c>
      <c r="E514" s="13" t="s">
        <v>91</v>
      </c>
      <c r="F514" s="13" t="s">
        <v>587</v>
      </c>
      <c r="G514" s="13" t="s">
        <v>93</v>
      </c>
      <c r="H514" s="13" t="s">
        <v>3530</v>
      </c>
      <c r="I514" s="13" t="s">
        <v>3531</v>
      </c>
      <c r="J514" s="13" t="s">
        <v>3532</v>
      </c>
      <c r="K514" s="13" t="s">
        <v>3533</v>
      </c>
      <c r="L514" s="13" t="s">
        <v>1783</v>
      </c>
      <c r="M514" s="13" t="n">
        <v>3680.72</v>
      </c>
      <c r="N514" s="13" t="n">
        <v>32.29</v>
      </c>
      <c r="O514" s="13" t="n">
        <v>397</v>
      </c>
      <c r="P514" s="13" t="s">
        <v>1784</v>
      </c>
      <c r="Q514" s="13" t="s">
        <v>3534</v>
      </c>
      <c r="R514" s="13" t="s">
        <v>3535</v>
      </c>
      <c r="S514" s="13" t="s">
        <v>3535</v>
      </c>
      <c r="T514" s="13" t="s">
        <v>61</v>
      </c>
      <c r="U514" s="13"/>
    </row>
    <row r="515" customFormat="false" ht="18" hidden="false" customHeight="true" outlineLevel="0" collapsed="false">
      <c r="A515" s="13" t="n">
        <v>514</v>
      </c>
      <c r="B515" s="13" t="s">
        <v>3536</v>
      </c>
      <c r="C515" s="13" t="s">
        <v>113</v>
      </c>
      <c r="D515" s="13" t="s">
        <v>114</v>
      </c>
      <c r="E515" s="13" t="s">
        <v>50</v>
      </c>
      <c r="F515" s="13" t="s">
        <v>115</v>
      </c>
      <c r="G515" s="13" t="s">
        <v>217</v>
      </c>
      <c r="H515" s="13" t="s">
        <v>3537</v>
      </c>
      <c r="I515" s="13" t="s">
        <v>3538</v>
      </c>
      <c r="J515" s="13" t="s">
        <v>3539</v>
      </c>
      <c r="K515" s="13" t="s">
        <v>3540</v>
      </c>
      <c r="L515" s="13" t="s">
        <v>366</v>
      </c>
      <c r="M515" s="13" t="n">
        <v>944.58</v>
      </c>
      <c r="N515" s="13" t="n">
        <v>0.82</v>
      </c>
      <c r="O515" s="13" t="n">
        <v>494</v>
      </c>
      <c r="P515" s="13" t="s">
        <v>367</v>
      </c>
      <c r="Q515" s="13" t="s">
        <v>2875</v>
      </c>
      <c r="R515" s="13" t="s">
        <v>1894</v>
      </c>
      <c r="S515" s="13" t="s">
        <v>1894</v>
      </c>
      <c r="T515" s="13" t="s">
        <v>61</v>
      </c>
      <c r="U515" s="13"/>
    </row>
    <row r="516" customFormat="false" ht="18" hidden="false" customHeight="true" outlineLevel="0" collapsed="false">
      <c r="A516" s="13" t="n">
        <v>515</v>
      </c>
      <c r="B516" s="13" t="s">
        <v>3541</v>
      </c>
      <c r="C516" s="13" t="s">
        <v>255</v>
      </c>
      <c r="D516" s="13" t="s">
        <v>256</v>
      </c>
      <c r="E516" s="13" t="s">
        <v>161</v>
      </c>
      <c r="F516" s="13" t="s">
        <v>51</v>
      </c>
      <c r="G516" s="13" t="s">
        <v>285</v>
      </c>
      <c r="H516" s="13" t="s">
        <v>3542</v>
      </c>
      <c r="I516" s="13" t="s">
        <v>3543</v>
      </c>
      <c r="J516" s="13" t="s">
        <v>3544</v>
      </c>
      <c r="K516" s="13" t="s">
        <v>3382</v>
      </c>
      <c r="L516" s="13" t="s">
        <v>290</v>
      </c>
      <c r="M516" s="13" t="n">
        <v>199.48</v>
      </c>
      <c r="N516" s="13" t="n">
        <v>0.35</v>
      </c>
      <c r="O516" s="13" t="n">
        <v>421</v>
      </c>
      <c r="P516" s="13" t="s">
        <v>291</v>
      </c>
      <c r="Q516" s="13" t="s">
        <v>3545</v>
      </c>
      <c r="R516" s="13" t="s">
        <v>3546</v>
      </c>
      <c r="S516" s="13" t="s">
        <v>3546</v>
      </c>
      <c r="T516" s="13" t="s">
        <v>61</v>
      </c>
      <c r="U516" s="13"/>
    </row>
    <row r="517" customFormat="false" ht="18" hidden="false" customHeight="true" outlineLevel="0" collapsed="false">
      <c r="A517" s="13" t="n">
        <v>516</v>
      </c>
      <c r="B517" s="13" t="s">
        <v>3547</v>
      </c>
      <c r="C517" s="13" t="s">
        <v>159</v>
      </c>
      <c r="D517" s="13" t="s">
        <v>160</v>
      </c>
      <c r="E517" s="13" t="s">
        <v>79</v>
      </c>
      <c r="F517" s="13" t="s">
        <v>127</v>
      </c>
      <c r="G517" s="13" t="s">
        <v>760</v>
      </c>
      <c r="H517" s="13" t="s">
        <v>3548</v>
      </c>
      <c r="I517" s="13" t="s">
        <v>3549</v>
      </c>
      <c r="J517" s="13" t="s">
        <v>3550</v>
      </c>
      <c r="K517" s="13" t="s">
        <v>3551</v>
      </c>
      <c r="L517" s="13" t="s">
        <v>1649</v>
      </c>
      <c r="M517" s="13" t="n">
        <v>2052.15</v>
      </c>
      <c r="N517" s="13" t="n">
        <v>1.42</v>
      </c>
      <c r="O517" s="13" t="n">
        <v>219</v>
      </c>
      <c r="P517" s="13" t="s">
        <v>1650</v>
      </c>
      <c r="Q517" s="13" t="s">
        <v>3552</v>
      </c>
      <c r="R517" s="13" t="s">
        <v>3553</v>
      </c>
      <c r="S517" s="13" t="s">
        <v>3553</v>
      </c>
      <c r="T517" s="13" t="s">
        <v>61</v>
      </c>
      <c r="U517" s="13"/>
    </row>
    <row r="518" customFormat="false" ht="18" hidden="false" customHeight="true" outlineLevel="0" collapsed="false">
      <c r="A518" s="13" t="n">
        <v>517</v>
      </c>
      <c r="B518" s="13" t="s">
        <v>3554</v>
      </c>
      <c r="C518" s="13" t="s">
        <v>173</v>
      </c>
      <c r="D518" s="13" t="s">
        <v>174</v>
      </c>
      <c r="E518" s="13" t="s">
        <v>91</v>
      </c>
      <c r="F518" s="13" t="s">
        <v>780</v>
      </c>
      <c r="G518" s="13" t="s">
        <v>186</v>
      </c>
      <c r="H518" s="13" t="s">
        <v>3555</v>
      </c>
      <c r="I518" s="13" t="s">
        <v>3556</v>
      </c>
      <c r="J518" s="13" t="s">
        <v>3557</v>
      </c>
      <c r="K518" s="13" t="s">
        <v>1162</v>
      </c>
      <c r="L518" s="13" t="s">
        <v>1163</v>
      </c>
      <c r="M518" s="13" t="n">
        <v>2223.28</v>
      </c>
      <c r="N518" s="13" t="n">
        <v>46.52</v>
      </c>
      <c r="O518" s="13" t="n">
        <v>301</v>
      </c>
      <c r="P518" s="13" t="s">
        <v>1164</v>
      </c>
      <c r="Q518" s="13" t="s">
        <v>1165</v>
      </c>
      <c r="R518" s="13" t="s">
        <v>2527</v>
      </c>
      <c r="S518" s="13" t="s">
        <v>2527</v>
      </c>
      <c r="T518" s="13" t="s">
        <v>61</v>
      </c>
      <c r="U518" s="13"/>
    </row>
    <row r="519" customFormat="false" ht="18" hidden="false" customHeight="true" outlineLevel="0" collapsed="false">
      <c r="A519" s="13" t="n">
        <v>518</v>
      </c>
      <c r="B519" s="13" t="s">
        <v>3558</v>
      </c>
      <c r="C519" s="13" t="s">
        <v>159</v>
      </c>
      <c r="D519" s="13" t="s">
        <v>160</v>
      </c>
      <c r="E519" s="13" t="s">
        <v>79</v>
      </c>
      <c r="F519" s="13" t="s">
        <v>51</v>
      </c>
      <c r="G519" s="13" t="s">
        <v>128</v>
      </c>
      <c r="H519" s="13" t="s">
        <v>3559</v>
      </c>
      <c r="I519" s="13" t="s">
        <v>3560</v>
      </c>
      <c r="J519" s="13" t="s">
        <v>3561</v>
      </c>
      <c r="K519" s="13" t="s">
        <v>3562</v>
      </c>
      <c r="L519" s="13" t="s">
        <v>547</v>
      </c>
      <c r="M519" s="13" t="n">
        <v>1110.24</v>
      </c>
      <c r="N519" s="13" t="n">
        <v>1.38</v>
      </c>
      <c r="O519" s="13" t="n">
        <v>245</v>
      </c>
      <c r="P519" s="13" t="s">
        <v>548</v>
      </c>
      <c r="Q519" s="13" t="s">
        <v>3563</v>
      </c>
      <c r="R519" s="13" t="s">
        <v>1899</v>
      </c>
      <c r="S519" s="13" t="s">
        <v>1899</v>
      </c>
      <c r="T519" s="13" t="s">
        <v>61</v>
      </c>
      <c r="U519" s="13"/>
    </row>
    <row r="520" customFormat="false" ht="18" hidden="false" customHeight="true" outlineLevel="0" collapsed="false">
      <c r="A520" s="13" t="n">
        <v>519</v>
      </c>
      <c r="B520" s="13" t="s">
        <v>3564</v>
      </c>
      <c r="C520" s="13" t="s">
        <v>63</v>
      </c>
      <c r="D520" s="13" t="s">
        <v>64</v>
      </c>
      <c r="E520" s="13" t="s">
        <v>50</v>
      </c>
      <c r="F520" s="13" t="s">
        <v>115</v>
      </c>
      <c r="G520" s="13" t="s">
        <v>808</v>
      </c>
      <c r="H520" s="13" t="s">
        <v>3565</v>
      </c>
      <c r="I520" s="13" t="s">
        <v>3566</v>
      </c>
      <c r="J520" s="13" t="s">
        <v>3567</v>
      </c>
      <c r="K520" s="13" t="s">
        <v>3568</v>
      </c>
      <c r="L520" s="13" t="s">
        <v>2339</v>
      </c>
      <c r="M520" s="13" t="n">
        <v>159.77</v>
      </c>
      <c r="N520" s="13" t="n">
        <v>0.75</v>
      </c>
      <c r="O520" s="13" t="n">
        <v>388</v>
      </c>
      <c r="P520" s="13" t="s">
        <v>2340</v>
      </c>
      <c r="Q520" s="13" t="s">
        <v>3569</v>
      </c>
      <c r="R520" s="13" t="s">
        <v>157</v>
      </c>
      <c r="S520" s="13" t="s">
        <v>157</v>
      </c>
      <c r="T520" s="13" t="s">
        <v>61</v>
      </c>
      <c r="U520" s="13"/>
    </row>
    <row r="521" customFormat="false" ht="18" hidden="false" customHeight="true" outlineLevel="0" collapsed="false">
      <c r="A521" s="15" t="n">
        <v>520</v>
      </c>
      <c r="B521" s="15" t="s">
        <v>3570</v>
      </c>
      <c r="C521" s="15" t="s">
        <v>255</v>
      </c>
      <c r="D521" s="15" t="s">
        <v>256</v>
      </c>
      <c r="E521" s="15" t="s">
        <v>91</v>
      </c>
      <c r="F521" s="15" t="s">
        <v>115</v>
      </c>
      <c r="G521" s="15" t="s">
        <v>52</v>
      </c>
      <c r="H521" s="15" t="s">
        <v>3571</v>
      </c>
      <c r="I521" s="15" t="s">
        <v>3572</v>
      </c>
      <c r="J521" s="15" t="s">
        <v>3573</v>
      </c>
      <c r="K521" s="15" t="s">
        <v>3574</v>
      </c>
      <c r="L521" s="15" t="s">
        <v>120</v>
      </c>
      <c r="M521" s="15" t="n">
        <v>566.24</v>
      </c>
      <c r="N521" s="15" t="n">
        <v>0.34</v>
      </c>
      <c r="O521" s="15" t="n">
        <v>15</v>
      </c>
      <c r="P521" s="15" t="s">
        <v>121</v>
      </c>
      <c r="Q521" s="15" t="s">
        <v>696</v>
      </c>
      <c r="R521" s="15" t="s">
        <v>136</v>
      </c>
      <c r="S521" s="15" t="s">
        <v>136</v>
      </c>
      <c r="T521" s="15" t="s">
        <v>61</v>
      </c>
      <c r="U521" s="15" t="s">
        <v>453</v>
      </c>
    </row>
    <row r="522" customFormat="false" ht="18" hidden="false" customHeight="true" outlineLevel="0" collapsed="false">
      <c r="A522" s="13" t="n">
        <v>521</v>
      </c>
      <c r="B522" s="13" t="s">
        <v>3575</v>
      </c>
      <c r="C522" s="13" t="s">
        <v>173</v>
      </c>
      <c r="D522" s="13" t="s">
        <v>174</v>
      </c>
      <c r="E522" s="13" t="s">
        <v>161</v>
      </c>
      <c r="F522" s="13" t="s">
        <v>822</v>
      </c>
      <c r="G522" s="13" t="s">
        <v>285</v>
      </c>
      <c r="H522" s="13" t="s">
        <v>3576</v>
      </c>
      <c r="I522" s="13" t="s">
        <v>3577</v>
      </c>
      <c r="J522" s="13" t="s">
        <v>3578</v>
      </c>
      <c r="K522" s="13" t="s">
        <v>3579</v>
      </c>
      <c r="L522" s="13" t="s">
        <v>1096</v>
      </c>
      <c r="M522" s="13" t="n">
        <v>52.89</v>
      </c>
      <c r="N522" s="13" t="n">
        <v>0.36</v>
      </c>
      <c r="O522" s="13" t="n">
        <v>428</v>
      </c>
      <c r="P522" s="13" t="s">
        <v>1097</v>
      </c>
      <c r="Q522" s="13" t="s">
        <v>349</v>
      </c>
      <c r="R522" s="13" t="s">
        <v>653</v>
      </c>
      <c r="S522" s="13" t="s">
        <v>653</v>
      </c>
      <c r="T522" s="13" t="s">
        <v>61</v>
      </c>
      <c r="U522" s="13"/>
    </row>
    <row r="523" customFormat="false" ht="18" hidden="false" customHeight="true" outlineLevel="0" collapsed="false">
      <c r="A523" s="13" t="n">
        <v>522</v>
      </c>
      <c r="B523" s="13" t="s">
        <v>3580</v>
      </c>
      <c r="C523" s="13" t="s">
        <v>255</v>
      </c>
      <c r="D523" s="13" t="s">
        <v>256</v>
      </c>
      <c r="E523" s="13" t="s">
        <v>50</v>
      </c>
      <c r="F523" s="13" t="s">
        <v>138</v>
      </c>
      <c r="G523" s="13" t="s">
        <v>689</v>
      </c>
      <c r="H523" s="13" t="s">
        <v>3581</v>
      </c>
      <c r="I523" s="13" t="s">
        <v>3582</v>
      </c>
      <c r="J523" s="13" t="s">
        <v>3583</v>
      </c>
      <c r="K523" s="13" t="s">
        <v>3584</v>
      </c>
      <c r="L523" s="13" t="s">
        <v>2990</v>
      </c>
      <c r="M523" s="13" t="n">
        <v>287.53</v>
      </c>
      <c r="N523" s="13" t="n">
        <v>0.54</v>
      </c>
      <c r="O523" s="13" t="n">
        <v>140</v>
      </c>
      <c r="P523" s="13" t="s">
        <v>2991</v>
      </c>
      <c r="Q523" s="13" t="s">
        <v>3585</v>
      </c>
      <c r="R523" s="13" t="s">
        <v>3400</v>
      </c>
      <c r="S523" s="13" t="s">
        <v>3400</v>
      </c>
      <c r="T523" s="13" t="s">
        <v>61</v>
      </c>
      <c r="U523" s="13"/>
    </row>
    <row r="524" customFormat="false" ht="18" hidden="false" customHeight="true" outlineLevel="0" collapsed="false">
      <c r="A524" s="13" t="n">
        <v>523</v>
      </c>
      <c r="B524" s="13" t="s">
        <v>3586</v>
      </c>
      <c r="C524" s="13" t="s">
        <v>125</v>
      </c>
      <c r="D524" s="13" t="s">
        <v>126</v>
      </c>
      <c r="E524" s="13" t="s">
        <v>91</v>
      </c>
      <c r="F524" s="13" t="s">
        <v>587</v>
      </c>
      <c r="G524" s="13" t="s">
        <v>533</v>
      </c>
      <c r="H524" s="13" t="s">
        <v>3587</v>
      </c>
      <c r="I524" s="13" t="s">
        <v>3588</v>
      </c>
      <c r="J524" s="13" t="s">
        <v>3589</v>
      </c>
      <c r="K524" s="13" t="s">
        <v>3590</v>
      </c>
      <c r="L524" s="13" t="s">
        <v>869</v>
      </c>
      <c r="M524" s="13" t="n">
        <v>1375.55</v>
      </c>
      <c r="N524" s="13" t="n">
        <v>50.46</v>
      </c>
      <c r="O524" s="13" t="n">
        <v>30</v>
      </c>
      <c r="P524" s="13" t="s">
        <v>870</v>
      </c>
      <c r="Q524" s="13" t="s">
        <v>1054</v>
      </c>
      <c r="R524" s="13" t="s">
        <v>838</v>
      </c>
      <c r="S524" s="13" t="s">
        <v>838</v>
      </c>
      <c r="T524" s="13" t="s">
        <v>61</v>
      </c>
      <c r="U524" s="13"/>
    </row>
    <row r="525" customFormat="false" ht="18" hidden="false" customHeight="true" outlineLevel="0" collapsed="false">
      <c r="A525" s="13" t="n">
        <v>524</v>
      </c>
      <c r="B525" s="13" t="s">
        <v>3591</v>
      </c>
      <c r="C525" s="13" t="s">
        <v>48</v>
      </c>
      <c r="D525" s="13" t="s">
        <v>49</v>
      </c>
      <c r="E525" s="13" t="s">
        <v>79</v>
      </c>
      <c r="F525" s="13" t="s">
        <v>196</v>
      </c>
      <c r="G525" s="13" t="s">
        <v>760</v>
      </c>
      <c r="H525" s="13" t="s">
        <v>3592</v>
      </c>
      <c r="I525" s="13" t="s">
        <v>3593</v>
      </c>
      <c r="J525" s="13" t="s">
        <v>3594</v>
      </c>
      <c r="K525" s="13" t="s">
        <v>3595</v>
      </c>
      <c r="L525" s="13" t="s">
        <v>3596</v>
      </c>
      <c r="M525" s="13" t="n">
        <v>1475.53</v>
      </c>
      <c r="N525" s="13" t="n">
        <v>2.36</v>
      </c>
      <c r="O525" s="13" t="n">
        <v>172</v>
      </c>
      <c r="P525" s="13" t="s">
        <v>3597</v>
      </c>
      <c r="Q525" s="13" t="s">
        <v>1140</v>
      </c>
      <c r="R525" s="13" t="s">
        <v>3022</v>
      </c>
      <c r="S525" s="13" t="s">
        <v>3022</v>
      </c>
      <c r="T525" s="13" t="s">
        <v>61</v>
      </c>
      <c r="U525" s="13"/>
    </row>
    <row r="526" customFormat="false" ht="18" hidden="false" customHeight="true" outlineLevel="0" collapsed="false">
      <c r="A526" s="13" t="n">
        <v>525</v>
      </c>
      <c r="B526" s="13" t="s">
        <v>3598</v>
      </c>
      <c r="C526" s="13" t="s">
        <v>125</v>
      </c>
      <c r="D526" s="13" t="s">
        <v>126</v>
      </c>
      <c r="E526" s="13" t="s">
        <v>161</v>
      </c>
      <c r="F526" s="13" t="s">
        <v>185</v>
      </c>
      <c r="G526" s="13" t="s">
        <v>207</v>
      </c>
      <c r="H526" s="13" t="s">
        <v>3599</v>
      </c>
      <c r="I526" s="13" t="s">
        <v>3600</v>
      </c>
      <c r="J526" s="13" t="s">
        <v>3601</v>
      </c>
      <c r="K526" s="13" t="s">
        <v>3602</v>
      </c>
      <c r="L526" s="13" t="s">
        <v>1307</v>
      </c>
      <c r="M526" s="13" t="n">
        <v>102.59</v>
      </c>
      <c r="N526" s="13" t="n">
        <v>0.33</v>
      </c>
      <c r="O526" s="13" t="n">
        <v>104</v>
      </c>
      <c r="P526" s="13" t="s">
        <v>1308</v>
      </c>
      <c r="Q526" s="13" t="s">
        <v>916</v>
      </c>
      <c r="R526" s="13" t="s">
        <v>2576</v>
      </c>
      <c r="S526" s="13" t="s">
        <v>2576</v>
      </c>
      <c r="T526" s="13" t="s">
        <v>61</v>
      </c>
      <c r="U526" s="13"/>
    </row>
    <row r="527" customFormat="false" ht="18" hidden="false" customHeight="true" outlineLevel="0" collapsed="false">
      <c r="A527" s="15" t="n">
        <v>526</v>
      </c>
      <c r="B527" s="15" t="s">
        <v>3603</v>
      </c>
      <c r="C527" s="15" t="s">
        <v>255</v>
      </c>
      <c r="D527" s="15" t="s">
        <v>256</v>
      </c>
      <c r="E527" s="15" t="s">
        <v>65</v>
      </c>
      <c r="F527" s="15" t="s">
        <v>390</v>
      </c>
      <c r="G527" s="15" t="s">
        <v>103</v>
      </c>
      <c r="H527" s="15" t="s">
        <v>3604</v>
      </c>
      <c r="I527" s="15" t="s">
        <v>3605</v>
      </c>
      <c r="J527" s="15" t="s">
        <v>3606</v>
      </c>
      <c r="K527" s="15" t="s">
        <v>3607</v>
      </c>
      <c r="L527" s="15" t="s">
        <v>2115</v>
      </c>
      <c r="M527" s="15" t="n">
        <v>352.7</v>
      </c>
      <c r="N527" s="15" t="n">
        <v>0.67</v>
      </c>
      <c r="O527" s="15" t="n">
        <v>325</v>
      </c>
      <c r="P527" s="15" t="s">
        <v>2116</v>
      </c>
      <c r="Q527" s="15" t="s">
        <v>3608</v>
      </c>
      <c r="R527" s="15" t="s">
        <v>1973</v>
      </c>
      <c r="S527" s="15" t="s">
        <v>1973</v>
      </c>
      <c r="T527" s="15" t="s">
        <v>61</v>
      </c>
      <c r="U527" s="15" t="s">
        <v>778</v>
      </c>
    </row>
    <row r="528" customFormat="false" ht="18" hidden="false" customHeight="true" outlineLevel="0" collapsed="false">
      <c r="A528" s="14" t="n">
        <v>527</v>
      </c>
      <c r="B528" s="14" t="s">
        <v>3609</v>
      </c>
      <c r="C528" s="14" t="s">
        <v>77</v>
      </c>
      <c r="D528" s="14" t="s">
        <v>78</v>
      </c>
      <c r="E528" s="14" t="s">
        <v>91</v>
      </c>
      <c r="F528" s="14" t="s">
        <v>138</v>
      </c>
      <c r="G528" s="14" t="s">
        <v>533</v>
      </c>
      <c r="H528" s="14" t="s">
        <v>3610</v>
      </c>
      <c r="I528" s="14" t="s">
        <v>3611</v>
      </c>
      <c r="J528" s="14" t="s">
        <v>3612</v>
      </c>
      <c r="K528" s="14" t="s">
        <v>3613</v>
      </c>
      <c r="L528" s="14"/>
      <c r="M528" s="14" t="n">
        <v>1078.96</v>
      </c>
      <c r="N528" s="14" t="n">
        <v>8.8</v>
      </c>
      <c r="O528" s="14" t="n">
        <v>166</v>
      </c>
      <c r="P528" s="14" t="s">
        <v>539</v>
      </c>
      <c r="Q528" s="14" t="s">
        <v>3614</v>
      </c>
      <c r="R528" s="14" t="s">
        <v>2663</v>
      </c>
      <c r="S528" s="14" t="s">
        <v>2663</v>
      </c>
      <c r="T528" s="14" t="s">
        <v>61</v>
      </c>
      <c r="U528" s="14" t="s">
        <v>1107</v>
      </c>
    </row>
    <row r="529" customFormat="false" ht="18" hidden="false" customHeight="true" outlineLevel="0" collapsed="false">
      <c r="A529" s="13" t="n">
        <v>528</v>
      </c>
      <c r="B529" s="13" t="s">
        <v>3615</v>
      </c>
      <c r="C529" s="13" t="s">
        <v>63</v>
      </c>
      <c r="D529" s="13" t="s">
        <v>64</v>
      </c>
      <c r="E529" s="13" t="s">
        <v>79</v>
      </c>
      <c r="F529" s="13" t="s">
        <v>513</v>
      </c>
      <c r="G529" s="13" t="s">
        <v>514</v>
      </c>
      <c r="H529" s="13" t="s">
        <v>3616</v>
      </c>
      <c r="I529" s="13" t="s">
        <v>3617</v>
      </c>
      <c r="J529" s="13" t="s">
        <v>3618</v>
      </c>
      <c r="K529" s="13" t="s">
        <v>3619</v>
      </c>
      <c r="L529" s="13" t="s">
        <v>519</v>
      </c>
      <c r="M529" s="13" t="n">
        <v>813.99</v>
      </c>
      <c r="N529" s="13" t="n">
        <v>2.5</v>
      </c>
      <c r="O529" s="13" t="n">
        <v>372</v>
      </c>
      <c r="P529" s="13" t="s">
        <v>520</v>
      </c>
      <c r="Q529" s="13" t="s">
        <v>3620</v>
      </c>
      <c r="R529" s="13" t="s">
        <v>576</v>
      </c>
      <c r="S529" s="13" t="s">
        <v>576</v>
      </c>
      <c r="T529" s="13" t="s">
        <v>61</v>
      </c>
      <c r="U529" s="13"/>
    </row>
    <row r="530" customFormat="false" ht="18" hidden="false" customHeight="true" outlineLevel="0" collapsed="false">
      <c r="A530" s="13" t="n">
        <v>529</v>
      </c>
      <c r="B530" s="13" t="s">
        <v>3621</v>
      </c>
      <c r="C530" s="13" t="s">
        <v>159</v>
      </c>
      <c r="D530" s="13" t="s">
        <v>160</v>
      </c>
      <c r="E530" s="13" t="s">
        <v>79</v>
      </c>
      <c r="F530" s="13" t="s">
        <v>956</v>
      </c>
      <c r="G530" s="13" t="s">
        <v>197</v>
      </c>
      <c r="H530" s="13" t="s">
        <v>3622</v>
      </c>
      <c r="I530" s="13" t="s">
        <v>3623</v>
      </c>
      <c r="J530" s="13" t="s">
        <v>3624</v>
      </c>
      <c r="K530" s="13" t="s">
        <v>3625</v>
      </c>
      <c r="L530" s="13" t="s">
        <v>1045</v>
      </c>
      <c r="M530" s="13" t="n">
        <v>677.27</v>
      </c>
      <c r="N530" s="13" t="n">
        <v>2.36</v>
      </c>
      <c r="O530" s="13" t="n">
        <v>482</v>
      </c>
      <c r="P530" s="13" t="s">
        <v>1046</v>
      </c>
      <c r="Q530" s="13" t="s">
        <v>2054</v>
      </c>
      <c r="R530" s="13" t="s">
        <v>1393</v>
      </c>
      <c r="S530" s="13" t="s">
        <v>1393</v>
      </c>
      <c r="T530" s="13" t="s">
        <v>61</v>
      </c>
      <c r="U530" s="13"/>
    </row>
    <row r="531" customFormat="false" ht="18" hidden="false" customHeight="true" outlineLevel="0" collapsed="false">
      <c r="A531" s="16" t="n">
        <v>530</v>
      </c>
      <c r="B531" s="16" t="s">
        <v>3626</v>
      </c>
      <c r="C531" s="16" t="s">
        <v>173</v>
      </c>
      <c r="D531" s="16" t="s">
        <v>174</v>
      </c>
      <c r="E531" s="16" t="s">
        <v>161</v>
      </c>
      <c r="F531" s="16" t="s">
        <v>162</v>
      </c>
      <c r="G531" s="16" t="s">
        <v>163</v>
      </c>
      <c r="H531" s="16" t="s">
        <v>3627</v>
      </c>
      <c r="I531" s="16" t="s">
        <v>3628</v>
      </c>
      <c r="J531" s="16" t="s">
        <v>3629</v>
      </c>
      <c r="K531" s="16" t="s">
        <v>3630</v>
      </c>
      <c r="L531" s="16" t="s">
        <v>168</v>
      </c>
      <c r="M531" s="16" t="n">
        <v>361.62</v>
      </c>
      <c r="N531" s="16" t="n">
        <v>0.23</v>
      </c>
      <c r="O531" s="16" t="n">
        <v>0</v>
      </c>
      <c r="P531" s="16" t="s">
        <v>169</v>
      </c>
      <c r="Q531" s="16" t="s">
        <v>2427</v>
      </c>
      <c r="R531" s="16" t="s">
        <v>554</v>
      </c>
      <c r="S531" s="16" t="s">
        <v>3631</v>
      </c>
      <c r="T531" s="16" t="s">
        <v>61</v>
      </c>
      <c r="U531" s="16" t="s">
        <v>325</v>
      </c>
    </row>
    <row r="532" customFormat="false" ht="18" hidden="false" customHeight="true" outlineLevel="0" collapsed="false">
      <c r="A532" s="15" t="n">
        <v>531</v>
      </c>
      <c r="B532" s="15" t="s">
        <v>1754</v>
      </c>
      <c r="C532" s="15" t="s">
        <v>255</v>
      </c>
      <c r="D532" s="15" t="s">
        <v>256</v>
      </c>
      <c r="E532" s="15" t="s">
        <v>161</v>
      </c>
      <c r="F532" s="15" t="s">
        <v>306</v>
      </c>
      <c r="G532" s="15" t="s">
        <v>285</v>
      </c>
      <c r="H532" s="15" t="s">
        <v>1755</v>
      </c>
      <c r="I532" s="15" t="s">
        <v>1756</v>
      </c>
      <c r="J532" s="15" t="s">
        <v>1757</v>
      </c>
      <c r="K532" s="15" t="s">
        <v>3632</v>
      </c>
      <c r="L532" s="15" t="s">
        <v>1186</v>
      </c>
      <c r="M532" s="15" t="n">
        <v>398.73</v>
      </c>
      <c r="N532" s="15" t="n">
        <v>0.41</v>
      </c>
      <c r="O532" s="15" t="n">
        <v>44</v>
      </c>
      <c r="P532" s="15" t="s">
        <v>1187</v>
      </c>
      <c r="Q532" s="15" t="s">
        <v>303</v>
      </c>
      <c r="R532" s="15" t="s">
        <v>242</v>
      </c>
      <c r="S532" s="15" t="s">
        <v>242</v>
      </c>
      <c r="T532" s="15" t="s">
        <v>61</v>
      </c>
      <c r="U532" s="15" t="s">
        <v>283</v>
      </c>
    </row>
    <row r="533" customFormat="false" ht="18" hidden="false" customHeight="true" outlineLevel="0" collapsed="false">
      <c r="A533" s="13" t="n">
        <v>532</v>
      </c>
      <c r="B533" s="13" t="s">
        <v>3633</v>
      </c>
      <c r="C533" s="13" t="s">
        <v>48</v>
      </c>
      <c r="D533" s="13" t="s">
        <v>49</v>
      </c>
      <c r="E533" s="13" t="s">
        <v>79</v>
      </c>
      <c r="F533" s="13" t="s">
        <v>513</v>
      </c>
      <c r="G533" s="13" t="s">
        <v>197</v>
      </c>
      <c r="H533" s="13" t="s">
        <v>3634</v>
      </c>
      <c r="I533" s="13" t="s">
        <v>3635</v>
      </c>
      <c r="J533" s="13" t="s">
        <v>3636</v>
      </c>
      <c r="K533" s="13" t="s">
        <v>3637</v>
      </c>
      <c r="L533" s="13" t="s">
        <v>3638</v>
      </c>
      <c r="M533" s="13" t="n">
        <v>1197.95</v>
      </c>
      <c r="N533" s="13" t="n">
        <v>1.69</v>
      </c>
      <c r="O533" s="13" t="n">
        <v>145</v>
      </c>
      <c r="P533" s="13" t="s">
        <v>3639</v>
      </c>
      <c r="Q533" s="13" t="s">
        <v>3640</v>
      </c>
      <c r="R533" s="13" t="s">
        <v>3641</v>
      </c>
      <c r="S533" s="13" t="s">
        <v>3641</v>
      </c>
      <c r="T533" s="13" t="s">
        <v>61</v>
      </c>
      <c r="U533" s="13"/>
    </row>
    <row r="534" customFormat="false" ht="18" hidden="false" customHeight="true" outlineLevel="0" collapsed="false">
      <c r="A534" s="13" t="n">
        <v>533</v>
      </c>
      <c r="B534" s="13" t="s">
        <v>3642</v>
      </c>
      <c r="C534" s="13" t="s">
        <v>255</v>
      </c>
      <c r="D534" s="13" t="s">
        <v>256</v>
      </c>
      <c r="E534" s="13" t="s">
        <v>91</v>
      </c>
      <c r="F534" s="13" t="s">
        <v>92</v>
      </c>
      <c r="G534" s="13" t="s">
        <v>420</v>
      </c>
      <c r="H534" s="13" t="s">
        <v>3643</v>
      </c>
      <c r="I534" s="13" t="s">
        <v>3644</v>
      </c>
      <c r="J534" s="13" t="s">
        <v>3645</v>
      </c>
      <c r="K534" s="13" t="s">
        <v>2867</v>
      </c>
      <c r="L534" s="13" t="s">
        <v>1228</v>
      </c>
      <c r="M534" s="13" t="n">
        <v>2706.75</v>
      </c>
      <c r="N534" s="13" t="n">
        <v>51.89</v>
      </c>
      <c r="O534" s="13" t="n">
        <v>132</v>
      </c>
      <c r="P534" s="13" t="s">
        <v>1229</v>
      </c>
      <c r="Q534" s="13" t="s">
        <v>3646</v>
      </c>
      <c r="R534" s="13" t="s">
        <v>473</v>
      </c>
      <c r="S534" s="13" t="s">
        <v>473</v>
      </c>
      <c r="T534" s="13" t="s">
        <v>61</v>
      </c>
      <c r="U534" s="13"/>
    </row>
    <row r="535" customFormat="false" ht="18" hidden="false" customHeight="true" outlineLevel="0" collapsed="false">
      <c r="A535" s="13" t="n">
        <v>534</v>
      </c>
      <c r="B535" s="13" t="s">
        <v>3647</v>
      </c>
      <c r="C535" s="13" t="s">
        <v>48</v>
      </c>
      <c r="D535" s="13" t="s">
        <v>49</v>
      </c>
      <c r="E535" s="13" t="s">
        <v>161</v>
      </c>
      <c r="F535" s="13" t="s">
        <v>295</v>
      </c>
      <c r="G535" s="13" t="s">
        <v>296</v>
      </c>
      <c r="H535" s="13" t="s">
        <v>3648</v>
      </c>
      <c r="I535" s="13" t="s">
        <v>3649</v>
      </c>
      <c r="J535" s="13" t="s">
        <v>3650</v>
      </c>
      <c r="K535" s="13" t="s">
        <v>2791</v>
      </c>
      <c r="L535" s="13" t="s">
        <v>301</v>
      </c>
      <c r="M535" s="13" t="n">
        <v>357.1</v>
      </c>
      <c r="N535" s="13" t="n">
        <v>0.37</v>
      </c>
      <c r="O535" s="13" t="n">
        <v>357</v>
      </c>
      <c r="P535" s="13" t="s">
        <v>302</v>
      </c>
      <c r="Q535" s="13" t="s">
        <v>1392</v>
      </c>
      <c r="R535" s="13" t="s">
        <v>1125</v>
      </c>
      <c r="S535" s="13" t="s">
        <v>1125</v>
      </c>
      <c r="T535" s="13" t="s">
        <v>61</v>
      </c>
      <c r="U535" s="13"/>
    </row>
    <row r="536" customFormat="false" ht="18" hidden="false" customHeight="true" outlineLevel="0" collapsed="false">
      <c r="A536" s="13" t="n">
        <v>535</v>
      </c>
      <c r="B536" s="13" t="s">
        <v>3651</v>
      </c>
      <c r="C536" s="13" t="s">
        <v>173</v>
      </c>
      <c r="D536" s="13" t="s">
        <v>174</v>
      </c>
      <c r="E536" s="13" t="s">
        <v>91</v>
      </c>
      <c r="F536" s="13" t="s">
        <v>185</v>
      </c>
      <c r="G536" s="13" t="s">
        <v>533</v>
      </c>
      <c r="H536" s="13" t="s">
        <v>3652</v>
      </c>
      <c r="I536" s="13" t="s">
        <v>3653</v>
      </c>
      <c r="J536" s="13" t="s">
        <v>3654</v>
      </c>
      <c r="K536" s="13" t="s">
        <v>3655</v>
      </c>
      <c r="L536" s="13" t="s">
        <v>1617</v>
      </c>
      <c r="M536" s="13" t="n">
        <v>3876.26</v>
      </c>
      <c r="N536" s="13" t="n">
        <v>43.4</v>
      </c>
      <c r="O536" s="13" t="n">
        <v>187</v>
      </c>
      <c r="P536" s="13" t="s">
        <v>1618</v>
      </c>
      <c r="Q536" s="13" t="s">
        <v>2786</v>
      </c>
      <c r="R536" s="13" t="s">
        <v>3656</v>
      </c>
      <c r="S536" s="13" t="s">
        <v>3656</v>
      </c>
      <c r="T536" s="13" t="s">
        <v>61</v>
      </c>
      <c r="U536" s="13"/>
    </row>
    <row r="537" customFormat="false" ht="18" hidden="false" customHeight="true" outlineLevel="0" collapsed="false">
      <c r="A537" s="13" t="n">
        <v>536</v>
      </c>
      <c r="B537" s="13" t="s">
        <v>3657</v>
      </c>
      <c r="C537" s="13" t="s">
        <v>173</v>
      </c>
      <c r="D537" s="13" t="s">
        <v>174</v>
      </c>
      <c r="E537" s="13" t="s">
        <v>161</v>
      </c>
      <c r="F537" s="13" t="s">
        <v>51</v>
      </c>
      <c r="G537" s="13" t="s">
        <v>257</v>
      </c>
      <c r="H537" s="13" t="s">
        <v>3658</v>
      </c>
      <c r="I537" s="13" t="s">
        <v>3659</v>
      </c>
      <c r="J537" s="13" t="s">
        <v>3660</v>
      </c>
      <c r="K537" s="13" t="s">
        <v>3661</v>
      </c>
      <c r="L537" s="13" t="s">
        <v>2562</v>
      </c>
      <c r="M537" s="13" t="n">
        <v>437.81</v>
      </c>
      <c r="N537" s="13" t="n">
        <v>0.41</v>
      </c>
      <c r="O537" s="13" t="n">
        <v>23</v>
      </c>
      <c r="P537" s="13" t="s">
        <v>2563</v>
      </c>
      <c r="Q537" s="13" t="s">
        <v>416</v>
      </c>
      <c r="R537" s="13" t="s">
        <v>1106</v>
      </c>
      <c r="S537" s="13" t="s">
        <v>1106</v>
      </c>
      <c r="T537" s="13" t="s">
        <v>61</v>
      </c>
      <c r="U537" s="13"/>
    </row>
    <row r="538" customFormat="false" ht="18" hidden="false" customHeight="true" outlineLevel="0" collapsed="false">
      <c r="A538" s="15" t="n">
        <v>537</v>
      </c>
      <c r="B538" s="15" t="s">
        <v>3662</v>
      </c>
      <c r="C538" s="15" t="s">
        <v>255</v>
      </c>
      <c r="D538" s="15" t="s">
        <v>256</v>
      </c>
      <c r="E538" s="15" t="s">
        <v>91</v>
      </c>
      <c r="F538" s="15" t="s">
        <v>587</v>
      </c>
      <c r="G538" s="15" t="s">
        <v>93</v>
      </c>
      <c r="H538" s="15" t="s">
        <v>3663</v>
      </c>
      <c r="I538" s="15" t="s">
        <v>3664</v>
      </c>
      <c r="J538" s="15" t="s">
        <v>3665</v>
      </c>
      <c r="K538" s="15" t="s">
        <v>3666</v>
      </c>
      <c r="L538" s="15" t="s">
        <v>1783</v>
      </c>
      <c r="M538" s="15" t="n">
        <v>4293.68</v>
      </c>
      <c r="N538" s="15" t="n">
        <v>31.84</v>
      </c>
      <c r="O538" s="15" t="n">
        <v>387</v>
      </c>
      <c r="P538" s="15" t="s">
        <v>1784</v>
      </c>
      <c r="Q538" s="15" t="s">
        <v>100</v>
      </c>
      <c r="R538" s="15" t="s">
        <v>452</v>
      </c>
      <c r="S538" s="15" t="s">
        <v>452</v>
      </c>
      <c r="T538" s="15" t="s">
        <v>61</v>
      </c>
      <c r="U538" s="15" t="s">
        <v>283</v>
      </c>
    </row>
    <row r="539" customFormat="false" ht="18" hidden="false" customHeight="true" outlineLevel="0" collapsed="false">
      <c r="A539" s="13" t="n">
        <v>538</v>
      </c>
      <c r="B539" s="13" t="s">
        <v>3667</v>
      </c>
      <c r="C539" s="13" t="s">
        <v>113</v>
      </c>
      <c r="D539" s="13" t="s">
        <v>114</v>
      </c>
      <c r="E539" s="13" t="s">
        <v>65</v>
      </c>
      <c r="F539" s="13" t="s">
        <v>371</v>
      </c>
      <c r="G539" s="13" t="s">
        <v>67</v>
      </c>
      <c r="H539" s="13" t="s">
        <v>3668</v>
      </c>
      <c r="I539" s="13" t="s">
        <v>3669</v>
      </c>
      <c r="J539" s="13" t="s">
        <v>3670</v>
      </c>
      <c r="K539" s="13" t="s">
        <v>951</v>
      </c>
      <c r="L539" s="13" t="s">
        <v>952</v>
      </c>
      <c r="M539" s="13" t="n">
        <v>245</v>
      </c>
      <c r="N539" s="13" t="n">
        <v>1.03</v>
      </c>
      <c r="O539" s="13" t="n">
        <v>460</v>
      </c>
      <c r="P539" s="13" t="s">
        <v>953</v>
      </c>
      <c r="Q539" s="13" t="s">
        <v>1115</v>
      </c>
      <c r="R539" s="13" t="s">
        <v>2738</v>
      </c>
      <c r="S539" s="13" t="s">
        <v>2738</v>
      </c>
      <c r="T539" s="13" t="s">
        <v>61</v>
      </c>
      <c r="U539" s="13"/>
    </row>
    <row r="540" customFormat="false" ht="18" hidden="false" customHeight="true" outlineLevel="0" collapsed="false">
      <c r="A540" s="13" t="n">
        <v>539</v>
      </c>
      <c r="B540" s="13" t="s">
        <v>3671</v>
      </c>
      <c r="C540" s="13" t="s">
        <v>255</v>
      </c>
      <c r="D540" s="13" t="s">
        <v>256</v>
      </c>
      <c r="E540" s="13" t="s">
        <v>79</v>
      </c>
      <c r="F540" s="13" t="s">
        <v>465</v>
      </c>
      <c r="G540" s="13" t="s">
        <v>197</v>
      </c>
      <c r="H540" s="13" t="s">
        <v>3672</v>
      </c>
      <c r="I540" s="13" t="s">
        <v>3673</v>
      </c>
      <c r="J540" s="13" t="s">
        <v>3674</v>
      </c>
      <c r="K540" s="13" t="s">
        <v>3675</v>
      </c>
      <c r="L540" s="13" t="s">
        <v>991</v>
      </c>
      <c r="M540" s="13" t="n">
        <v>1053.06</v>
      </c>
      <c r="N540" s="13" t="n">
        <v>1.74</v>
      </c>
      <c r="O540" s="13" t="n">
        <v>77</v>
      </c>
      <c r="P540" s="13" t="s">
        <v>992</v>
      </c>
      <c r="Q540" s="13" t="s">
        <v>204</v>
      </c>
      <c r="R540" s="13" t="s">
        <v>3395</v>
      </c>
      <c r="S540" s="13" t="s">
        <v>3395</v>
      </c>
      <c r="T540" s="13" t="s">
        <v>61</v>
      </c>
      <c r="U540" s="13"/>
    </row>
    <row r="541" customFormat="false" ht="18" hidden="false" customHeight="true" outlineLevel="0" collapsed="false">
      <c r="A541" s="13" t="n">
        <v>540</v>
      </c>
      <c r="B541" s="13" t="s">
        <v>3676</v>
      </c>
      <c r="C541" s="13" t="s">
        <v>48</v>
      </c>
      <c r="D541" s="13" t="s">
        <v>49</v>
      </c>
      <c r="E541" s="13" t="s">
        <v>65</v>
      </c>
      <c r="F541" s="13" t="s">
        <v>390</v>
      </c>
      <c r="G541" s="13" t="s">
        <v>67</v>
      </c>
      <c r="H541" s="13" t="s">
        <v>3677</v>
      </c>
      <c r="I541" s="13" t="s">
        <v>3678</v>
      </c>
      <c r="J541" s="13" t="s">
        <v>3679</v>
      </c>
      <c r="K541" s="13" t="s">
        <v>1750</v>
      </c>
      <c r="L541" s="13" t="s">
        <v>1751</v>
      </c>
      <c r="M541" s="13" t="n">
        <v>393.93</v>
      </c>
      <c r="N541" s="13" t="n">
        <v>0.67</v>
      </c>
      <c r="O541" s="13" t="n">
        <v>299</v>
      </c>
      <c r="P541" s="13" t="s">
        <v>1752</v>
      </c>
      <c r="Q541" s="13" t="s">
        <v>2854</v>
      </c>
      <c r="R541" s="13" t="s">
        <v>1685</v>
      </c>
      <c r="S541" s="13" t="s">
        <v>1685</v>
      </c>
      <c r="T541" s="13" t="s">
        <v>61</v>
      </c>
      <c r="U541" s="13"/>
    </row>
    <row r="542" customFormat="false" ht="18" hidden="false" customHeight="true" outlineLevel="0" collapsed="false">
      <c r="A542" s="13" t="n">
        <v>541</v>
      </c>
      <c r="B542" s="13" t="s">
        <v>3680</v>
      </c>
      <c r="C542" s="13" t="s">
        <v>77</v>
      </c>
      <c r="D542" s="13" t="s">
        <v>78</v>
      </c>
      <c r="E542" s="13" t="s">
        <v>91</v>
      </c>
      <c r="F542" s="13" t="s">
        <v>780</v>
      </c>
      <c r="G542" s="13" t="s">
        <v>186</v>
      </c>
      <c r="H542" s="13" t="s">
        <v>3681</v>
      </c>
      <c r="I542" s="13" t="s">
        <v>3682</v>
      </c>
      <c r="J542" s="13" t="s">
        <v>3683</v>
      </c>
      <c r="K542" s="13" t="s">
        <v>3684</v>
      </c>
      <c r="L542" s="13" t="s">
        <v>1163</v>
      </c>
      <c r="M542" s="13" t="n">
        <v>2119.35</v>
      </c>
      <c r="N542" s="13" t="n">
        <v>21.58</v>
      </c>
      <c r="O542" s="13" t="n">
        <v>11</v>
      </c>
      <c r="P542" s="13" t="s">
        <v>1164</v>
      </c>
      <c r="Q542" s="13" t="s">
        <v>2657</v>
      </c>
      <c r="R542" s="13" t="s">
        <v>3656</v>
      </c>
      <c r="S542" s="13" t="s">
        <v>3656</v>
      </c>
      <c r="T542" s="13" t="s">
        <v>61</v>
      </c>
      <c r="U542" s="13"/>
    </row>
    <row r="543" customFormat="false" ht="18" hidden="false" customHeight="true" outlineLevel="0" collapsed="false">
      <c r="A543" s="14" t="n">
        <v>542</v>
      </c>
      <c r="B543" s="14" t="s">
        <v>3685</v>
      </c>
      <c r="C543" s="14" t="s">
        <v>77</v>
      </c>
      <c r="D543" s="14" t="s">
        <v>78</v>
      </c>
      <c r="E543" s="14" t="s">
        <v>50</v>
      </c>
      <c r="F543" s="14"/>
      <c r="G543" s="14" t="s">
        <v>52</v>
      </c>
      <c r="H543" s="14" t="s">
        <v>3686</v>
      </c>
      <c r="I543" s="14" t="s">
        <v>3687</v>
      </c>
      <c r="J543" s="14" t="s">
        <v>3688</v>
      </c>
      <c r="K543" s="14" t="s">
        <v>3689</v>
      </c>
      <c r="L543" s="14" t="s">
        <v>57</v>
      </c>
      <c r="M543" s="14" t="n">
        <v>856.92</v>
      </c>
      <c r="N543" s="14" t="n">
        <v>0.62</v>
      </c>
      <c r="O543" s="14" t="n">
        <v>406</v>
      </c>
      <c r="P543" s="14" t="s">
        <v>58</v>
      </c>
      <c r="Q543" s="14" t="s">
        <v>122</v>
      </c>
      <c r="R543" s="14" t="s">
        <v>1867</v>
      </c>
      <c r="S543" s="14" t="s">
        <v>1867</v>
      </c>
      <c r="T543" s="14" t="s">
        <v>61</v>
      </c>
      <c r="U543" s="14" t="s">
        <v>89</v>
      </c>
    </row>
    <row r="544" customFormat="false" ht="18" hidden="false" customHeight="true" outlineLevel="0" collapsed="false">
      <c r="A544" s="13" t="n">
        <v>543</v>
      </c>
      <c r="B544" s="13" t="s">
        <v>3690</v>
      </c>
      <c r="C544" s="13" t="s">
        <v>48</v>
      </c>
      <c r="D544" s="13" t="s">
        <v>49</v>
      </c>
      <c r="E544" s="13" t="s">
        <v>161</v>
      </c>
      <c r="F544" s="13" t="s">
        <v>822</v>
      </c>
      <c r="G544" s="13" t="s">
        <v>175</v>
      </c>
      <c r="H544" s="13" t="s">
        <v>3691</v>
      </c>
      <c r="I544" s="13" t="s">
        <v>3692</v>
      </c>
      <c r="J544" s="13" t="s">
        <v>3693</v>
      </c>
      <c r="K544" s="13" t="s">
        <v>3694</v>
      </c>
      <c r="L544" s="13" t="s">
        <v>3695</v>
      </c>
      <c r="M544" s="13" t="n">
        <v>355.69</v>
      </c>
      <c r="N544" s="13" t="n">
        <v>0.43</v>
      </c>
      <c r="O544" s="13" t="n">
        <v>330</v>
      </c>
      <c r="P544" s="13" t="s">
        <v>3696</v>
      </c>
      <c r="Q544" s="13" t="s">
        <v>2923</v>
      </c>
      <c r="R544" s="13" t="s">
        <v>1899</v>
      </c>
      <c r="S544" s="13" t="s">
        <v>1899</v>
      </c>
      <c r="T544" s="13" t="s">
        <v>61</v>
      </c>
      <c r="U544" s="13"/>
    </row>
    <row r="545" customFormat="false" ht="18" hidden="false" customHeight="true" outlineLevel="0" collapsed="false">
      <c r="A545" s="13" t="n">
        <v>544</v>
      </c>
      <c r="B545" s="13" t="s">
        <v>3697</v>
      </c>
      <c r="C545" s="13" t="s">
        <v>255</v>
      </c>
      <c r="D545" s="13" t="s">
        <v>256</v>
      </c>
      <c r="E545" s="13" t="s">
        <v>65</v>
      </c>
      <c r="F545" s="13" t="s">
        <v>438</v>
      </c>
      <c r="G545" s="13" t="s">
        <v>724</v>
      </c>
      <c r="H545" s="13" t="s">
        <v>3698</v>
      </c>
      <c r="I545" s="13" t="s">
        <v>3699</v>
      </c>
      <c r="J545" s="13" t="s">
        <v>3700</v>
      </c>
      <c r="K545" s="13" t="s">
        <v>1363</v>
      </c>
      <c r="L545" s="13" t="s">
        <v>1364</v>
      </c>
      <c r="M545" s="13" t="n">
        <v>111.16</v>
      </c>
      <c r="N545" s="13" t="n">
        <v>0.61</v>
      </c>
      <c r="O545" s="13" t="n">
        <v>68</v>
      </c>
      <c r="P545" s="13" t="s">
        <v>1365</v>
      </c>
      <c r="Q545" s="13" t="s">
        <v>2150</v>
      </c>
      <c r="R545" s="13" t="s">
        <v>3701</v>
      </c>
      <c r="S545" s="13" t="s">
        <v>3701</v>
      </c>
      <c r="T545" s="13" t="s">
        <v>61</v>
      </c>
      <c r="U545" s="13"/>
    </row>
    <row r="546" customFormat="false" ht="18" hidden="false" customHeight="true" outlineLevel="0" collapsed="false">
      <c r="A546" s="13" t="n">
        <v>545</v>
      </c>
      <c r="B546" s="13" t="s">
        <v>3702</v>
      </c>
      <c r="C546" s="13" t="s">
        <v>173</v>
      </c>
      <c r="D546" s="13" t="s">
        <v>174</v>
      </c>
      <c r="E546" s="13" t="s">
        <v>50</v>
      </c>
      <c r="F546" s="13" t="s">
        <v>51</v>
      </c>
      <c r="G546" s="13" t="s">
        <v>808</v>
      </c>
      <c r="H546" s="13" t="s">
        <v>3703</v>
      </c>
      <c r="I546" s="13" t="s">
        <v>3704</v>
      </c>
      <c r="J546" s="13" t="s">
        <v>3705</v>
      </c>
      <c r="K546" s="13" t="s">
        <v>3706</v>
      </c>
      <c r="L546" s="13" t="s">
        <v>1857</v>
      </c>
      <c r="M546" s="13" t="n">
        <v>304.81</v>
      </c>
      <c r="N546" s="13" t="n">
        <v>0.3</v>
      </c>
      <c r="O546" s="13" t="n">
        <v>202</v>
      </c>
      <c r="P546" s="13" t="s">
        <v>1858</v>
      </c>
      <c r="Q546" s="13" t="s">
        <v>3707</v>
      </c>
      <c r="R546" s="13" t="s">
        <v>3708</v>
      </c>
      <c r="S546" s="13" t="s">
        <v>3708</v>
      </c>
      <c r="T546" s="13" t="s">
        <v>61</v>
      </c>
      <c r="U546" s="13"/>
    </row>
    <row r="547" customFormat="false" ht="18" hidden="false" customHeight="true" outlineLevel="0" collapsed="false">
      <c r="A547" s="13" t="n">
        <v>546</v>
      </c>
      <c r="B547" s="13" t="s">
        <v>3709</v>
      </c>
      <c r="C547" s="13" t="s">
        <v>113</v>
      </c>
      <c r="D547" s="13" t="s">
        <v>114</v>
      </c>
      <c r="E547" s="13" t="s">
        <v>161</v>
      </c>
      <c r="F547" s="13" t="s">
        <v>185</v>
      </c>
      <c r="G547" s="13" t="s">
        <v>257</v>
      </c>
      <c r="H547" s="13" t="s">
        <v>3710</v>
      </c>
      <c r="I547" s="13" t="s">
        <v>3711</v>
      </c>
      <c r="J547" s="13" t="s">
        <v>3712</v>
      </c>
      <c r="K547" s="13" t="s">
        <v>1962</v>
      </c>
      <c r="L547" s="13" t="s">
        <v>641</v>
      </c>
      <c r="M547" s="13" t="n">
        <v>71.38</v>
      </c>
      <c r="N547" s="13" t="n">
        <v>0.37</v>
      </c>
      <c r="O547" s="13" t="n">
        <v>469</v>
      </c>
      <c r="P547" s="13" t="s">
        <v>642</v>
      </c>
      <c r="Q547" s="13" t="s">
        <v>635</v>
      </c>
      <c r="R547" s="13" t="s">
        <v>2182</v>
      </c>
      <c r="S547" s="13" t="s">
        <v>2182</v>
      </c>
      <c r="T547" s="13" t="s">
        <v>61</v>
      </c>
      <c r="U547" s="13"/>
    </row>
    <row r="548" customFormat="false" ht="18" hidden="false" customHeight="true" outlineLevel="0" collapsed="false">
      <c r="A548" s="15" t="n">
        <v>547</v>
      </c>
      <c r="B548" s="15" t="s">
        <v>3713</v>
      </c>
      <c r="C548" s="15" t="s">
        <v>255</v>
      </c>
      <c r="D548" s="15" t="s">
        <v>256</v>
      </c>
      <c r="E548" s="15" t="s">
        <v>50</v>
      </c>
      <c r="F548" s="15" t="s">
        <v>115</v>
      </c>
      <c r="G548" s="15" t="s">
        <v>808</v>
      </c>
      <c r="H548" s="15" t="s">
        <v>3714</v>
      </c>
      <c r="I548" s="15" t="s">
        <v>3715</v>
      </c>
      <c r="J548" s="15" t="s">
        <v>3716</v>
      </c>
      <c r="K548" s="15" t="s">
        <v>2338</v>
      </c>
      <c r="L548" s="15" t="s">
        <v>2339</v>
      </c>
      <c r="M548" s="15" t="n">
        <v>1023.23</v>
      </c>
      <c r="N548" s="15" t="n">
        <v>0.75</v>
      </c>
      <c r="O548" s="15" t="n">
        <v>375</v>
      </c>
      <c r="P548" s="15" t="s">
        <v>2340</v>
      </c>
      <c r="Q548" s="15" t="s">
        <v>2596</v>
      </c>
      <c r="R548" s="15" t="s">
        <v>2006</v>
      </c>
      <c r="S548" s="15" t="s">
        <v>2006</v>
      </c>
      <c r="T548" s="15" t="s">
        <v>61</v>
      </c>
      <c r="U548" s="15" t="s">
        <v>283</v>
      </c>
    </row>
    <row r="549" customFormat="false" ht="18" hidden="false" customHeight="true" outlineLevel="0" collapsed="false">
      <c r="A549" s="13" t="n">
        <v>548</v>
      </c>
      <c r="B549" s="13" t="s">
        <v>3717</v>
      </c>
      <c r="C549" s="13" t="s">
        <v>159</v>
      </c>
      <c r="D549" s="13" t="s">
        <v>160</v>
      </c>
      <c r="E549" s="13" t="s">
        <v>50</v>
      </c>
      <c r="F549" s="13" t="s">
        <v>503</v>
      </c>
      <c r="G549" s="13" t="s">
        <v>217</v>
      </c>
      <c r="H549" s="13" t="s">
        <v>3718</v>
      </c>
      <c r="I549" s="13" t="s">
        <v>3719</v>
      </c>
      <c r="J549" s="13" t="s">
        <v>3720</v>
      </c>
      <c r="K549" s="13" t="s">
        <v>3721</v>
      </c>
      <c r="L549" s="13" t="s">
        <v>3722</v>
      </c>
      <c r="M549" s="13" t="n">
        <v>670.17</v>
      </c>
      <c r="N549" s="13" t="n">
        <v>0.46</v>
      </c>
      <c r="O549" s="13" t="n">
        <v>225</v>
      </c>
      <c r="P549" s="13" t="s">
        <v>3723</v>
      </c>
      <c r="Q549" s="13" t="s">
        <v>3377</v>
      </c>
      <c r="R549" s="13" t="s">
        <v>670</v>
      </c>
      <c r="S549" s="13" t="s">
        <v>670</v>
      </c>
      <c r="T549" s="13" t="s">
        <v>61</v>
      </c>
      <c r="U549" s="13"/>
    </row>
    <row r="550" customFormat="false" ht="18" hidden="false" customHeight="true" outlineLevel="0" collapsed="false">
      <c r="A550" s="15" t="n">
        <v>549</v>
      </c>
      <c r="B550" s="15" t="s">
        <v>3724</v>
      </c>
      <c r="C550" s="15" t="s">
        <v>173</v>
      </c>
      <c r="D550" s="15" t="s">
        <v>174</v>
      </c>
      <c r="E550" s="15" t="s">
        <v>50</v>
      </c>
      <c r="F550" s="15" t="s">
        <v>66</v>
      </c>
      <c r="G550" s="15" t="s">
        <v>149</v>
      </c>
      <c r="H550" s="15" t="s">
        <v>3725</v>
      </c>
      <c r="I550" s="15" t="s">
        <v>3726</v>
      </c>
      <c r="J550" s="15" t="s">
        <v>3727</v>
      </c>
      <c r="K550" s="15" t="s">
        <v>1175</v>
      </c>
      <c r="L550" s="15" t="s">
        <v>1176</v>
      </c>
      <c r="M550" s="15" t="n">
        <v>202.35</v>
      </c>
      <c r="N550" s="15" t="n">
        <v>0.11</v>
      </c>
      <c r="O550" s="15" t="n">
        <v>300</v>
      </c>
      <c r="P550" s="15" t="s">
        <v>1177</v>
      </c>
      <c r="Q550" s="15" t="s">
        <v>2035</v>
      </c>
      <c r="R550" s="15" t="s">
        <v>3728</v>
      </c>
      <c r="S550" s="15" t="s">
        <v>3728</v>
      </c>
      <c r="T550" s="15" t="s">
        <v>61</v>
      </c>
      <c r="U550" s="15" t="s">
        <v>453</v>
      </c>
    </row>
    <row r="551" customFormat="false" ht="18" hidden="false" customHeight="true" outlineLevel="0" collapsed="false">
      <c r="A551" s="13" t="n">
        <v>550</v>
      </c>
      <c r="B551" s="13" t="s">
        <v>3729</v>
      </c>
      <c r="C551" s="13" t="s">
        <v>63</v>
      </c>
      <c r="D551" s="13" t="s">
        <v>64</v>
      </c>
      <c r="E551" s="13" t="s">
        <v>91</v>
      </c>
      <c r="F551" s="13" t="s">
        <v>419</v>
      </c>
      <c r="G551" s="13" t="s">
        <v>533</v>
      </c>
      <c r="H551" s="13" t="s">
        <v>3730</v>
      </c>
      <c r="I551" s="13" t="s">
        <v>3731</v>
      </c>
      <c r="J551" s="13" t="s">
        <v>3732</v>
      </c>
      <c r="K551" s="13" t="s">
        <v>2080</v>
      </c>
      <c r="L551" s="13" t="s">
        <v>2081</v>
      </c>
      <c r="M551" s="13" t="n">
        <v>825.34</v>
      </c>
      <c r="N551" s="13" t="n">
        <v>49.92</v>
      </c>
      <c r="O551" s="13" t="n">
        <v>169</v>
      </c>
      <c r="P551" s="13" t="s">
        <v>2082</v>
      </c>
      <c r="Q551" s="13" t="s">
        <v>3733</v>
      </c>
      <c r="R551" s="13" t="s">
        <v>3734</v>
      </c>
      <c r="S551" s="13" t="s">
        <v>3734</v>
      </c>
      <c r="T551" s="13" t="s">
        <v>61</v>
      </c>
      <c r="U551" s="13"/>
    </row>
    <row r="552" customFormat="false" ht="18" hidden="false" customHeight="true" outlineLevel="0" collapsed="false">
      <c r="A552" s="13" t="n">
        <v>551</v>
      </c>
      <c r="B552" s="13" t="s">
        <v>3735</v>
      </c>
      <c r="C552" s="13" t="s">
        <v>159</v>
      </c>
      <c r="D552" s="13" t="s">
        <v>160</v>
      </c>
      <c r="E552" s="13" t="s">
        <v>65</v>
      </c>
      <c r="F552" s="13" t="s">
        <v>390</v>
      </c>
      <c r="G552" s="13" t="s">
        <v>149</v>
      </c>
      <c r="H552" s="13" t="s">
        <v>3736</v>
      </c>
      <c r="I552" s="13" t="s">
        <v>3737</v>
      </c>
      <c r="J552" s="13" t="s">
        <v>3738</v>
      </c>
      <c r="K552" s="13" t="s">
        <v>3739</v>
      </c>
      <c r="L552" s="13" t="s">
        <v>3740</v>
      </c>
      <c r="M552" s="13" t="n">
        <v>309.52</v>
      </c>
      <c r="N552" s="13" t="n">
        <v>0.34</v>
      </c>
      <c r="O552" s="13" t="n">
        <v>360</v>
      </c>
      <c r="P552" s="13" t="s">
        <v>3741</v>
      </c>
      <c r="Q552" s="13" t="s">
        <v>1235</v>
      </c>
      <c r="R552" s="13" t="s">
        <v>2268</v>
      </c>
      <c r="S552" s="13" t="s">
        <v>2268</v>
      </c>
      <c r="T552" s="13" t="s">
        <v>61</v>
      </c>
      <c r="U552" s="13"/>
    </row>
    <row r="553" customFormat="false" ht="18" hidden="false" customHeight="true" outlineLevel="0" collapsed="false">
      <c r="A553" s="13" t="n">
        <v>552</v>
      </c>
      <c r="B553" s="13" t="s">
        <v>3742</v>
      </c>
      <c r="C553" s="13" t="s">
        <v>113</v>
      </c>
      <c r="D553" s="13" t="s">
        <v>114</v>
      </c>
      <c r="E553" s="13" t="s">
        <v>91</v>
      </c>
      <c r="F553" s="13" t="s">
        <v>587</v>
      </c>
      <c r="G553" s="13" t="s">
        <v>186</v>
      </c>
      <c r="H553" s="13" t="s">
        <v>3743</v>
      </c>
      <c r="I553" s="13" t="s">
        <v>3744</v>
      </c>
      <c r="J553" s="13" t="s">
        <v>3745</v>
      </c>
      <c r="K553" s="13" t="s">
        <v>3746</v>
      </c>
      <c r="L553" s="13" t="s">
        <v>1714</v>
      </c>
      <c r="M553" s="13" t="n">
        <v>3880.5</v>
      </c>
      <c r="N553" s="13" t="n">
        <v>25.43</v>
      </c>
      <c r="O553" s="13" t="n">
        <v>25</v>
      </c>
      <c r="P553" s="13" t="s">
        <v>1715</v>
      </c>
      <c r="Q553" s="13" t="s">
        <v>3747</v>
      </c>
      <c r="R553" s="13" t="s">
        <v>1459</v>
      </c>
      <c r="S553" s="13" t="s">
        <v>1459</v>
      </c>
      <c r="T553" s="13" t="s">
        <v>61</v>
      </c>
      <c r="U553" s="13"/>
    </row>
    <row r="554" customFormat="false" ht="18" hidden="false" customHeight="true" outlineLevel="0" collapsed="false">
      <c r="A554" s="13" t="n">
        <v>553</v>
      </c>
      <c r="B554" s="13" t="s">
        <v>3748</v>
      </c>
      <c r="C554" s="13" t="s">
        <v>77</v>
      </c>
      <c r="D554" s="13" t="s">
        <v>78</v>
      </c>
      <c r="E554" s="13" t="s">
        <v>79</v>
      </c>
      <c r="F554" s="13" t="s">
        <v>513</v>
      </c>
      <c r="G554" s="13" t="s">
        <v>562</v>
      </c>
      <c r="H554" s="13" t="s">
        <v>3749</v>
      </c>
      <c r="I554" s="13" t="s">
        <v>3750</v>
      </c>
      <c r="J554" s="13" t="s">
        <v>3751</v>
      </c>
      <c r="K554" s="13" t="s">
        <v>3752</v>
      </c>
      <c r="L554" s="13" t="s">
        <v>567</v>
      </c>
      <c r="M554" s="13" t="n">
        <v>915.4</v>
      </c>
      <c r="N554" s="13" t="n">
        <v>1.45</v>
      </c>
      <c r="O554" s="13" t="n">
        <v>140</v>
      </c>
      <c r="P554" s="13" t="s">
        <v>568</v>
      </c>
      <c r="Q554" s="13" t="s">
        <v>3753</v>
      </c>
      <c r="R554" s="13" t="s">
        <v>3754</v>
      </c>
      <c r="S554" s="13" t="s">
        <v>3754</v>
      </c>
      <c r="T554" s="13" t="s">
        <v>61</v>
      </c>
      <c r="U554" s="13"/>
    </row>
    <row r="555" customFormat="false" ht="18" hidden="false" customHeight="true" outlineLevel="0" collapsed="false">
      <c r="A555" s="13" t="n">
        <v>554</v>
      </c>
      <c r="B555" s="13" t="s">
        <v>3755</v>
      </c>
      <c r="C555" s="13" t="s">
        <v>77</v>
      </c>
      <c r="D555" s="13" t="s">
        <v>78</v>
      </c>
      <c r="E555" s="13" t="s">
        <v>91</v>
      </c>
      <c r="F555" s="13" t="s">
        <v>587</v>
      </c>
      <c r="G555" s="13" t="s">
        <v>420</v>
      </c>
      <c r="H555" s="13" t="s">
        <v>3756</v>
      </c>
      <c r="I555" s="13" t="s">
        <v>3757</v>
      </c>
      <c r="J555" s="13" t="s">
        <v>3758</v>
      </c>
      <c r="K555" s="13" t="s">
        <v>3759</v>
      </c>
      <c r="L555" s="13" t="s">
        <v>592</v>
      </c>
      <c r="M555" s="13" t="n">
        <v>1493.21</v>
      </c>
      <c r="N555" s="13" t="n">
        <v>12.14</v>
      </c>
      <c r="O555" s="13" t="n">
        <v>206</v>
      </c>
      <c r="P555" s="13" t="s">
        <v>593</v>
      </c>
      <c r="Q555" s="13" t="s">
        <v>3760</v>
      </c>
      <c r="R555" s="13" t="s">
        <v>242</v>
      </c>
      <c r="S555" s="13" t="s">
        <v>242</v>
      </c>
      <c r="T555" s="13" t="s">
        <v>61</v>
      </c>
      <c r="U555" s="13"/>
    </row>
    <row r="556" customFormat="false" ht="18" hidden="false" customHeight="true" outlineLevel="0" collapsed="false">
      <c r="A556" s="13" t="n">
        <v>555</v>
      </c>
      <c r="B556" s="13" t="s">
        <v>3761</v>
      </c>
      <c r="C556" s="13" t="s">
        <v>125</v>
      </c>
      <c r="D556" s="13" t="s">
        <v>126</v>
      </c>
      <c r="E556" s="13" t="s">
        <v>91</v>
      </c>
      <c r="F556" s="13" t="s">
        <v>419</v>
      </c>
      <c r="G556" s="13" t="s">
        <v>420</v>
      </c>
      <c r="H556" s="13" t="s">
        <v>3762</v>
      </c>
      <c r="I556" s="13" t="s">
        <v>3763</v>
      </c>
      <c r="J556" s="13" t="s">
        <v>3764</v>
      </c>
      <c r="K556" s="13" t="s">
        <v>3765</v>
      </c>
      <c r="L556" s="13" t="s">
        <v>425</v>
      </c>
      <c r="M556" s="13" t="n">
        <v>3954.89</v>
      </c>
      <c r="N556" s="13" t="n">
        <v>49.51</v>
      </c>
      <c r="O556" s="13" t="n">
        <v>438</v>
      </c>
      <c r="P556" s="13" t="s">
        <v>426</v>
      </c>
      <c r="Q556" s="13" t="s">
        <v>1074</v>
      </c>
      <c r="R556" s="13" t="s">
        <v>3766</v>
      </c>
      <c r="S556" s="13" t="s">
        <v>3766</v>
      </c>
      <c r="T556" s="13" t="s">
        <v>61</v>
      </c>
      <c r="U556" s="13"/>
    </row>
    <row r="557" customFormat="false" ht="18" hidden="false" customHeight="true" outlineLevel="0" collapsed="false">
      <c r="A557" s="13" t="n">
        <v>556</v>
      </c>
      <c r="B557" s="13" t="s">
        <v>3767</v>
      </c>
      <c r="C557" s="13" t="s">
        <v>173</v>
      </c>
      <c r="D557" s="13" t="s">
        <v>174</v>
      </c>
      <c r="E557" s="13" t="s">
        <v>91</v>
      </c>
      <c r="F557" s="13" t="s">
        <v>138</v>
      </c>
      <c r="G557" s="13" t="s">
        <v>93</v>
      </c>
      <c r="H557" s="13" t="s">
        <v>3768</v>
      </c>
      <c r="I557" s="13" t="s">
        <v>3769</v>
      </c>
      <c r="J557" s="13" t="s">
        <v>3770</v>
      </c>
      <c r="K557" s="13" t="s">
        <v>3771</v>
      </c>
      <c r="L557" s="13" t="s">
        <v>3772</v>
      </c>
      <c r="M557" s="13" t="n">
        <v>1186.59</v>
      </c>
      <c r="N557" s="13" t="n">
        <v>40.79</v>
      </c>
      <c r="O557" s="13" t="n">
        <v>393</v>
      </c>
      <c r="P557" s="13" t="s">
        <v>3773</v>
      </c>
      <c r="Q557" s="13" t="s">
        <v>984</v>
      </c>
      <c r="R557" s="13" t="s">
        <v>282</v>
      </c>
      <c r="S557" s="13" t="s">
        <v>282</v>
      </c>
      <c r="T557" s="13" t="s">
        <v>61</v>
      </c>
      <c r="U557" s="13"/>
    </row>
    <row r="558" customFormat="false" ht="18" hidden="false" customHeight="true" outlineLevel="0" collapsed="false">
      <c r="A558" s="13" t="n">
        <v>557</v>
      </c>
      <c r="B558" s="13" t="s">
        <v>3774</v>
      </c>
      <c r="C558" s="13" t="s">
        <v>113</v>
      </c>
      <c r="D558" s="13" t="s">
        <v>114</v>
      </c>
      <c r="E558" s="13" t="s">
        <v>79</v>
      </c>
      <c r="F558" s="13" t="s">
        <v>956</v>
      </c>
      <c r="G558" s="13" t="s">
        <v>760</v>
      </c>
      <c r="H558" s="13" t="s">
        <v>3775</v>
      </c>
      <c r="I558" s="13" t="s">
        <v>3776</v>
      </c>
      <c r="J558" s="13" t="s">
        <v>3777</v>
      </c>
      <c r="K558" s="13" t="s">
        <v>3778</v>
      </c>
      <c r="L558" s="13" t="s">
        <v>961</v>
      </c>
      <c r="M558" s="13" t="n">
        <v>2244.32</v>
      </c>
      <c r="N558" s="13" t="n">
        <v>2.46</v>
      </c>
      <c r="O558" s="13" t="n">
        <v>257</v>
      </c>
      <c r="P558" s="13" t="s">
        <v>962</v>
      </c>
      <c r="Q558" s="13" t="s">
        <v>3779</v>
      </c>
      <c r="R558" s="13" t="s">
        <v>1202</v>
      </c>
      <c r="S558" s="13" t="s">
        <v>1202</v>
      </c>
      <c r="T558" s="13" t="s">
        <v>61</v>
      </c>
      <c r="U558" s="13"/>
    </row>
    <row r="559" customFormat="false" ht="18" hidden="false" customHeight="true" outlineLevel="0" collapsed="false">
      <c r="A559" s="13" t="n">
        <v>558</v>
      </c>
      <c r="B559" s="13" t="s">
        <v>3780</v>
      </c>
      <c r="C559" s="13" t="s">
        <v>159</v>
      </c>
      <c r="D559" s="13" t="s">
        <v>160</v>
      </c>
      <c r="E559" s="13" t="s">
        <v>65</v>
      </c>
      <c r="F559" s="13" t="s">
        <v>115</v>
      </c>
      <c r="G559" s="13" t="s">
        <v>149</v>
      </c>
      <c r="H559" s="13" t="s">
        <v>3781</v>
      </c>
      <c r="I559" s="13" t="s">
        <v>3782</v>
      </c>
      <c r="J559" s="13" t="s">
        <v>3783</v>
      </c>
      <c r="K559" s="13" t="s">
        <v>153</v>
      </c>
      <c r="L559" s="13" t="s">
        <v>154</v>
      </c>
      <c r="M559" s="13" t="n">
        <v>310.5</v>
      </c>
      <c r="N559" s="13" t="n">
        <v>0.78</v>
      </c>
      <c r="O559" s="13" t="n">
        <v>57</v>
      </c>
      <c r="P559" s="13" t="s">
        <v>155</v>
      </c>
      <c r="Q559" s="13" t="s">
        <v>3784</v>
      </c>
      <c r="R559" s="13" t="s">
        <v>1075</v>
      </c>
      <c r="S559" s="13" t="s">
        <v>1075</v>
      </c>
      <c r="T559" s="13" t="s">
        <v>61</v>
      </c>
      <c r="U559" s="13"/>
    </row>
    <row r="560" customFormat="false" ht="18" hidden="false" customHeight="true" outlineLevel="0" collapsed="false">
      <c r="A560" s="13" t="n">
        <v>559</v>
      </c>
      <c r="B560" s="13" t="s">
        <v>2721</v>
      </c>
      <c r="C560" s="13" t="s">
        <v>173</v>
      </c>
      <c r="D560" s="13" t="s">
        <v>174</v>
      </c>
      <c r="E560" s="13" t="s">
        <v>161</v>
      </c>
      <c r="F560" s="13" t="s">
        <v>51</v>
      </c>
      <c r="G560" s="13" t="s">
        <v>296</v>
      </c>
      <c r="H560" s="13" t="s">
        <v>2722</v>
      </c>
      <c r="I560" s="13" t="s">
        <v>2723</v>
      </c>
      <c r="J560" s="13" t="s">
        <v>2724</v>
      </c>
      <c r="K560" s="13" t="s">
        <v>1561</v>
      </c>
      <c r="L560" s="13" t="s">
        <v>861</v>
      </c>
      <c r="M560" s="13" t="n">
        <v>391.68</v>
      </c>
      <c r="N560" s="13" t="n">
        <v>0.42</v>
      </c>
      <c r="O560" s="13" t="n">
        <v>400</v>
      </c>
      <c r="P560" s="13" t="s">
        <v>862</v>
      </c>
      <c r="Q560" s="13" t="s">
        <v>2725</v>
      </c>
      <c r="R560" s="13" t="s">
        <v>304</v>
      </c>
      <c r="S560" s="13" t="s">
        <v>304</v>
      </c>
      <c r="T560" s="13" t="s">
        <v>61</v>
      </c>
      <c r="U560" s="13"/>
    </row>
    <row r="561" customFormat="false" ht="18" hidden="false" customHeight="true" outlineLevel="0" collapsed="false">
      <c r="A561" s="15" t="n">
        <v>560</v>
      </c>
      <c r="B561" s="15" t="s">
        <v>3785</v>
      </c>
      <c r="C561" s="15" t="s">
        <v>173</v>
      </c>
      <c r="D561" s="15" t="s">
        <v>174</v>
      </c>
      <c r="E561" s="15" t="s">
        <v>79</v>
      </c>
      <c r="F561" s="15" t="s">
        <v>1531</v>
      </c>
      <c r="G561" s="15" t="s">
        <v>514</v>
      </c>
      <c r="H561" s="15" t="s">
        <v>3786</v>
      </c>
      <c r="I561" s="15" t="s">
        <v>3787</v>
      </c>
      <c r="J561" s="15" t="s">
        <v>3788</v>
      </c>
      <c r="K561" s="15" t="s">
        <v>3789</v>
      </c>
      <c r="L561" s="15" t="s">
        <v>2383</v>
      </c>
      <c r="M561" s="15" t="n">
        <v>2197.84</v>
      </c>
      <c r="N561" s="15" t="n">
        <v>1.92</v>
      </c>
      <c r="O561" s="15" t="n">
        <v>60</v>
      </c>
      <c r="P561" s="15" t="s">
        <v>2384</v>
      </c>
      <c r="Q561" s="15" t="s">
        <v>3790</v>
      </c>
      <c r="R561" s="15" t="s">
        <v>1035</v>
      </c>
      <c r="S561" s="15" t="s">
        <v>1035</v>
      </c>
      <c r="T561" s="15" t="s">
        <v>61</v>
      </c>
      <c r="U561" s="15" t="s">
        <v>243</v>
      </c>
    </row>
    <row r="562" customFormat="false" ht="18" hidden="false" customHeight="true" outlineLevel="0" collapsed="false">
      <c r="A562" s="13" t="n">
        <v>561</v>
      </c>
      <c r="B562" s="13" t="s">
        <v>3791</v>
      </c>
      <c r="C562" s="13" t="s">
        <v>63</v>
      </c>
      <c r="D562" s="13" t="s">
        <v>64</v>
      </c>
      <c r="E562" s="13" t="s">
        <v>91</v>
      </c>
      <c r="F562" s="13" t="s">
        <v>780</v>
      </c>
      <c r="G562" s="13" t="s">
        <v>533</v>
      </c>
      <c r="H562" s="13" t="s">
        <v>3792</v>
      </c>
      <c r="I562" s="13" t="s">
        <v>3793</v>
      </c>
      <c r="J562" s="13" t="s">
        <v>3794</v>
      </c>
      <c r="K562" s="13" t="s">
        <v>3795</v>
      </c>
      <c r="L562" s="13" t="s">
        <v>1576</v>
      </c>
      <c r="M562" s="13" t="n">
        <v>3482.13</v>
      </c>
      <c r="N562" s="13" t="n">
        <v>11.1</v>
      </c>
      <c r="O562" s="13" t="n">
        <v>213</v>
      </c>
      <c r="P562" s="13" t="s">
        <v>1577</v>
      </c>
      <c r="Q562" s="13" t="s">
        <v>3796</v>
      </c>
      <c r="R562" s="13" t="s">
        <v>3005</v>
      </c>
      <c r="S562" s="13" t="s">
        <v>3005</v>
      </c>
      <c r="T562" s="13" t="s">
        <v>61</v>
      </c>
      <c r="U562" s="13"/>
    </row>
    <row r="563" customFormat="false" ht="18" hidden="false" customHeight="true" outlineLevel="0" collapsed="false">
      <c r="A563" s="13" t="n">
        <v>562</v>
      </c>
      <c r="B563" s="13" t="s">
        <v>3797</v>
      </c>
      <c r="C563" s="13" t="s">
        <v>159</v>
      </c>
      <c r="D563" s="13" t="s">
        <v>160</v>
      </c>
      <c r="E563" s="13" t="s">
        <v>91</v>
      </c>
      <c r="F563" s="13" t="s">
        <v>419</v>
      </c>
      <c r="G563" s="13" t="s">
        <v>420</v>
      </c>
      <c r="H563" s="13" t="s">
        <v>3798</v>
      </c>
      <c r="I563" s="13" t="s">
        <v>3799</v>
      </c>
      <c r="J563" s="13" t="s">
        <v>3800</v>
      </c>
      <c r="K563" s="13" t="s">
        <v>3801</v>
      </c>
      <c r="L563" s="13" t="s">
        <v>425</v>
      </c>
      <c r="M563" s="13" t="n">
        <v>2737.17</v>
      </c>
      <c r="N563" s="13" t="n">
        <v>22.1</v>
      </c>
      <c r="O563" s="13" t="n">
        <v>269</v>
      </c>
      <c r="P563" s="13" t="s">
        <v>426</v>
      </c>
      <c r="Q563" s="13" t="s">
        <v>3802</v>
      </c>
      <c r="R563" s="13" t="s">
        <v>2694</v>
      </c>
      <c r="S563" s="13" t="s">
        <v>2694</v>
      </c>
      <c r="T563" s="13" t="s">
        <v>61</v>
      </c>
      <c r="U563" s="13"/>
    </row>
    <row r="564" customFormat="false" ht="18" hidden="false" customHeight="true" outlineLevel="0" collapsed="false">
      <c r="A564" s="15" t="n">
        <v>563</v>
      </c>
      <c r="B564" s="15" t="s">
        <v>3803</v>
      </c>
      <c r="C564" s="15" t="s">
        <v>48</v>
      </c>
      <c r="D564" s="15" t="s">
        <v>49</v>
      </c>
      <c r="E564" s="15" t="s">
        <v>79</v>
      </c>
      <c r="F564" s="15" t="s">
        <v>465</v>
      </c>
      <c r="G564" s="15" t="s">
        <v>514</v>
      </c>
      <c r="H564" s="15" t="s">
        <v>3804</v>
      </c>
      <c r="I564" s="15" t="s">
        <v>3805</v>
      </c>
      <c r="J564" s="15" t="s">
        <v>3806</v>
      </c>
      <c r="K564" s="15" t="s">
        <v>3807</v>
      </c>
      <c r="L564" s="15" t="s">
        <v>936</v>
      </c>
      <c r="M564" s="15" t="n">
        <v>548.09</v>
      </c>
      <c r="N564" s="15" t="n">
        <v>2.21</v>
      </c>
      <c r="O564" s="15" t="n">
        <v>117</v>
      </c>
      <c r="P564" s="15" t="s">
        <v>937</v>
      </c>
      <c r="Q564" s="15" t="s">
        <v>2135</v>
      </c>
      <c r="R564" s="15" t="s">
        <v>1384</v>
      </c>
      <c r="S564" s="15" t="s">
        <v>1384</v>
      </c>
      <c r="T564" s="15" t="s">
        <v>61</v>
      </c>
      <c r="U564" s="15" t="s">
        <v>778</v>
      </c>
    </row>
    <row r="565" customFormat="false" ht="18" hidden="false" customHeight="true" outlineLevel="0" collapsed="false">
      <c r="A565" s="13" t="n">
        <v>564</v>
      </c>
      <c r="B565" s="13" t="s">
        <v>3808</v>
      </c>
      <c r="C565" s="13" t="s">
        <v>77</v>
      </c>
      <c r="D565" s="13" t="s">
        <v>78</v>
      </c>
      <c r="E565" s="13" t="s">
        <v>50</v>
      </c>
      <c r="F565" s="13" t="s">
        <v>503</v>
      </c>
      <c r="G565" s="13" t="s">
        <v>352</v>
      </c>
      <c r="H565" s="13" t="s">
        <v>3809</v>
      </c>
      <c r="I565" s="13" t="s">
        <v>3810</v>
      </c>
      <c r="J565" s="13" t="s">
        <v>3811</v>
      </c>
      <c r="K565" s="13" t="s">
        <v>1265</v>
      </c>
      <c r="L565" s="13" t="s">
        <v>508</v>
      </c>
      <c r="M565" s="13" t="n">
        <v>255.89</v>
      </c>
      <c r="N565" s="13" t="n">
        <v>0.61</v>
      </c>
      <c r="O565" s="13" t="n">
        <v>498</v>
      </c>
      <c r="P565" s="13" t="s">
        <v>509</v>
      </c>
      <c r="Q565" s="13" t="s">
        <v>3812</v>
      </c>
      <c r="R565" s="13" t="s">
        <v>1887</v>
      </c>
      <c r="S565" s="13" t="s">
        <v>1887</v>
      </c>
      <c r="T565" s="13" t="s">
        <v>61</v>
      </c>
      <c r="U565" s="13"/>
    </row>
    <row r="566" customFormat="false" ht="18" hidden="false" customHeight="true" outlineLevel="0" collapsed="false">
      <c r="A566" s="14" t="n">
        <v>565</v>
      </c>
      <c r="B566" s="14" t="s">
        <v>3813</v>
      </c>
      <c r="C566" s="14" t="s">
        <v>255</v>
      </c>
      <c r="D566" s="14" t="s">
        <v>256</v>
      </c>
      <c r="E566" s="14" t="s">
        <v>79</v>
      </c>
      <c r="F566" s="14" t="s">
        <v>956</v>
      </c>
      <c r="G566" s="14" t="s">
        <v>733</v>
      </c>
      <c r="H566" s="14" t="s">
        <v>3814</v>
      </c>
      <c r="I566" s="14" t="s">
        <v>3815</v>
      </c>
      <c r="J566" s="14" t="s">
        <v>3816</v>
      </c>
      <c r="K566" s="14" t="s">
        <v>3817</v>
      </c>
      <c r="L566" s="14" t="s">
        <v>2915</v>
      </c>
      <c r="M566" s="14" t="n">
        <v>2457.51</v>
      </c>
      <c r="N566" s="14" t="n">
        <v>1.59</v>
      </c>
      <c r="O566" s="14" t="n">
        <v>282</v>
      </c>
      <c r="P566" s="14"/>
      <c r="Q566" s="14" t="s">
        <v>3818</v>
      </c>
      <c r="R566" s="14" t="s">
        <v>3728</v>
      </c>
      <c r="S566" s="14" t="s">
        <v>3728</v>
      </c>
      <c r="T566" s="14" t="s">
        <v>61</v>
      </c>
      <c r="U566" s="14" t="s">
        <v>1014</v>
      </c>
    </row>
    <row r="567" customFormat="false" ht="18" hidden="false" customHeight="true" outlineLevel="0" collapsed="false">
      <c r="A567" s="13" t="n">
        <v>566</v>
      </c>
      <c r="B567" s="13" t="s">
        <v>3819</v>
      </c>
      <c r="C567" s="13" t="s">
        <v>63</v>
      </c>
      <c r="D567" s="13" t="s">
        <v>64</v>
      </c>
      <c r="E567" s="13" t="s">
        <v>161</v>
      </c>
      <c r="F567" s="13" t="s">
        <v>822</v>
      </c>
      <c r="G567" s="13" t="s">
        <v>207</v>
      </c>
      <c r="H567" s="13" t="s">
        <v>3820</v>
      </c>
      <c r="I567" s="13" t="s">
        <v>3821</v>
      </c>
      <c r="J567" s="13" t="s">
        <v>3822</v>
      </c>
      <c r="K567" s="13" t="s">
        <v>3823</v>
      </c>
      <c r="L567" s="13" t="s">
        <v>1489</v>
      </c>
      <c r="M567" s="13" t="n">
        <v>161.96</v>
      </c>
      <c r="N567" s="13" t="n">
        <v>0.21</v>
      </c>
      <c r="O567" s="13" t="n">
        <v>436</v>
      </c>
      <c r="P567" s="13" t="s">
        <v>1490</v>
      </c>
      <c r="Q567" s="13" t="s">
        <v>1273</v>
      </c>
      <c r="R567" s="13" t="s">
        <v>1795</v>
      </c>
      <c r="S567" s="13" t="s">
        <v>1795</v>
      </c>
      <c r="T567" s="13" t="s">
        <v>61</v>
      </c>
      <c r="U567" s="13"/>
    </row>
    <row r="568" customFormat="false" ht="18" hidden="false" customHeight="true" outlineLevel="0" collapsed="false">
      <c r="A568" s="15" t="n">
        <v>567</v>
      </c>
      <c r="B568" s="15" t="s">
        <v>3824</v>
      </c>
      <c r="C568" s="15" t="s">
        <v>173</v>
      </c>
      <c r="D568" s="15" t="s">
        <v>174</v>
      </c>
      <c r="E568" s="15" t="s">
        <v>50</v>
      </c>
      <c r="F568" s="15" t="s">
        <v>138</v>
      </c>
      <c r="G568" s="15" t="s">
        <v>808</v>
      </c>
      <c r="H568" s="15" t="s">
        <v>3825</v>
      </c>
      <c r="I568" s="15" t="s">
        <v>3826</v>
      </c>
      <c r="J568" s="15" t="s">
        <v>3827</v>
      </c>
      <c r="K568" s="15" t="s">
        <v>3828</v>
      </c>
      <c r="L568" s="15" t="s">
        <v>813</v>
      </c>
      <c r="M568" s="15" t="n">
        <v>630.32</v>
      </c>
      <c r="N568" s="15" t="n">
        <v>0.81</v>
      </c>
      <c r="O568" s="15" t="n">
        <v>144</v>
      </c>
      <c r="P568" s="15" t="s">
        <v>814</v>
      </c>
      <c r="Q568" s="15" t="s">
        <v>3829</v>
      </c>
      <c r="R568" s="15" t="s">
        <v>3405</v>
      </c>
      <c r="S568" s="15" t="s">
        <v>3405</v>
      </c>
      <c r="T568" s="15" t="s">
        <v>61</v>
      </c>
      <c r="U568" s="15" t="s">
        <v>283</v>
      </c>
    </row>
    <row r="569" customFormat="false" ht="18" hidden="false" customHeight="true" outlineLevel="0" collapsed="false">
      <c r="A569" s="13" t="n">
        <v>568</v>
      </c>
      <c r="B569" s="13" t="s">
        <v>3830</v>
      </c>
      <c r="C569" s="13" t="s">
        <v>113</v>
      </c>
      <c r="D569" s="13" t="s">
        <v>114</v>
      </c>
      <c r="E569" s="13" t="s">
        <v>91</v>
      </c>
      <c r="F569" s="13" t="s">
        <v>92</v>
      </c>
      <c r="G569" s="13" t="s">
        <v>186</v>
      </c>
      <c r="H569" s="13" t="s">
        <v>3831</v>
      </c>
      <c r="I569" s="13" t="s">
        <v>3832</v>
      </c>
      <c r="J569" s="13" t="s">
        <v>3833</v>
      </c>
      <c r="K569" s="13" t="s">
        <v>3834</v>
      </c>
      <c r="L569" s="13" t="s">
        <v>2004</v>
      </c>
      <c r="M569" s="13" t="n">
        <v>891.28</v>
      </c>
      <c r="N569" s="13" t="n">
        <v>21.7</v>
      </c>
      <c r="O569" s="13" t="n">
        <v>456</v>
      </c>
      <c r="P569" s="13" t="s">
        <v>2005</v>
      </c>
      <c r="Q569" s="13" t="s">
        <v>3835</v>
      </c>
      <c r="R569" s="13" t="s">
        <v>323</v>
      </c>
      <c r="S569" s="13" t="s">
        <v>323</v>
      </c>
      <c r="T569" s="13" t="s">
        <v>61</v>
      </c>
      <c r="U569" s="13"/>
    </row>
    <row r="570" customFormat="false" ht="18" hidden="false" customHeight="true" outlineLevel="0" collapsed="false">
      <c r="A570" s="13" t="n">
        <v>569</v>
      </c>
      <c r="B570" s="13" t="s">
        <v>3836</v>
      </c>
      <c r="C570" s="13" t="s">
        <v>125</v>
      </c>
      <c r="D570" s="13" t="s">
        <v>126</v>
      </c>
      <c r="E570" s="13" t="s">
        <v>65</v>
      </c>
      <c r="F570" s="13" t="s">
        <v>227</v>
      </c>
      <c r="G570" s="13" t="s">
        <v>372</v>
      </c>
      <c r="H570" s="13" t="s">
        <v>3837</v>
      </c>
      <c r="I570" s="13" t="s">
        <v>3838</v>
      </c>
      <c r="J570" s="13" t="s">
        <v>3839</v>
      </c>
      <c r="K570" s="13" t="s">
        <v>3456</v>
      </c>
      <c r="L570" s="13" t="s">
        <v>3457</v>
      </c>
      <c r="M570" s="13" t="n">
        <v>98.45</v>
      </c>
      <c r="N570" s="13" t="n">
        <v>1.05</v>
      </c>
      <c r="O570" s="13" t="n">
        <v>16</v>
      </c>
      <c r="P570" s="13" t="s">
        <v>3458</v>
      </c>
      <c r="Q570" s="13" t="s">
        <v>1753</v>
      </c>
      <c r="R570" s="13" t="s">
        <v>242</v>
      </c>
      <c r="S570" s="13" t="s">
        <v>242</v>
      </c>
      <c r="T570" s="13" t="s">
        <v>61</v>
      </c>
      <c r="U570" s="13"/>
    </row>
    <row r="571" customFormat="false" ht="18" hidden="false" customHeight="true" outlineLevel="0" collapsed="false">
      <c r="A571" s="13" t="n">
        <v>570</v>
      </c>
      <c r="B571" s="13" t="s">
        <v>3840</v>
      </c>
      <c r="C571" s="13" t="s">
        <v>48</v>
      </c>
      <c r="D571" s="13" t="s">
        <v>49</v>
      </c>
      <c r="E571" s="13" t="s">
        <v>50</v>
      </c>
      <c r="F571" s="13" t="s">
        <v>115</v>
      </c>
      <c r="G571" s="13" t="s">
        <v>808</v>
      </c>
      <c r="H571" s="13" t="s">
        <v>3841</v>
      </c>
      <c r="I571" s="13" t="s">
        <v>3842</v>
      </c>
      <c r="J571" s="13" t="s">
        <v>3843</v>
      </c>
      <c r="K571" s="13" t="s">
        <v>3844</v>
      </c>
      <c r="L571" s="13" t="s">
        <v>2339</v>
      </c>
      <c r="M571" s="13" t="n">
        <v>579.05</v>
      </c>
      <c r="N571" s="13" t="n">
        <v>0.68</v>
      </c>
      <c r="O571" s="13" t="n">
        <v>32</v>
      </c>
      <c r="P571" s="13" t="s">
        <v>2340</v>
      </c>
      <c r="Q571" s="13" t="s">
        <v>2662</v>
      </c>
      <c r="R571" s="13" t="s">
        <v>1570</v>
      </c>
      <c r="S571" s="13" t="s">
        <v>1570</v>
      </c>
      <c r="T571" s="13" t="s">
        <v>61</v>
      </c>
      <c r="U571" s="13"/>
    </row>
    <row r="572" customFormat="false" ht="18" hidden="false" customHeight="true" outlineLevel="0" collapsed="false">
      <c r="A572" s="13" t="n">
        <v>571</v>
      </c>
      <c r="B572" s="13" t="s">
        <v>3845</v>
      </c>
      <c r="C572" s="13" t="s">
        <v>255</v>
      </c>
      <c r="D572" s="13" t="s">
        <v>256</v>
      </c>
      <c r="E572" s="13" t="s">
        <v>65</v>
      </c>
      <c r="F572" s="13" t="s">
        <v>66</v>
      </c>
      <c r="G572" s="13" t="s">
        <v>274</v>
      </c>
      <c r="H572" s="13" t="s">
        <v>3846</v>
      </c>
      <c r="I572" s="13" t="s">
        <v>3847</v>
      </c>
      <c r="J572" s="13" t="s">
        <v>3848</v>
      </c>
      <c r="K572" s="13" t="s">
        <v>1696</v>
      </c>
      <c r="L572" s="13" t="s">
        <v>1697</v>
      </c>
      <c r="M572" s="13" t="n">
        <v>71.74</v>
      </c>
      <c r="N572" s="13" t="n">
        <v>0.81</v>
      </c>
      <c r="O572" s="13" t="n">
        <v>414</v>
      </c>
      <c r="P572" s="13" t="s">
        <v>1698</v>
      </c>
      <c r="Q572" s="13" t="s">
        <v>3849</v>
      </c>
      <c r="R572" s="13" t="s">
        <v>3451</v>
      </c>
      <c r="S572" s="13" t="s">
        <v>3451</v>
      </c>
      <c r="T572" s="13" t="s">
        <v>61</v>
      </c>
      <c r="U572" s="13"/>
    </row>
    <row r="573" customFormat="false" ht="18" hidden="false" customHeight="true" outlineLevel="0" collapsed="false">
      <c r="A573" s="13" t="n">
        <v>572</v>
      </c>
      <c r="B573" s="13" t="s">
        <v>3850</v>
      </c>
      <c r="C573" s="13" t="s">
        <v>77</v>
      </c>
      <c r="D573" s="13" t="s">
        <v>78</v>
      </c>
      <c r="E573" s="13" t="s">
        <v>65</v>
      </c>
      <c r="F573" s="13" t="s">
        <v>371</v>
      </c>
      <c r="G573" s="13" t="s">
        <v>391</v>
      </c>
      <c r="H573" s="13" t="s">
        <v>3851</v>
      </c>
      <c r="I573" s="13" t="s">
        <v>3852</v>
      </c>
      <c r="J573" s="13" t="s">
        <v>3853</v>
      </c>
      <c r="K573" s="13" t="s">
        <v>2106</v>
      </c>
      <c r="L573" s="13" t="s">
        <v>2107</v>
      </c>
      <c r="M573" s="13" t="n">
        <v>105.56</v>
      </c>
      <c r="N573" s="13" t="n">
        <v>0.39</v>
      </c>
      <c r="O573" s="13" t="n">
        <v>481</v>
      </c>
      <c r="P573" s="13" t="s">
        <v>2108</v>
      </c>
      <c r="Q573" s="13" t="s">
        <v>1148</v>
      </c>
      <c r="R573" s="13" t="s">
        <v>2527</v>
      </c>
      <c r="S573" s="13" t="s">
        <v>2527</v>
      </c>
      <c r="T573" s="13" t="s">
        <v>61</v>
      </c>
      <c r="U573" s="13"/>
    </row>
    <row r="574" customFormat="false" ht="18" hidden="false" customHeight="true" outlineLevel="0" collapsed="false">
      <c r="A574" s="13" t="n">
        <v>573</v>
      </c>
      <c r="B574" s="13" t="s">
        <v>3854</v>
      </c>
      <c r="C574" s="13" t="s">
        <v>63</v>
      </c>
      <c r="D574" s="13" t="s">
        <v>64</v>
      </c>
      <c r="E574" s="13" t="s">
        <v>91</v>
      </c>
      <c r="F574" s="13" t="s">
        <v>185</v>
      </c>
      <c r="G574" s="13" t="s">
        <v>420</v>
      </c>
      <c r="H574" s="13" t="s">
        <v>3855</v>
      </c>
      <c r="I574" s="13" t="s">
        <v>3856</v>
      </c>
      <c r="J574" s="13" t="s">
        <v>3857</v>
      </c>
      <c r="K574" s="13" t="s">
        <v>3858</v>
      </c>
      <c r="L574" s="13" t="s">
        <v>1072</v>
      </c>
      <c r="M574" s="13" t="n">
        <v>1585.88</v>
      </c>
      <c r="N574" s="13" t="n">
        <v>28.21</v>
      </c>
      <c r="O574" s="13" t="n">
        <v>467</v>
      </c>
      <c r="P574" s="13" t="s">
        <v>1073</v>
      </c>
      <c r="Q574" s="13" t="s">
        <v>3481</v>
      </c>
      <c r="R574" s="13" t="s">
        <v>369</v>
      </c>
      <c r="S574" s="13" t="s">
        <v>369</v>
      </c>
      <c r="T574" s="13" t="s">
        <v>61</v>
      </c>
      <c r="U574" s="13"/>
    </row>
    <row r="575" customFormat="false" ht="18" hidden="false" customHeight="true" outlineLevel="0" collapsed="false">
      <c r="A575" s="13" t="n">
        <v>574</v>
      </c>
      <c r="B575" s="13" t="s">
        <v>3859</v>
      </c>
      <c r="C575" s="13" t="s">
        <v>77</v>
      </c>
      <c r="D575" s="13" t="s">
        <v>78</v>
      </c>
      <c r="E575" s="13" t="s">
        <v>91</v>
      </c>
      <c r="F575" s="13" t="s">
        <v>92</v>
      </c>
      <c r="G575" s="13" t="s">
        <v>743</v>
      </c>
      <c r="H575" s="13" t="s">
        <v>3860</v>
      </c>
      <c r="I575" s="13" t="s">
        <v>3861</v>
      </c>
      <c r="J575" s="13" t="s">
        <v>3862</v>
      </c>
      <c r="K575" s="13" t="s">
        <v>3863</v>
      </c>
      <c r="L575" s="13" t="s">
        <v>1349</v>
      </c>
      <c r="M575" s="13" t="n">
        <v>1760.7</v>
      </c>
      <c r="N575" s="13" t="n">
        <v>22</v>
      </c>
      <c r="O575" s="13" t="n">
        <v>81</v>
      </c>
      <c r="P575" s="13" t="s">
        <v>1350</v>
      </c>
      <c r="Q575" s="13" t="s">
        <v>3802</v>
      </c>
      <c r="R575" s="13" t="s">
        <v>380</v>
      </c>
      <c r="S575" s="13" t="s">
        <v>380</v>
      </c>
      <c r="T575" s="13" t="s">
        <v>61</v>
      </c>
      <c r="U575" s="13"/>
    </row>
    <row r="576" customFormat="false" ht="18" hidden="false" customHeight="true" outlineLevel="0" collapsed="false">
      <c r="A576" s="13" t="n">
        <v>575</v>
      </c>
      <c r="B576" s="13" t="s">
        <v>3864</v>
      </c>
      <c r="C576" s="13" t="s">
        <v>63</v>
      </c>
      <c r="D576" s="13" t="s">
        <v>64</v>
      </c>
      <c r="E576" s="13" t="s">
        <v>161</v>
      </c>
      <c r="F576" s="13" t="s">
        <v>185</v>
      </c>
      <c r="G576" s="13" t="s">
        <v>334</v>
      </c>
      <c r="H576" s="13" t="s">
        <v>3865</v>
      </c>
      <c r="I576" s="13" t="s">
        <v>3866</v>
      </c>
      <c r="J576" s="13" t="s">
        <v>3867</v>
      </c>
      <c r="K576" s="13" t="s">
        <v>1434</v>
      </c>
      <c r="L576" s="13" t="s">
        <v>1131</v>
      </c>
      <c r="M576" s="13" t="n">
        <v>466.06</v>
      </c>
      <c r="N576" s="13" t="n">
        <v>0.26</v>
      </c>
      <c r="O576" s="13" t="n">
        <v>242</v>
      </c>
      <c r="P576" s="13" t="s">
        <v>1132</v>
      </c>
      <c r="Q576" s="13" t="s">
        <v>2327</v>
      </c>
      <c r="R576" s="13" t="s">
        <v>1669</v>
      </c>
      <c r="S576" s="13" t="s">
        <v>1669</v>
      </c>
      <c r="T576" s="13" t="s">
        <v>61</v>
      </c>
      <c r="U576" s="13"/>
    </row>
    <row r="577" customFormat="false" ht="18" hidden="false" customHeight="true" outlineLevel="0" collapsed="false">
      <c r="A577" s="13" t="n">
        <v>576</v>
      </c>
      <c r="B577" s="13" t="s">
        <v>3868</v>
      </c>
      <c r="C577" s="13" t="s">
        <v>77</v>
      </c>
      <c r="D577" s="13" t="s">
        <v>78</v>
      </c>
      <c r="E577" s="13" t="s">
        <v>65</v>
      </c>
      <c r="F577" s="13" t="s">
        <v>115</v>
      </c>
      <c r="G577" s="13" t="s">
        <v>724</v>
      </c>
      <c r="H577" s="13" t="s">
        <v>3869</v>
      </c>
      <c r="I577" s="13" t="s">
        <v>3870</v>
      </c>
      <c r="J577" s="13" t="s">
        <v>3871</v>
      </c>
      <c r="K577" s="13" t="s">
        <v>3872</v>
      </c>
      <c r="L577" s="13" t="s">
        <v>3873</v>
      </c>
      <c r="M577" s="13" t="n">
        <v>264.3</v>
      </c>
      <c r="N577" s="13" t="n">
        <v>0.85</v>
      </c>
      <c r="O577" s="13" t="n">
        <v>453</v>
      </c>
      <c r="P577" s="13" t="s">
        <v>3874</v>
      </c>
      <c r="Q577" s="13" t="s">
        <v>3875</v>
      </c>
      <c r="R577" s="13" t="s">
        <v>2224</v>
      </c>
      <c r="S577" s="13" t="s">
        <v>2224</v>
      </c>
      <c r="T577" s="13" t="s">
        <v>61</v>
      </c>
      <c r="U577" s="13"/>
    </row>
    <row r="578" customFormat="false" ht="18" hidden="false" customHeight="true" outlineLevel="0" collapsed="false">
      <c r="A578" s="13" t="n">
        <v>577</v>
      </c>
      <c r="B578" s="13" t="s">
        <v>3876</v>
      </c>
      <c r="C578" s="13" t="s">
        <v>255</v>
      </c>
      <c r="D578" s="13" t="s">
        <v>256</v>
      </c>
      <c r="E578" s="13" t="s">
        <v>65</v>
      </c>
      <c r="F578" s="13" t="s">
        <v>245</v>
      </c>
      <c r="G578" s="13" t="s">
        <v>103</v>
      </c>
      <c r="H578" s="13" t="s">
        <v>3877</v>
      </c>
      <c r="I578" s="13" t="s">
        <v>3878</v>
      </c>
      <c r="J578" s="13" t="s">
        <v>3879</v>
      </c>
      <c r="K578" s="13" t="s">
        <v>1832</v>
      </c>
      <c r="L578" s="13" t="s">
        <v>1833</v>
      </c>
      <c r="M578" s="13" t="n">
        <v>34.62</v>
      </c>
      <c r="N578" s="13" t="n">
        <v>0.24</v>
      </c>
      <c r="O578" s="13" t="n">
        <v>53</v>
      </c>
      <c r="P578" s="13" t="s">
        <v>1834</v>
      </c>
      <c r="Q578" s="13" t="s">
        <v>3849</v>
      </c>
      <c r="R578" s="13" t="s">
        <v>482</v>
      </c>
      <c r="S578" s="13" t="s">
        <v>482</v>
      </c>
      <c r="T578" s="13" t="s">
        <v>61</v>
      </c>
      <c r="U578" s="13"/>
    </row>
    <row r="579" customFormat="false" ht="18" hidden="false" customHeight="true" outlineLevel="0" collapsed="false">
      <c r="A579" s="13" t="n">
        <v>578</v>
      </c>
      <c r="B579" s="13" t="s">
        <v>3880</v>
      </c>
      <c r="C579" s="13" t="s">
        <v>63</v>
      </c>
      <c r="D579" s="13" t="s">
        <v>64</v>
      </c>
      <c r="E579" s="13" t="s">
        <v>50</v>
      </c>
      <c r="F579" s="13" t="s">
        <v>115</v>
      </c>
      <c r="G579" s="13" t="s">
        <v>217</v>
      </c>
      <c r="H579" s="13" t="s">
        <v>3881</v>
      </c>
      <c r="I579" s="13" t="s">
        <v>3882</v>
      </c>
      <c r="J579" s="13" t="s">
        <v>3883</v>
      </c>
      <c r="K579" s="13" t="s">
        <v>3884</v>
      </c>
      <c r="L579" s="13" t="s">
        <v>366</v>
      </c>
      <c r="M579" s="13" t="n">
        <v>619.5</v>
      </c>
      <c r="N579" s="13" t="n">
        <v>0.6</v>
      </c>
      <c r="O579" s="13" t="n">
        <v>363</v>
      </c>
      <c r="P579" s="13" t="s">
        <v>367</v>
      </c>
      <c r="Q579" s="13" t="s">
        <v>3885</v>
      </c>
      <c r="R579" s="13" t="s">
        <v>2503</v>
      </c>
      <c r="S579" s="13" t="s">
        <v>2503</v>
      </c>
      <c r="T579" s="13" t="s">
        <v>61</v>
      </c>
      <c r="U579" s="13"/>
    </row>
    <row r="580" customFormat="false" ht="18" hidden="false" customHeight="true" outlineLevel="0" collapsed="false">
      <c r="A580" s="13" t="n">
        <v>579</v>
      </c>
      <c r="B580" s="13" t="s">
        <v>3886</v>
      </c>
      <c r="C580" s="13" t="s">
        <v>48</v>
      </c>
      <c r="D580" s="13" t="s">
        <v>49</v>
      </c>
      <c r="E580" s="13" t="s">
        <v>79</v>
      </c>
      <c r="F580" s="13" t="s">
        <v>513</v>
      </c>
      <c r="G580" s="13" t="s">
        <v>733</v>
      </c>
      <c r="H580" s="13" t="s">
        <v>3887</v>
      </c>
      <c r="I580" s="13" t="s">
        <v>3888</v>
      </c>
      <c r="J580" s="13" t="s">
        <v>3889</v>
      </c>
      <c r="K580" s="13" t="s">
        <v>3890</v>
      </c>
      <c r="L580" s="13" t="s">
        <v>3891</v>
      </c>
      <c r="M580" s="13" t="n">
        <v>2360.52</v>
      </c>
      <c r="N580" s="13" t="n">
        <v>1.46</v>
      </c>
      <c r="O580" s="13" t="n">
        <v>143</v>
      </c>
      <c r="P580" s="13" t="s">
        <v>3892</v>
      </c>
      <c r="Q580" s="13" t="s">
        <v>2188</v>
      </c>
      <c r="R580" s="13" t="s">
        <v>541</v>
      </c>
      <c r="S580" s="13" t="s">
        <v>541</v>
      </c>
      <c r="T580" s="13" t="s">
        <v>61</v>
      </c>
      <c r="U580" s="13"/>
    </row>
    <row r="581" customFormat="false" ht="18" hidden="false" customHeight="true" outlineLevel="0" collapsed="false">
      <c r="A581" s="15" t="n">
        <v>580</v>
      </c>
      <c r="B581" s="15" t="s">
        <v>333</v>
      </c>
      <c r="C581" s="15" t="s">
        <v>255</v>
      </c>
      <c r="D581" s="15" t="s">
        <v>256</v>
      </c>
      <c r="E581" s="15" t="s">
        <v>161</v>
      </c>
      <c r="F581" s="15" t="s">
        <v>162</v>
      </c>
      <c r="G581" s="15" t="s">
        <v>334</v>
      </c>
      <c r="H581" s="15" t="s">
        <v>335</v>
      </c>
      <c r="I581" s="15" t="s">
        <v>336</v>
      </c>
      <c r="J581" s="15" t="s">
        <v>337</v>
      </c>
      <c r="K581" s="15" t="s">
        <v>338</v>
      </c>
      <c r="L581" s="15" t="s">
        <v>339</v>
      </c>
      <c r="M581" s="15" t="n">
        <v>217.25</v>
      </c>
      <c r="N581" s="15" t="n">
        <v>0.43</v>
      </c>
      <c r="O581" s="15" t="n">
        <v>468</v>
      </c>
      <c r="P581" s="15" t="s">
        <v>340</v>
      </c>
      <c r="Q581" s="15" t="s">
        <v>341</v>
      </c>
      <c r="R581" s="15" t="s">
        <v>342</v>
      </c>
      <c r="S581" s="15" t="s">
        <v>342</v>
      </c>
      <c r="T581" s="15" t="s">
        <v>61</v>
      </c>
      <c r="U581" s="15" t="s">
        <v>283</v>
      </c>
    </row>
    <row r="582" customFormat="false" ht="18" hidden="false" customHeight="true" outlineLevel="0" collapsed="false">
      <c r="A582" s="13" t="n">
        <v>581</v>
      </c>
      <c r="B582" s="13" t="s">
        <v>3893</v>
      </c>
      <c r="C582" s="13" t="s">
        <v>159</v>
      </c>
      <c r="D582" s="13" t="s">
        <v>160</v>
      </c>
      <c r="E582" s="13" t="s">
        <v>79</v>
      </c>
      <c r="F582" s="13" t="s">
        <v>513</v>
      </c>
      <c r="G582" s="13" t="s">
        <v>562</v>
      </c>
      <c r="H582" s="13" t="s">
        <v>3894</v>
      </c>
      <c r="I582" s="13" t="s">
        <v>3895</v>
      </c>
      <c r="J582" s="13" t="s">
        <v>3896</v>
      </c>
      <c r="K582" s="13" t="s">
        <v>3897</v>
      </c>
      <c r="L582" s="13" t="s">
        <v>567</v>
      </c>
      <c r="M582" s="13" t="n">
        <v>888.38</v>
      </c>
      <c r="N582" s="13" t="n">
        <v>2.26</v>
      </c>
      <c r="O582" s="13" t="n">
        <v>35</v>
      </c>
      <c r="P582" s="13" t="s">
        <v>568</v>
      </c>
      <c r="Q582" s="13" t="s">
        <v>3049</v>
      </c>
      <c r="R582" s="13" t="s">
        <v>576</v>
      </c>
      <c r="S582" s="13" t="s">
        <v>576</v>
      </c>
      <c r="T582" s="13" t="s">
        <v>61</v>
      </c>
      <c r="U582" s="13"/>
    </row>
    <row r="583" customFormat="false" ht="18" hidden="false" customHeight="true" outlineLevel="0" collapsed="false">
      <c r="A583" s="13" t="n">
        <v>582</v>
      </c>
      <c r="B583" s="13" t="s">
        <v>3898</v>
      </c>
      <c r="C583" s="13" t="s">
        <v>77</v>
      </c>
      <c r="D583" s="13" t="s">
        <v>78</v>
      </c>
      <c r="E583" s="13" t="s">
        <v>79</v>
      </c>
      <c r="F583" s="13" t="s">
        <v>51</v>
      </c>
      <c r="G583" s="13" t="s">
        <v>80</v>
      </c>
      <c r="H583" s="13" t="s">
        <v>3899</v>
      </c>
      <c r="I583" s="13" t="s">
        <v>3900</v>
      </c>
      <c r="J583" s="13" t="s">
        <v>3901</v>
      </c>
      <c r="K583" s="13" t="s">
        <v>3902</v>
      </c>
      <c r="L583" s="13" t="s">
        <v>835</v>
      </c>
      <c r="M583" s="13" t="n">
        <v>1731.37</v>
      </c>
      <c r="N583" s="13" t="n">
        <v>2.44</v>
      </c>
      <c r="O583" s="13" t="n">
        <v>95</v>
      </c>
      <c r="P583" s="13" t="s">
        <v>836</v>
      </c>
      <c r="Q583" s="13" t="s">
        <v>3903</v>
      </c>
      <c r="R583" s="13" t="s">
        <v>1669</v>
      </c>
      <c r="S583" s="13" t="s">
        <v>1669</v>
      </c>
      <c r="T583" s="13" t="s">
        <v>61</v>
      </c>
      <c r="U583" s="13"/>
    </row>
    <row r="584" customFormat="false" ht="18" hidden="false" customHeight="true" outlineLevel="0" collapsed="false">
      <c r="A584" s="13" t="n">
        <v>583</v>
      </c>
      <c r="B584" s="13" t="s">
        <v>3904</v>
      </c>
      <c r="C584" s="13" t="s">
        <v>63</v>
      </c>
      <c r="D584" s="13" t="s">
        <v>64</v>
      </c>
      <c r="E584" s="13" t="s">
        <v>79</v>
      </c>
      <c r="F584" s="13" t="s">
        <v>1531</v>
      </c>
      <c r="G584" s="13" t="s">
        <v>80</v>
      </c>
      <c r="H584" s="13" t="s">
        <v>3905</v>
      </c>
      <c r="I584" s="13" t="s">
        <v>3906</v>
      </c>
      <c r="J584" s="13" t="s">
        <v>3907</v>
      </c>
      <c r="K584" s="13" t="s">
        <v>3908</v>
      </c>
      <c r="L584" s="13" t="s">
        <v>3294</v>
      </c>
      <c r="M584" s="13" t="n">
        <v>2042.49</v>
      </c>
      <c r="N584" s="13" t="n">
        <v>2.69</v>
      </c>
      <c r="O584" s="13" t="n">
        <v>385</v>
      </c>
      <c r="P584" s="13" t="s">
        <v>3295</v>
      </c>
      <c r="Q584" s="13" t="s">
        <v>3909</v>
      </c>
      <c r="R584" s="13" t="s">
        <v>697</v>
      </c>
      <c r="S584" s="13" t="s">
        <v>697</v>
      </c>
      <c r="T584" s="13" t="s">
        <v>61</v>
      </c>
      <c r="U584" s="13"/>
    </row>
    <row r="585" customFormat="false" ht="18" hidden="false" customHeight="true" outlineLevel="0" collapsed="false">
      <c r="A585" s="13" t="n">
        <v>584</v>
      </c>
      <c r="B585" s="13" t="s">
        <v>3910</v>
      </c>
      <c r="C585" s="13" t="s">
        <v>63</v>
      </c>
      <c r="D585" s="13" t="s">
        <v>64</v>
      </c>
      <c r="E585" s="13" t="s">
        <v>91</v>
      </c>
      <c r="F585" s="13" t="s">
        <v>138</v>
      </c>
      <c r="G585" s="13" t="s">
        <v>743</v>
      </c>
      <c r="H585" s="13" t="s">
        <v>3911</v>
      </c>
      <c r="I585" s="13" t="s">
        <v>3912</v>
      </c>
      <c r="J585" s="13" t="s">
        <v>3913</v>
      </c>
      <c r="K585" s="13" t="s">
        <v>3914</v>
      </c>
      <c r="L585" s="13" t="s">
        <v>894</v>
      </c>
      <c r="M585" s="13" t="n">
        <v>1216.25</v>
      </c>
      <c r="N585" s="13" t="n">
        <v>49.43</v>
      </c>
      <c r="O585" s="13" t="n">
        <v>460</v>
      </c>
      <c r="P585" s="13" t="s">
        <v>895</v>
      </c>
      <c r="Q585" s="13" t="s">
        <v>776</v>
      </c>
      <c r="R585" s="13" t="s">
        <v>829</v>
      </c>
      <c r="S585" s="13" t="s">
        <v>829</v>
      </c>
      <c r="T585" s="13" t="s">
        <v>61</v>
      </c>
      <c r="U585" s="13"/>
    </row>
    <row r="586" customFormat="false" ht="18" hidden="false" customHeight="true" outlineLevel="0" collapsed="false">
      <c r="A586" s="13" t="n">
        <v>585</v>
      </c>
      <c r="B586" s="13" t="s">
        <v>3915</v>
      </c>
      <c r="C586" s="13" t="s">
        <v>63</v>
      </c>
      <c r="D586" s="13" t="s">
        <v>64</v>
      </c>
      <c r="E586" s="13" t="s">
        <v>161</v>
      </c>
      <c r="F586" s="13" t="s">
        <v>429</v>
      </c>
      <c r="G586" s="13" t="s">
        <v>257</v>
      </c>
      <c r="H586" s="13" t="s">
        <v>3916</v>
      </c>
      <c r="I586" s="13" t="s">
        <v>3917</v>
      </c>
      <c r="J586" s="13" t="s">
        <v>3918</v>
      </c>
      <c r="K586" s="13" t="s">
        <v>3919</v>
      </c>
      <c r="L586" s="13" t="s">
        <v>1406</v>
      </c>
      <c r="M586" s="13" t="n">
        <v>118.3</v>
      </c>
      <c r="N586" s="13" t="n">
        <v>0.27</v>
      </c>
      <c r="O586" s="13" t="n">
        <v>247</v>
      </c>
      <c r="P586" s="13" t="s">
        <v>1407</v>
      </c>
      <c r="Q586" s="13" t="s">
        <v>2515</v>
      </c>
      <c r="R586" s="13" t="s">
        <v>2576</v>
      </c>
      <c r="S586" s="13" t="s">
        <v>2576</v>
      </c>
      <c r="T586" s="13" t="s">
        <v>61</v>
      </c>
      <c r="U586" s="13"/>
    </row>
    <row r="587" customFormat="false" ht="18" hidden="false" customHeight="true" outlineLevel="0" collapsed="false">
      <c r="A587" s="13" t="n">
        <v>586</v>
      </c>
      <c r="B587" s="13" t="s">
        <v>3920</v>
      </c>
      <c r="C587" s="13" t="s">
        <v>63</v>
      </c>
      <c r="D587" s="13" t="s">
        <v>64</v>
      </c>
      <c r="E587" s="13" t="s">
        <v>161</v>
      </c>
      <c r="F587" s="13" t="s">
        <v>162</v>
      </c>
      <c r="G587" s="13" t="s">
        <v>207</v>
      </c>
      <c r="H587" s="13" t="s">
        <v>3921</v>
      </c>
      <c r="I587" s="13" t="s">
        <v>3922</v>
      </c>
      <c r="J587" s="13" t="s">
        <v>3923</v>
      </c>
      <c r="K587" s="13" t="s">
        <v>3924</v>
      </c>
      <c r="L587" s="13" t="s">
        <v>3212</v>
      </c>
      <c r="M587" s="13" t="n">
        <v>257.85</v>
      </c>
      <c r="N587" s="13" t="n">
        <v>0.38</v>
      </c>
      <c r="O587" s="13" t="n">
        <v>321</v>
      </c>
      <c r="P587" s="13" t="s">
        <v>3213</v>
      </c>
      <c r="Q587" s="13" t="s">
        <v>416</v>
      </c>
      <c r="R587" s="13" t="s">
        <v>3925</v>
      </c>
      <c r="S587" s="13" t="s">
        <v>3925</v>
      </c>
      <c r="T587" s="13" t="s">
        <v>61</v>
      </c>
      <c r="U587" s="13"/>
    </row>
    <row r="588" customFormat="false" ht="18" hidden="false" customHeight="true" outlineLevel="0" collapsed="false">
      <c r="A588" s="13" t="n">
        <v>587</v>
      </c>
      <c r="B588" s="13" t="s">
        <v>3926</v>
      </c>
      <c r="C588" s="13" t="s">
        <v>113</v>
      </c>
      <c r="D588" s="13" t="s">
        <v>114</v>
      </c>
      <c r="E588" s="13" t="s">
        <v>65</v>
      </c>
      <c r="F588" s="13" t="s">
        <v>115</v>
      </c>
      <c r="G588" s="13" t="s">
        <v>372</v>
      </c>
      <c r="H588" s="13" t="s">
        <v>3927</v>
      </c>
      <c r="I588" s="13" t="s">
        <v>3928</v>
      </c>
      <c r="J588" s="13" t="s">
        <v>3929</v>
      </c>
      <c r="K588" s="13" t="s">
        <v>1257</v>
      </c>
      <c r="L588" s="13" t="s">
        <v>1258</v>
      </c>
      <c r="M588" s="13" t="n">
        <v>77.14</v>
      </c>
      <c r="N588" s="13" t="n">
        <v>1.26</v>
      </c>
      <c r="O588" s="13" t="n">
        <v>384</v>
      </c>
      <c r="P588" s="13" t="s">
        <v>1259</v>
      </c>
      <c r="Q588" s="13" t="s">
        <v>2122</v>
      </c>
      <c r="R588" s="13" t="s">
        <v>3930</v>
      </c>
      <c r="S588" s="13" t="s">
        <v>3930</v>
      </c>
      <c r="T588" s="13" t="s">
        <v>61</v>
      </c>
      <c r="U588" s="13"/>
    </row>
    <row r="589" customFormat="false" ht="18" hidden="false" customHeight="true" outlineLevel="0" collapsed="false">
      <c r="A589" s="15" t="n">
        <v>588</v>
      </c>
      <c r="B589" s="15" t="s">
        <v>2386</v>
      </c>
      <c r="C589" s="15" t="s">
        <v>125</v>
      </c>
      <c r="D589" s="15" t="s">
        <v>126</v>
      </c>
      <c r="E589" s="15" t="s">
        <v>50</v>
      </c>
      <c r="F589" s="15" t="s">
        <v>127</v>
      </c>
      <c r="G589" s="15" t="s">
        <v>689</v>
      </c>
      <c r="H589" s="15" t="s">
        <v>2387</v>
      </c>
      <c r="I589" s="15" t="s">
        <v>2388</v>
      </c>
      <c r="J589" s="15" t="s">
        <v>2389</v>
      </c>
      <c r="K589" s="15" t="s">
        <v>2390</v>
      </c>
      <c r="L589" s="15" t="s">
        <v>1970</v>
      </c>
      <c r="M589" s="15" t="n">
        <v>985.95</v>
      </c>
      <c r="N589" s="15" t="n">
        <v>0.67</v>
      </c>
      <c r="O589" s="15" t="n">
        <v>387</v>
      </c>
      <c r="P589" s="15" t="s">
        <v>1971</v>
      </c>
      <c r="Q589" s="15" t="s">
        <v>2391</v>
      </c>
      <c r="R589" s="15" t="s">
        <v>2392</v>
      </c>
      <c r="S589" s="15" t="s">
        <v>2392</v>
      </c>
      <c r="T589" s="15" t="s">
        <v>61</v>
      </c>
      <c r="U589" s="15" t="s">
        <v>283</v>
      </c>
    </row>
    <row r="590" customFormat="false" ht="18" hidden="false" customHeight="true" outlineLevel="0" collapsed="false">
      <c r="A590" s="16" t="n">
        <v>589</v>
      </c>
      <c r="B590" s="16" t="s">
        <v>3931</v>
      </c>
      <c r="C590" s="16" t="s">
        <v>77</v>
      </c>
      <c r="D590" s="16" t="s">
        <v>78</v>
      </c>
      <c r="E590" s="16" t="s">
        <v>161</v>
      </c>
      <c r="F590" s="16" t="s">
        <v>306</v>
      </c>
      <c r="G590" s="16" t="s">
        <v>285</v>
      </c>
      <c r="H590" s="16" t="s">
        <v>3932</v>
      </c>
      <c r="I590" s="16" t="s">
        <v>3933</v>
      </c>
      <c r="J590" s="16" t="s">
        <v>3934</v>
      </c>
      <c r="K590" s="16" t="s">
        <v>3935</v>
      </c>
      <c r="L590" s="16" t="s">
        <v>1186</v>
      </c>
      <c r="M590" s="16" t="n">
        <v>523.11</v>
      </c>
      <c r="N590" s="16" t="n">
        <v>0.34</v>
      </c>
      <c r="O590" s="16" t="n">
        <v>0</v>
      </c>
      <c r="P590" s="16" t="s">
        <v>1187</v>
      </c>
      <c r="Q590" s="16" t="s">
        <v>1509</v>
      </c>
      <c r="R590" s="16" t="s">
        <v>888</v>
      </c>
      <c r="S590" s="16" t="s">
        <v>3936</v>
      </c>
      <c r="T590" s="16" t="s">
        <v>61</v>
      </c>
      <c r="U590" s="16" t="s">
        <v>325</v>
      </c>
    </row>
    <row r="591" customFormat="false" ht="18" hidden="false" customHeight="true" outlineLevel="0" collapsed="false">
      <c r="A591" s="13" t="n">
        <v>590</v>
      </c>
      <c r="B591" s="13" t="s">
        <v>3937</v>
      </c>
      <c r="C591" s="13" t="s">
        <v>125</v>
      </c>
      <c r="D591" s="13" t="s">
        <v>126</v>
      </c>
      <c r="E591" s="13" t="s">
        <v>65</v>
      </c>
      <c r="F591" s="13" t="s">
        <v>115</v>
      </c>
      <c r="G591" s="13" t="s">
        <v>149</v>
      </c>
      <c r="H591" s="13" t="s">
        <v>3938</v>
      </c>
      <c r="I591" s="13" t="s">
        <v>3939</v>
      </c>
      <c r="J591" s="13" t="s">
        <v>3940</v>
      </c>
      <c r="K591" s="13" t="s">
        <v>153</v>
      </c>
      <c r="L591" s="13" t="s">
        <v>154</v>
      </c>
      <c r="M591" s="13" t="n">
        <v>361.37</v>
      </c>
      <c r="N591" s="13" t="n">
        <v>0.11</v>
      </c>
      <c r="O591" s="13" t="n">
        <v>258</v>
      </c>
      <c r="P591" s="13" t="s">
        <v>155</v>
      </c>
      <c r="Q591" s="13" t="s">
        <v>3459</v>
      </c>
      <c r="R591" s="13" t="s">
        <v>3941</v>
      </c>
      <c r="S591" s="13" t="s">
        <v>3941</v>
      </c>
      <c r="T591" s="13" t="s">
        <v>61</v>
      </c>
      <c r="U591" s="13"/>
    </row>
    <row r="592" customFormat="false" ht="18" hidden="false" customHeight="true" outlineLevel="0" collapsed="false">
      <c r="A592" s="13" t="n">
        <v>591</v>
      </c>
      <c r="B592" s="13" t="s">
        <v>3942</v>
      </c>
      <c r="C592" s="13" t="s">
        <v>77</v>
      </c>
      <c r="D592" s="13" t="s">
        <v>78</v>
      </c>
      <c r="E592" s="13" t="s">
        <v>65</v>
      </c>
      <c r="F592" s="13" t="s">
        <v>390</v>
      </c>
      <c r="G592" s="13" t="s">
        <v>391</v>
      </c>
      <c r="H592" s="13" t="s">
        <v>3943</v>
      </c>
      <c r="I592" s="13" t="s">
        <v>3944</v>
      </c>
      <c r="J592" s="13" t="s">
        <v>3945</v>
      </c>
      <c r="K592" s="13" t="s">
        <v>395</v>
      </c>
      <c r="L592" s="13" t="s">
        <v>396</v>
      </c>
      <c r="M592" s="13" t="n">
        <v>369.42</v>
      </c>
      <c r="N592" s="13" t="n">
        <v>0.29</v>
      </c>
      <c r="O592" s="13" t="n">
        <v>384</v>
      </c>
      <c r="P592" s="13" t="s">
        <v>397</v>
      </c>
      <c r="Q592" s="13" t="s">
        <v>3946</v>
      </c>
      <c r="R592" s="13" t="s">
        <v>369</v>
      </c>
      <c r="S592" s="13" t="s">
        <v>369</v>
      </c>
      <c r="T592" s="13" t="s">
        <v>61</v>
      </c>
      <c r="U592" s="13"/>
    </row>
    <row r="593" customFormat="false" ht="18" hidden="false" customHeight="true" outlineLevel="0" collapsed="false">
      <c r="A593" s="15" t="n">
        <v>592</v>
      </c>
      <c r="B593" s="15" t="s">
        <v>3947</v>
      </c>
      <c r="C593" s="15" t="s">
        <v>255</v>
      </c>
      <c r="D593" s="15" t="s">
        <v>256</v>
      </c>
      <c r="E593" s="15" t="s">
        <v>79</v>
      </c>
      <c r="F593" s="15" t="s">
        <v>196</v>
      </c>
      <c r="G593" s="15" t="s">
        <v>733</v>
      </c>
      <c r="H593" s="15" t="s">
        <v>3948</v>
      </c>
      <c r="I593" s="15" t="s">
        <v>3949</v>
      </c>
      <c r="J593" s="15" t="s">
        <v>3950</v>
      </c>
      <c r="K593" s="15" t="s">
        <v>3951</v>
      </c>
      <c r="L593" s="15" t="s">
        <v>3301</v>
      </c>
      <c r="M593" s="15" t="n">
        <v>9532.45</v>
      </c>
      <c r="N593" s="15" t="n">
        <v>1.36</v>
      </c>
      <c r="O593" s="15" t="n">
        <v>375</v>
      </c>
      <c r="P593" s="15" t="s">
        <v>3302</v>
      </c>
      <c r="Q593" s="15" t="s">
        <v>3952</v>
      </c>
      <c r="R593" s="15" t="s">
        <v>171</v>
      </c>
      <c r="S593" s="15" t="s">
        <v>171</v>
      </c>
      <c r="T593" s="15" t="s">
        <v>61</v>
      </c>
      <c r="U593" s="15" t="s">
        <v>343</v>
      </c>
    </row>
    <row r="594" customFormat="false" ht="18" hidden="false" customHeight="true" outlineLevel="0" collapsed="false">
      <c r="A594" s="13" t="n">
        <v>593</v>
      </c>
      <c r="B594" s="13" t="s">
        <v>3953</v>
      </c>
      <c r="C594" s="13" t="s">
        <v>125</v>
      </c>
      <c r="D594" s="13" t="s">
        <v>126</v>
      </c>
      <c r="E594" s="13" t="s">
        <v>65</v>
      </c>
      <c r="F594" s="13" t="s">
        <v>245</v>
      </c>
      <c r="G594" s="13" t="s">
        <v>391</v>
      </c>
      <c r="H594" s="13" t="s">
        <v>3954</v>
      </c>
      <c r="I594" s="13" t="s">
        <v>3955</v>
      </c>
      <c r="J594" s="13" t="s">
        <v>3956</v>
      </c>
      <c r="K594" s="13" t="s">
        <v>1414</v>
      </c>
      <c r="L594" s="13" t="s">
        <v>1415</v>
      </c>
      <c r="M594" s="13" t="n">
        <v>322.88</v>
      </c>
      <c r="N594" s="13" t="n">
        <v>1.46</v>
      </c>
      <c r="O594" s="13" t="n">
        <v>421</v>
      </c>
      <c r="P594" s="13" t="s">
        <v>1416</v>
      </c>
      <c r="Q594" s="13" t="s">
        <v>1156</v>
      </c>
      <c r="R594" s="13" t="s">
        <v>2036</v>
      </c>
      <c r="S594" s="13" t="s">
        <v>2036</v>
      </c>
      <c r="T594" s="13" t="s">
        <v>61</v>
      </c>
      <c r="U594" s="13"/>
    </row>
    <row r="595" customFormat="false" ht="18" hidden="false" customHeight="true" outlineLevel="0" collapsed="false">
      <c r="A595" s="13" t="n">
        <v>594</v>
      </c>
      <c r="B595" s="13" t="s">
        <v>3957</v>
      </c>
      <c r="C595" s="13" t="s">
        <v>173</v>
      </c>
      <c r="D595" s="13" t="s">
        <v>174</v>
      </c>
      <c r="E595" s="13" t="s">
        <v>50</v>
      </c>
      <c r="F595" s="13" t="s">
        <v>115</v>
      </c>
      <c r="G595" s="13" t="s">
        <v>217</v>
      </c>
      <c r="H595" s="13" t="s">
        <v>3958</v>
      </c>
      <c r="I595" s="13" t="s">
        <v>3959</v>
      </c>
      <c r="J595" s="13" t="s">
        <v>3960</v>
      </c>
      <c r="K595" s="13" t="s">
        <v>3540</v>
      </c>
      <c r="L595" s="13" t="s">
        <v>366</v>
      </c>
      <c r="M595" s="13" t="n">
        <v>439.25</v>
      </c>
      <c r="N595" s="13" t="n">
        <v>0.78</v>
      </c>
      <c r="O595" s="13" t="n">
        <v>156</v>
      </c>
      <c r="P595" s="13" t="s">
        <v>367</v>
      </c>
      <c r="Q595" s="13" t="s">
        <v>1378</v>
      </c>
      <c r="R595" s="13" t="s">
        <v>282</v>
      </c>
      <c r="S595" s="13" t="s">
        <v>282</v>
      </c>
      <c r="T595" s="13" t="s">
        <v>61</v>
      </c>
      <c r="U595" s="13"/>
    </row>
    <row r="596" customFormat="false" ht="18" hidden="false" customHeight="true" outlineLevel="0" collapsed="false">
      <c r="A596" s="13" t="n">
        <v>595</v>
      </c>
      <c r="B596" s="13" t="s">
        <v>3961</v>
      </c>
      <c r="C596" s="13" t="s">
        <v>173</v>
      </c>
      <c r="D596" s="13" t="s">
        <v>174</v>
      </c>
      <c r="E596" s="13" t="s">
        <v>65</v>
      </c>
      <c r="F596" s="13" t="s">
        <v>438</v>
      </c>
      <c r="G596" s="13" t="s">
        <v>391</v>
      </c>
      <c r="H596" s="13" t="s">
        <v>3962</v>
      </c>
      <c r="I596" s="13" t="s">
        <v>3963</v>
      </c>
      <c r="J596" s="13" t="s">
        <v>3964</v>
      </c>
      <c r="K596" s="13" t="s">
        <v>2046</v>
      </c>
      <c r="L596" s="13" t="s">
        <v>2047</v>
      </c>
      <c r="M596" s="13" t="n">
        <v>434.74</v>
      </c>
      <c r="N596" s="13" t="n">
        <v>1.22</v>
      </c>
      <c r="O596" s="13" t="n">
        <v>144</v>
      </c>
      <c r="P596" s="13" t="s">
        <v>2048</v>
      </c>
      <c r="Q596" s="13" t="s">
        <v>2122</v>
      </c>
      <c r="R596" s="13" t="s">
        <v>604</v>
      </c>
      <c r="S596" s="13" t="s">
        <v>604</v>
      </c>
      <c r="T596" s="13" t="s">
        <v>61</v>
      </c>
      <c r="U596" s="13"/>
    </row>
    <row r="597" customFormat="false" ht="18" hidden="false" customHeight="true" outlineLevel="0" collapsed="false">
      <c r="A597" s="13" t="n">
        <v>596</v>
      </c>
      <c r="B597" s="13" t="s">
        <v>3965</v>
      </c>
      <c r="C597" s="13" t="s">
        <v>125</v>
      </c>
      <c r="D597" s="13" t="s">
        <v>126</v>
      </c>
      <c r="E597" s="13" t="s">
        <v>79</v>
      </c>
      <c r="F597" s="13" t="s">
        <v>51</v>
      </c>
      <c r="G597" s="13" t="s">
        <v>128</v>
      </c>
      <c r="H597" s="13" t="s">
        <v>3966</v>
      </c>
      <c r="I597" s="13" t="s">
        <v>3967</v>
      </c>
      <c r="J597" s="13" t="s">
        <v>3968</v>
      </c>
      <c r="K597" s="13" t="s">
        <v>3969</v>
      </c>
      <c r="L597" s="13" t="s">
        <v>547</v>
      </c>
      <c r="M597" s="13" t="n">
        <v>1893.72</v>
      </c>
      <c r="N597" s="13" t="n">
        <v>1.85</v>
      </c>
      <c r="O597" s="13" t="n">
        <v>222</v>
      </c>
      <c r="P597" s="13" t="s">
        <v>548</v>
      </c>
      <c r="Q597" s="13" t="s">
        <v>3970</v>
      </c>
      <c r="R597" s="13" t="s">
        <v>3971</v>
      </c>
      <c r="S597" s="13" t="s">
        <v>3971</v>
      </c>
      <c r="T597" s="13" t="s">
        <v>61</v>
      </c>
      <c r="U597" s="13"/>
    </row>
    <row r="598" customFormat="false" ht="18" hidden="false" customHeight="true" outlineLevel="0" collapsed="false">
      <c r="A598" s="13" t="n">
        <v>597</v>
      </c>
      <c r="B598" s="13" t="s">
        <v>3972</v>
      </c>
      <c r="C598" s="13" t="s">
        <v>113</v>
      </c>
      <c r="D598" s="13" t="s">
        <v>114</v>
      </c>
      <c r="E598" s="13" t="s">
        <v>50</v>
      </c>
      <c r="F598" s="13" t="s">
        <v>115</v>
      </c>
      <c r="G598" s="13" t="s">
        <v>52</v>
      </c>
      <c r="H598" s="13" t="s">
        <v>3973</v>
      </c>
      <c r="I598" s="13" t="s">
        <v>3974</v>
      </c>
      <c r="J598" s="13" t="s">
        <v>3975</v>
      </c>
      <c r="K598" s="13" t="s">
        <v>3976</v>
      </c>
      <c r="L598" s="13" t="s">
        <v>120</v>
      </c>
      <c r="M598" s="13" t="n">
        <v>803.56</v>
      </c>
      <c r="N598" s="13" t="n">
        <v>0.79</v>
      </c>
      <c r="O598" s="13" t="n">
        <v>76</v>
      </c>
      <c r="P598" s="13" t="s">
        <v>121</v>
      </c>
      <c r="Q598" s="13" t="s">
        <v>3492</v>
      </c>
      <c r="R598" s="13" t="s">
        <v>183</v>
      </c>
      <c r="S598" s="13" t="s">
        <v>183</v>
      </c>
      <c r="T598" s="13" t="s">
        <v>61</v>
      </c>
      <c r="U598" s="13"/>
    </row>
    <row r="599" customFormat="false" ht="18" hidden="false" customHeight="true" outlineLevel="0" collapsed="false">
      <c r="A599" s="14" t="n">
        <v>598</v>
      </c>
      <c r="B599" s="14" t="s">
        <v>3977</v>
      </c>
      <c r="C599" s="14" t="s">
        <v>77</v>
      </c>
      <c r="D599" s="14" t="s">
        <v>78</v>
      </c>
      <c r="E599" s="14" t="s">
        <v>161</v>
      </c>
      <c r="F599" s="14" t="s">
        <v>51</v>
      </c>
      <c r="G599" s="14" t="s">
        <v>285</v>
      </c>
      <c r="H599" s="14" t="s">
        <v>3978</v>
      </c>
      <c r="I599" s="14" t="s">
        <v>3979</v>
      </c>
      <c r="J599" s="14" t="s">
        <v>3980</v>
      </c>
      <c r="K599" s="14"/>
      <c r="L599" s="14" t="s">
        <v>290</v>
      </c>
      <c r="M599" s="14" t="n">
        <v>233.53</v>
      </c>
      <c r="N599" s="14" t="n">
        <v>0.37</v>
      </c>
      <c r="O599" s="14" t="n">
        <v>232</v>
      </c>
      <c r="P599" s="14" t="s">
        <v>291</v>
      </c>
      <c r="Q599" s="14" t="s">
        <v>461</v>
      </c>
      <c r="R599" s="14" t="s">
        <v>1814</v>
      </c>
      <c r="S599" s="14" t="s">
        <v>1814</v>
      </c>
      <c r="T599" s="14" t="s">
        <v>61</v>
      </c>
      <c r="U599" s="14" t="s">
        <v>1048</v>
      </c>
    </row>
    <row r="600" customFormat="false" ht="18" hidden="false" customHeight="true" outlineLevel="0" collapsed="false">
      <c r="A600" s="15" t="n">
        <v>599</v>
      </c>
      <c r="B600" s="15" t="s">
        <v>3981</v>
      </c>
      <c r="C600" s="15" t="s">
        <v>255</v>
      </c>
      <c r="D600" s="15" t="s">
        <v>256</v>
      </c>
      <c r="E600" s="15" t="s">
        <v>161</v>
      </c>
      <c r="F600" s="15" t="s">
        <v>822</v>
      </c>
      <c r="G600" s="15" t="s">
        <v>285</v>
      </c>
      <c r="H600" s="15" t="s">
        <v>3982</v>
      </c>
      <c r="I600" s="15" t="s">
        <v>3983</v>
      </c>
      <c r="J600" s="15" t="s">
        <v>3984</v>
      </c>
      <c r="K600" s="15" t="s">
        <v>3985</v>
      </c>
      <c r="L600" s="15" t="s">
        <v>1096</v>
      </c>
      <c r="M600" s="15" t="n">
        <v>250.77</v>
      </c>
      <c r="N600" s="15" t="n">
        <v>0.29</v>
      </c>
      <c r="O600" s="15" t="n">
        <v>424</v>
      </c>
      <c r="P600" s="15" t="s">
        <v>1097</v>
      </c>
      <c r="Q600" s="15" t="s">
        <v>678</v>
      </c>
      <c r="R600" s="15" t="s">
        <v>1777</v>
      </c>
      <c r="S600" s="15" t="s">
        <v>1777</v>
      </c>
      <c r="T600" s="15" t="s">
        <v>61</v>
      </c>
      <c r="U600" s="15" t="s">
        <v>283</v>
      </c>
    </row>
    <row r="601" customFormat="false" ht="18" hidden="false" customHeight="true" outlineLevel="0" collapsed="false">
      <c r="A601" s="13" t="n">
        <v>600</v>
      </c>
      <c r="B601" s="13" t="s">
        <v>3986</v>
      </c>
      <c r="C601" s="13" t="s">
        <v>77</v>
      </c>
      <c r="D601" s="13" t="s">
        <v>78</v>
      </c>
      <c r="E601" s="13" t="s">
        <v>79</v>
      </c>
      <c r="F601" s="13" t="s">
        <v>465</v>
      </c>
      <c r="G601" s="13" t="s">
        <v>562</v>
      </c>
      <c r="H601" s="13" t="s">
        <v>3987</v>
      </c>
      <c r="I601" s="13" t="s">
        <v>3988</v>
      </c>
      <c r="J601" s="13" t="s">
        <v>3989</v>
      </c>
      <c r="K601" s="13" t="s">
        <v>3990</v>
      </c>
      <c r="L601" s="13" t="s">
        <v>1584</v>
      </c>
      <c r="M601" s="13" t="n">
        <v>1176.11</v>
      </c>
      <c r="N601" s="13" t="n">
        <v>2.35</v>
      </c>
      <c r="O601" s="13" t="n">
        <v>397</v>
      </c>
      <c r="P601" s="13" t="s">
        <v>1585</v>
      </c>
      <c r="Q601" s="13" t="s">
        <v>3991</v>
      </c>
      <c r="R601" s="13" t="s">
        <v>3734</v>
      </c>
      <c r="S601" s="13" t="s">
        <v>3734</v>
      </c>
      <c r="T601" s="13" t="s">
        <v>61</v>
      </c>
      <c r="U601" s="13"/>
    </row>
    <row r="602" customFormat="false" ht="18" hidden="false" customHeight="true" outlineLevel="0" collapsed="false">
      <c r="A602" s="13" t="n">
        <v>601</v>
      </c>
      <c r="B602" s="13" t="s">
        <v>3992</v>
      </c>
      <c r="C602" s="13" t="s">
        <v>77</v>
      </c>
      <c r="D602" s="13" t="s">
        <v>78</v>
      </c>
      <c r="E602" s="13" t="s">
        <v>50</v>
      </c>
      <c r="F602" s="13" t="s">
        <v>51</v>
      </c>
      <c r="G602" s="13" t="s">
        <v>808</v>
      </c>
      <c r="H602" s="13" t="s">
        <v>3993</v>
      </c>
      <c r="I602" s="13" t="s">
        <v>3994</v>
      </c>
      <c r="J602" s="13" t="s">
        <v>3995</v>
      </c>
      <c r="K602" s="13" t="s">
        <v>3996</v>
      </c>
      <c r="L602" s="13" t="s">
        <v>1857</v>
      </c>
      <c r="M602" s="13" t="n">
        <v>397.45</v>
      </c>
      <c r="N602" s="13" t="n">
        <v>0.41</v>
      </c>
      <c r="O602" s="13" t="n">
        <v>322</v>
      </c>
      <c r="P602" s="13" t="s">
        <v>1858</v>
      </c>
      <c r="Q602" s="13" t="s">
        <v>3997</v>
      </c>
      <c r="R602" s="13" t="s">
        <v>3998</v>
      </c>
      <c r="S602" s="13" t="s">
        <v>3998</v>
      </c>
      <c r="T602" s="13" t="s">
        <v>61</v>
      </c>
      <c r="U602" s="13"/>
    </row>
    <row r="603" customFormat="false" ht="18" hidden="false" customHeight="true" outlineLevel="0" collapsed="false">
      <c r="A603" s="15" t="n">
        <v>602</v>
      </c>
      <c r="B603" s="15" t="s">
        <v>3999</v>
      </c>
      <c r="C603" s="15" t="s">
        <v>63</v>
      </c>
      <c r="D603" s="15" t="s">
        <v>64</v>
      </c>
      <c r="E603" s="15" t="s">
        <v>79</v>
      </c>
      <c r="F603" s="15" t="s">
        <v>465</v>
      </c>
      <c r="G603" s="15" t="s">
        <v>128</v>
      </c>
      <c r="H603" s="15" t="s">
        <v>4000</v>
      </c>
      <c r="I603" s="15" t="s">
        <v>4001</v>
      </c>
      <c r="J603" s="15" t="s">
        <v>4002</v>
      </c>
      <c r="K603" s="15" t="s">
        <v>4003</v>
      </c>
      <c r="L603" s="15" t="s">
        <v>2490</v>
      </c>
      <c r="M603" s="15" t="n">
        <v>1719.68</v>
      </c>
      <c r="N603" s="15" t="n">
        <v>2.36</v>
      </c>
      <c r="O603" s="15" t="n">
        <v>453</v>
      </c>
      <c r="P603" s="15" t="s">
        <v>2491</v>
      </c>
      <c r="Q603" s="15" t="s">
        <v>619</v>
      </c>
      <c r="R603" s="15" t="s">
        <v>4004</v>
      </c>
      <c r="S603" s="15" t="s">
        <v>4004</v>
      </c>
      <c r="T603" s="15" t="s">
        <v>61</v>
      </c>
      <c r="U603" s="15" t="s">
        <v>283</v>
      </c>
    </row>
    <row r="604" customFormat="false" ht="18" hidden="false" customHeight="true" outlineLevel="0" collapsed="false">
      <c r="A604" s="15" t="n">
        <v>603</v>
      </c>
      <c r="B604" s="15" t="s">
        <v>4005</v>
      </c>
      <c r="C604" s="15" t="s">
        <v>77</v>
      </c>
      <c r="D604" s="15" t="s">
        <v>78</v>
      </c>
      <c r="E604" s="15" t="s">
        <v>161</v>
      </c>
      <c r="F604" s="15" t="s">
        <v>295</v>
      </c>
      <c r="G604" s="15" t="s">
        <v>257</v>
      </c>
      <c r="H604" s="15" t="s">
        <v>4006</v>
      </c>
      <c r="I604" s="15"/>
      <c r="J604" s="15" t="s">
        <v>4007</v>
      </c>
      <c r="K604" s="15" t="s">
        <v>4008</v>
      </c>
      <c r="L604" s="15" t="s">
        <v>844</v>
      </c>
      <c r="M604" s="15" t="n">
        <v>2042.44</v>
      </c>
      <c r="N604" s="15" t="n">
        <v>0.42</v>
      </c>
      <c r="O604" s="15" t="n">
        <v>232</v>
      </c>
      <c r="P604" s="15" t="s">
        <v>845</v>
      </c>
      <c r="Q604" s="15" t="s">
        <v>1569</v>
      </c>
      <c r="R604" s="15" t="s">
        <v>855</v>
      </c>
      <c r="S604" s="15" t="s">
        <v>855</v>
      </c>
      <c r="T604" s="15" t="s">
        <v>61</v>
      </c>
      <c r="U604" s="15" t="s">
        <v>343</v>
      </c>
    </row>
    <row r="605" customFormat="false" ht="18" hidden="false" customHeight="true" outlineLevel="0" collapsed="false">
      <c r="A605" s="13" t="n">
        <v>604</v>
      </c>
      <c r="B605" s="13" t="s">
        <v>4009</v>
      </c>
      <c r="C605" s="13" t="s">
        <v>77</v>
      </c>
      <c r="D605" s="13" t="s">
        <v>78</v>
      </c>
      <c r="E605" s="13" t="s">
        <v>65</v>
      </c>
      <c r="F605" s="13" t="s">
        <v>66</v>
      </c>
      <c r="G605" s="13" t="s">
        <v>149</v>
      </c>
      <c r="H605" s="13" t="s">
        <v>4010</v>
      </c>
      <c r="I605" s="13" t="s">
        <v>4011</v>
      </c>
      <c r="J605" s="13" t="s">
        <v>4012</v>
      </c>
      <c r="K605" s="13" t="s">
        <v>1175</v>
      </c>
      <c r="L605" s="13" t="s">
        <v>1176</v>
      </c>
      <c r="M605" s="13" t="n">
        <v>243.9</v>
      </c>
      <c r="N605" s="13" t="n">
        <v>0.36</v>
      </c>
      <c r="O605" s="13" t="n">
        <v>113</v>
      </c>
      <c r="P605" s="13" t="s">
        <v>1177</v>
      </c>
      <c r="Q605" s="13" t="s">
        <v>3849</v>
      </c>
      <c r="R605" s="13" t="s">
        <v>1409</v>
      </c>
      <c r="S605" s="13" t="s">
        <v>1409</v>
      </c>
      <c r="T605" s="13" t="s">
        <v>61</v>
      </c>
      <c r="U605" s="13"/>
    </row>
    <row r="606" customFormat="false" ht="18" hidden="false" customHeight="true" outlineLevel="0" collapsed="false">
      <c r="A606" s="13" t="n">
        <v>605</v>
      </c>
      <c r="B606" s="13" t="s">
        <v>4013</v>
      </c>
      <c r="C606" s="13" t="s">
        <v>48</v>
      </c>
      <c r="D606" s="13" t="s">
        <v>49</v>
      </c>
      <c r="E606" s="13" t="s">
        <v>50</v>
      </c>
      <c r="F606" s="13" t="s">
        <v>503</v>
      </c>
      <c r="G606" s="13" t="s">
        <v>217</v>
      </c>
      <c r="H606" s="13" t="s">
        <v>4014</v>
      </c>
      <c r="I606" s="13" t="s">
        <v>4015</v>
      </c>
      <c r="J606" s="13" t="s">
        <v>4016</v>
      </c>
      <c r="K606" s="13" t="s">
        <v>4017</v>
      </c>
      <c r="L606" s="13" t="s">
        <v>3722</v>
      </c>
      <c r="M606" s="13" t="n">
        <v>1199.82</v>
      </c>
      <c r="N606" s="13" t="n">
        <v>0.84</v>
      </c>
      <c r="O606" s="13" t="n">
        <v>213</v>
      </c>
      <c r="P606" s="13" t="s">
        <v>3723</v>
      </c>
      <c r="Q606" s="13" t="s">
        <v>4018</v>
      </c>
      <c r="R606" s="13" t="s">
        <v>1707</v>
      </c>
      <c r="S606" s="13" t="s">
        <v>1707</v>
      </c>
      <c r="T606" s="13" t="s">
        <v>61</v>
      </c>
      <c r="U606" s="13"/>
    </row>
    <row r="607" customFormat="false" ht="18" hidden="false" customHeight="true" outlineLevel="0" collapsed="false">
      <c r="A607" s="13" t="n">
        <v>606</v>
      </c>
      <c r="B607" s="13" t="s">
        <v>4019</v>
      </c>
      <c r="C607" s="13" t="s">
        <v>77</v>
      </c>
      <c r="D607" s="13" t="s">
        <v>78</v>
      </c>
      <c r="E607" s="13" t="s">
        <v>79</v>
      </c>
      <c r="F607" s="13" t="s">
        <v>956</v>
      </c>
      <c r="G607" s="13" t="s">
        <v>760</v>
      </c>
      <c r="H607" s="13" t="s">
        <v>4020</v>
      </c>
      <c r="I607" s="13" t="s">
        <v>4021</v>
      </c>
      <c r="J607" s="13" t="s">
        <v>4022</v>
      </c>
      <c r="K607" s="13" t="s">
        <v>4023</v>
      </c>
      <c r="L607" s="13" t="s">
        <v>961</v>
      </c>
      <c r="M607" s="13" t="n">
        <v>1378.3</v>
      </c>
      <c r="N607" s="13" t="n">
        <v>2.7</v>
      </c>
      <c r="O607" s="13" t="n">
        <v>20</v>
      </c>
      <c r="P607" s="13" t="s">
        <v>962</v>
      </c>
      <c r="Q607" s="13" t="s">
        <v>1140</v>
      </c>
      <c r="R607" s="13" t="s">
        <v>768</v>
      </c>
      <c r="S607" s="13" t="s">
        <v>768</v>
      </c>
      <c r="T607" s="13" t="s">
        <v>61</v>
      </c>
      <c r="U607" s="13"/>
    </row>
    <row r="608" customFormat="false" ht="18" hidden="false" customHeight="true" outlineLevel="0" collapsed="false">
      <c r="A608" s="13" t="n">
        <v>607</v>
      </c>
      <c r="B608" s="13" t="s">
        <v>4024</v>
      </c>
      <c r="C608" s="13" t="s">
        <v>48</v>
      </c>
      <c r="D608" s="13" t="s">
        <v>49</v>
      </c>
      <c r="E608" s="13" t="s">
        <v>79</v>
      </c>
      <c r="F608" s="13" t="s">
        <v>1531</v>
      </c>
      <c r="G608" s="13" t="s">
        <v>514</v>
      </c>
      <c r="H608" s="13" t="s">
        <v>4025</v>
      </c>
      <c r="I608" s="13" t="s">
        <v>4026</v>
      </c>
      <c r="J608" s="13" t="s">
        <v>4027</v>
      </c>
      <c r="K608" s="13" t="s">
        <v>4028</v>
      </c>
      <c r="L608" s="13" t="s">
        <v>2383</v>
      </c>
      <c r="M608" s="13" t="n">
        <v>1685.57</v>
      </c>
      <c r="N608" s="13" t="n">
        <v>2.35</v>
      </c>
      <c r="O608" s="13" t="n">
        <v>258</v>
      </c>
      <c r="P608" s="13" t="s">
        <v>2384</v>
      </c>
      <c r="Q608" s="13" t="s">
        <v>4029</v>
      </c>
      <c r="R608" s="13" t="s">
        <v>4030</v>
      </c>
      <c r="S608" s="13" t="s">
        <v>4030</v>
      </c>
      <c r="T608" s="13" t="s">
        <v>61</v>
      </c>
      <c r="U608" s="13"/>
    </row>
    <row r="609" customFormat="false" ht="18" hidden="false" customHeight="true" outlineLevel="0" collapsed="false">
      <c r="A609" s="13" t="n">
        <v>608</v>
      </c>
      <c r="B609" s="13" t="s">
        <v>4031</v>
      </c>
      <c r="C609" s="13" t="s">
        <v>255</v>
      </c>
      <c r="D609" s="13" t="s">
        <v>256</v>
      </c>
      <c r="E609" s="13" t="s">
        <v>161</v>
      </c>
      <c r="F609" s="13" t="s">
        <v>295</v>
      </c>
      <c r="G609" s="13" t="s">
        <v>207</v>
      </c>
      <c r="H609" s="13" t="s">
        <v>4032</v>
      </c>
      <c r="I609" s="13" t="s">
        <v>4033</v>
      </c>
      <c r="J609" s="13" t="s">
        <v>4034</v>
      </c>
      <c r="K609" s="13" t="s">
        <v>4035</v>
      </c>
      <c r="L609" s="13" t="s">
        <v>2018</v>
      </c>
      <c r="M609" s="13" t="n">
        <v>524.34</v>
      </c>
      <c r="N609" s="13" t="n">
        <v>0.21</v>
      </c>
      <c r="O609" s="13" t="n">
        <v>220</v>
      </c>
      <c r="P609" s="13" t="s">
        <v>2019</v>
      </c>
      <c r="Q609" s="13" t="s">
        <v>916</v>
      </c>
      <c r="R609" s="13" t="s">
        <v>670</v>
      </c>
      <c r="S609" s="13" t="s">
        <v>670</v>
      </c>
      <c r="T609" s="13" t="s">
        <v>61</v>
      </c>
      <c r="U609" s="13"/>
    </row>
    <row r="610" customFormat="false" ht="18" hidden="false" customHeight="true" outlineLevel="0" collapsed="false">
      <c r="A610" s="13" t="n">
        <v>609</v>
      </c>
      <c r="B610" s="13" t="s">
        <v>4036</v>
      </c>
      <c r="C610" s="13" t="s">
        <v>113</v>
      </c>
      <c r="D610" s="13" t="s">
        <v>114</v>
      </c>
      <c r="E610" s="13" t="s">
        <v>79</v>
      </c>
      <c r="F610" s="13" t="s">
        <v>196</v>
      </c>
      <c r="G610" s="13" t="s">
        <v>733</v>
      </c>
      <c r="H610" s="13" t="s">
        <v>4037</v>
      </c>
      <c r="I610" s="13" t="s">
        <v>4038</v>
      </c>
      <c r="J610" s="13" t="s">
        <v>4039</v>
      </c>
      <c r="K610" s="13" t="s">
        <v>4040</v>
      </c>
      <c r="L610" s="13" t="s">
        <v>3301</v>
      </c>
      <c r="M610" s="13" t="n">
        <v>1794.67</v>
      </c>
      <c r="N610" s="13" t="n">
        <v>1.63</v>
      </c>
      <c r="O610" s="13" t="n">
        <v>358</v>
      </c>
      <c r="P610" s="13" t="s">
        <v>3302</v>
      </c>
      <c r="Q610" s="13" t="s">
        <v>4041</v>
      </c>
      <c r="R610" s="13" t="s">
        <v>3998</v>
      </c>
      <c r="S610" s="13" t="s">
        <v>3998</v>
      </c>
      <c r="T610" s="13" t="s">
        <v>61</v>
      </c>
      <c r="U610" s="13"/>
    </row>
    <row r="611" customFormat="false" ht="18" hidden="false" customHeight="true" outlineLevel="0" collapsed="false">
      <c r="A611" s="16" t="n">
        <v>610</v>
      </c>
      <c r="B611" s="16" t="s">
        <v>4042</v>
      </c>
      <c r="C611" s="16" t="s">
        <v>63</v>
      </c>
      <c r="D611" s="16" t="s">
        <v>64</v>
      </c>
      <c r="E611" s="16" t="s">
        <v>161</v>
      </c>
      <c r="F611" s="16" t="s">
        <v>306</v>
      </c>
      <c r="G611" s="16" t="s">
        <v>257</v>
      </c>
      <c r="H611" s="16" t="s">
        <v>4043</v>
      </c>
      <c r="I611" s="16" t="s">
        <v>4044</v>
      </c>
      <c r="J611" s="16" t="s">
        <v>4045</v>
      </c>
      <c r="K611" s="16" t="s">
        <v>4046</v>
      </c>
      <c r="L611" s="16" t="s">
        <v>320</v>
      </c>
      <c r="M611" s="16" t="n">
        <v>95.14</v>
      </c>
      <c r="N611" s="16" t="n">
        <v>0.33</v>
      </c>
      <c r="O611" s="16" t="n">
        <v>0</v>
      </c>
      <c r="P611" s="16" t="s">
        <v>321</v>
      </c>
      <c r="Q611" s="16" t="s">
        <v>292</v>
      </c>
      <c r="R611" s="16" t="s">
        <v>670</v>
      </c>
      <c r="S611" s="16" t="s">
        <v>324</v>
      </c>
      <c r="T611" s="16" t="s">
        <v>61</v>
      </c>
      <c r="U611" s="16" t="s">
        <v>325</v>
      </c>
    </row>
    <row r="612" customFormat="false" ht="18" hidden="false" customHeight="true" outlineLevel="0" collapsed="false">
      <c r="A612" s="13" t="n">
        <v>611</v>
      </c>
      <c r="B612" s="13" t="s">
        <v>4047</v>
      </c>
      <c r="C612" s="13" t="s">
        <v>173</v>
      </c>
      <c r="D612" s="13" t="s">
        <v>174</v>
      </c>
      <c r="E612" s="13" t="s">
        <v>65</v>
      </c>
      <c r="F612" s="13" t="s">
        <v>371</v>
      </c>
      <c r="G612" s="13" t="s">
        <v>391</v>
      </c>
      <c r="H612" s="13" t="s">
        <v>4048</v>
      </c>
      <c r="I612" s="13" t="s">
        <v>4049</v>
      </c>
      <c r="J612" s="13" t="s">
        <v>4050</v>
      </c>
      <c r="K612" s="13" t="s">
        <v>2106</v>
      </c>
      <c r="L612" s="13" t="s">
        <v>2107</v>
      </c>
      <c r="M612" s="13" t="n">
        <v>262.31</v>
      </c>
      <c r="N612" s="13" t="n">
        <v>1.15</v>
      </c>
      <c r="O612" s="13" t="n">
        <v>474</v>
      </c>
      <c r="P612" s="13" t="s">
        <v>2108</v>
      </c>
      <c r="Q612" s="13" t="s">
        <v>3459</v>
      </c>
      <c r="R612" s="13" t="s">
        <v>3240</v>
      </c>
      <c r="S612" s="13" t="s">
        <v>3240</v>
      </c>
      <c r="T612" s="13" t="s">
        <v>61</v>
      </c>
      <c r="U612" s="13"/>
    </row>
    <row r="613" customFormat="false" ht="18" hidden="false" customHeight="true" outlineLevel="0" collapsed="false">
      <c r="A613" s="15" t="n">
        <v>612</v>
      </c>
      <c r="B613" s="15" t="s">
        <v>4051</v>
      </c>
      <c r="C613" s="15" t="s">
        <v>159</v>
      </c>
      <c r="D613" s="15" t="s">
        <v>160</v>
      </c>
      <c r="E613" s="15" t="s">
        <v>79</v>
      </c>
      <c r="F613" s="15" t="s">
        <v>127</v>
      </c>
      <c r="G613" s="15" t="s">
        <v>689</v>
      </c>
      <c r="H613" s="15" t="s">
        <v>4052</v>
      </c>
      <c r="I613" s="15" t="s">
        <v>4053</v>
      </c>
      <c r="J613" s="15" t="s">
        <v>4054</v>
      </c>
      <c r="K613" s="15" t="s">
        <v>4055</v>
      </c>
      <c r="L613" s="15" t="s">
        <v>1970</v>
      </c>
      <c r="M613" s="15" t="n">
        <v>1241.73</v>
      </c>
      <c r="N613" s="15" t="n">
        <v>0.43</v>
      </c>
      <c r="O613" s="15" t="n">
        <v>343</v>
      </c>
      <c r="P613" s="15" t="s">
        <v>1971</v>
      </c>
      <c r="Q613" s="15" t="s">
        <v>1851</v>
      </c>
      <c r="R613" s="15" t="s">
        <v>985</v>
      </c>
      <c r="S613" s="15" t="s">
        <v>985</v>
      </c>
      <c r="T613" s="15" t="s">
        <v>61</v>
      </c>
      <c r="U613" s="15" t="s">
        <v>453</v>
      </c>
    </row>
    <row r="614" customFormat="false" ht="18" hidden="false" customHeight="true" outlineLevel="0" collapsed="false">
      <c r="A614" s="13" t="n">
        <v>613</v>
      </c>
      <c r="B614" s="13" t="s">
        <v>4056</v>
      </c>
      <c r="C614" s="13" t="s">
        <v>125</v>
      </c>
      <c r="D614" s="13" t="s">
        <v>126</v>
      </c>
      <c r="E614" s="13" t="s">
        <v>65</v>
      </c>
      <c r="F614" s="13" t="s">
        <v>245</v>
      </c>
      <c r="G614" s="13" t="s">
        <v>274</v>
      </c>
      <c r="H614" s="13" t="s">
        <v>4057</v>
      </c>
      <c r="I614" s="13" t="s">
        <v>4058</v>
      </c>
      <c r="J614" s="13" t="s">
        <v>4059</v>
      </c>
      <c r="K614" s="13" t="s">
        <v>4060</v>
      </c>
      <c r="L614" s="13" t="s">
        <v>4061</v>
      </c>
      <c r="M614" s="13" t="n">
        <v>396.38</v>
      </c>
      <c r="N614" s="13" t="n">
        <v>0.95</v>
      </c>
      <c r="O614" s="13" t="n">
        <v>439</v>
      </c>
      <c r="P614" s="13" t="s">
        <v>4062</v>
      </c>
      <c r="Q614" s="13" t="s">
        <v>4063</v>
      </c>
      <c r="R614" s="13" t="s">
        <v>4064</v>
      </c>
      <c r="S614" s="13" t="s">
        <v>4064</v>
      </c>
      <c r="T614" s="13" t="s">
        <v>61</v>
      </c>
      <c r="U614" s="13"/>
    </row>
    <row r="615" customFormat="false" ht="18" hidden="false" customHeight="true" outlineLevel="0" collapsed="false">
      <c r="A615" s="13" t="n">
        <v>614</v>
      </c>
      <c r="B615" s="13" t="s">
        <v>4065</v>
      </c>
      <c r="C615" s="13" t="s">
        <v>173</v>
      </c>
      <c r="D615" s="13" t="s">
        <v>174</v>
      </c>
      <c r="E615" s="13" t="s">
        <v>65</v>
      </c>
      <c r="F615" s="13" t="s">
        <v>371</v>
      </c>
      <c r="G615" s="13" t="s">
        <v>103</v>
      </c>
      <c r="H615" s="13" t="s">
        <v>4066</v>
      </c>
      <c r="I615" s="13" t="s">
        <v>4067</v>
      </c>
      <c r="J615" s="13" t="s">
        <v>4068</v>
      </c>
      <c r="K615" s="13" t="s">
        <v>2147</v>
      </c>
      <c r="L615" s="13" t="s">
        <v>2148</v>
      </c>
      <c r="M615" s="13" t="n">
        <v>447.16</v>
      </c>
      <c r="N615" s="13" t="n">
        <v>1.14</v>
      </c>
      <c r="O615" s="13" t="n">
        <v>79</v>
      </c>
      <c r="P615" s="13" t="s">
        <v>2149</v>
      </c>
      <c r="Q615" s="13" t="s">
        <v>74</v>
      </c>
      <c r="R615" s="13" t="s">
        <v>399</v>
      </c>
      <c r="S615" s="13" t="s">
        <v>399</v>
      </c>
      <c r="T615" s="13" t="s">
        <v>61</v>
      </c>
      <c r="U615" s="13"/>
    </row>
    <row r="616" customFormat="false" ht="18" hidden="false" customHeight="true" outlineLevel="0" collapsed="false">
      <c r="A616" s="13" t="n">
        <v>615</v>
      </c>
      <c r="B616" s="13" t="s">
        <v>4069</v>
      </c>
      <c r="C616" s="13" t="s">
        <v>255</v>
      </c>
      <c r="D616" s="13" t="s">
        <v>256</v>
      </c>
      <c r="E616" s="13" t="s">
        <v>50</v>
      </c>
      <c r="F616" s="13" t="s">
        <v>138</v>
      </c>
      <c r="G616" s="13" t="s">
        <v>808</v>
      </c>
      <c r="H616" s="13" t="s">
        <v>4070</v>
      </c>
      <c r="I616" s="13" t="s">
        <v>4071</v>
      </c>
      <c r="J616" s="13" t="s">
        <v>4072</v>
      </c>
      <c r="K616" s="13" t="s">
        <v>4073</v>
      </c>
      <c r="L616" s="13" t="s">
        <v>813</v>
      </c>
      <c r="M616" s="13" t="n">
        <v>919.66</v>
      </c>
      <c r="N616" s="13" t="n">
        <v>0.33</v>
      </c>
      <c r="O616" s="13" t="n">
        <v>330</v>
      </c>
      <c r="P616" s="13" t="s">
        <v>814</v>
      </c>
      <c r="Q616" s="13" t="s">
        <v>4074</v>
      </c>
      <c r="R616" s="13" t="s">
        <v>1611</v>
      </c>
      <c r="S616" s="13" t="s">
        <v>1611</v>
      </c>
      <c r="T616" s="13" t="s">
        <v>61</v>
      </c>
      <c r="U616" s="13"/>
    </row>
    <row r="617" customFormat="false" ht="18" hidden="false" customHeight="true" outlineLevel="0" collapsed="false">
      <c r="A617" s="13" t="n">
        <v>616</v>
      </c>
      <c r="B617" s="13" t="s">
        <v>4075</v>
      </c>
      <c r="C617" s="13" t="s">
        <v>63</v>
      </c>
      <c r="D617" s="13" t="s">
        <v>64</v>
      </c>
      <c r="E617" s="13" t="s">
        <v>50</v>
      </c>
      <c r="F617" s="13" t="s">
        <v>127</v>
      </c>
      <c r="G617" s="13" t="s">
        <v>808</v>
      </c>
      <c r="H617" s="13" t="s">
        <v>4076</v>
      </c>
      <c r="I617" s="13" t="s">
        <v>4077</v>
      </c>
      <c r="J617" s="13" t="s">
        <v>4078</v>
      </c>
      <c r="K617" s="13" t="s">
        <v>4079</v>
      </c>
      <c r="L617" s="13" t="s">
        <v>1737</v>
      </c>
      <c r="M617" s="13" t="n">
        <v>1025.81</v>
      </c>
      <c r="N617" s="13" t="n">
        <v>0.67</v>
      </c>
      <c r="O617" s="13" t="n">
        <v>136</v>
      </c>
      <c r="P617" s="13" t="s">
        <v>1738</v>
      </c>
      <c r="Q617" s="13" t="s">
        <v>4080</v>
      </c>
      <c r="R617" s="13" t="s">
        <v>3734</v>
      </c>
      <c r="S617" s="13" t="s">
        <v>3734</v>
      </c>
      <c r="T617" s="13" t="s">
        <v>61</v>
      </c>
      <c r="U617" s="13"/>
    </row>
    <row r="618" customFormat="false" ht="18" hidden="false" customHeight="true" outlineLevel="0" collapsed="false">
      <c r="A618" s="15" t="n">
        <v>617</v>
      </c>
      <c r="B618" s="15" t="s">
        <v>4081</v>
      </c>
      <c r="C618" s="15" t="s">
        <v>255</v>
      </c>
      <c r="D618" s="15" t="s">
        <v>256</v>
      </c>
      <c r="E618" s="15" t="s">
        <v>79</v>
      </c>
      <c r="F618" s="15" t="s">
        <v>1531</v>
      </c>
      <c r="G618" s="15" t="s">
        <v>514</v>
      </c>
      <c r="H618" s="15" t="s">
        <v>4082</v>
      </c>
      <c r="I618" s="15" t="s">
        <v>4083</v>
      </c>
      <c r="J618" s="15" t="s">
        <v>4084</v>
      </c>
      <c r="K618" s="15" t="s">
        <v>4085</v>
      </c>
      <c r="L618" s="15" t="s">
        <v>2383</v>
      </c>
      <c r="M618" s="15" t="n">
        <v>524.54</v>
      </c>
      <c r="N618" s="15" t="n">
        <v>2.22</v>
      </c>
      <c r="O618" s="15" t="n">
        <v>185</v>
      </c>
      <c r="P618" s="15" t="s">
        <v>2384</v>
      </c>
      <c r="Q618" s="15" t="s">
        <v>2135</v>
      </c>
      <c r="R618" s="15" t="s">
        <v>3708</v>
      </c>
      <c r="S618" s="15" t="s">
        <v>3708</v>
      </c>
      <c r="T618" s="15" t="s">
        <v>61</v>
      </c>
      <c r="U618" s="15" t="s">
        <v>283</v>
      </c>
    </row>
    <row r="619" customFormat="false" ht="18" hidden="false" customHeight="true" outlineLevel="0" collapsed="false">
      <c r="A619" s="13" t="n">
        <v>618</v>
      </c>
      <c r="B619" s="13" t="s">
        <v>4086</v>
      </c>
      <c r="C619" s="13" t="s">
        <v>77</v>
      </c>
      <c r="D619" s="13" t="s">
        <v>78</v>
      </c>
      <c r="E619" s="13" t="s">
        <v>91</v>
      </c>
      <c r="F619" s="13" t="s">
        <v>780</v>
      </c>
      <c r="G619" s="13" t="s">
        <v>186</v>
      </c>
      <c r="H619" s="13" t="s">
        <v>4087</v>
      </c>
      <c r="I619" s="13" t="s">
        <v>4088</v>
      </c>
      <c r="J619" s="13" t="s">
        <v>4089</v>
      </c>
      <c r="K619" s="13" t="s">
        <v>4090</v>
      </c>
      <c r="L619" s="13" t="s">
        <v>1163</v>
      </c>
      <c r="M619" s="13" t="n">
        <v>2886.39</v>
      </c>
      <c r="N619" s="13" t="n">
        <v>45.75</v>
      </c>
      <c r="O619" s="13" t="n">
        <v>382</v>
      </c>
      <c r="P619" s="13" t="s">
        <v>1164</v>
      </c>
      <c r="Q619" s="13" t="s">
        <v>1105</v>
      </c>
      <c r="R619" s="13" t="s">
        <v>2899</v>
      </c>
      <c r="S619" s="13" t="s">
        <v>2899</v>
      </c>
      <c r="T619" s="13" t="s">
        <v>61</v>
      </c>
      <c r="U619" s="13"/>
    </row>
    <row r="620" customFormat="false" ht="18" hidden="false" customHeight="true" outlineLevel="0" collapsed="false">
      <c r="A620" s="13" t="n">
        <v>619</v>
      </c>
      <c r="B620" s="13" t="s">
        <v>4091</v>
      </c>
      <c r="C620" s="13" t="s">
        <v>255</v>
      </c>
      <c r="D620" s="13" t="s">
        <v>256</v>
      </c>
      <c r="E620" s="13" t="s">
        <v>65</v>
      </c>
      <c r="F620" s="13" t="s">
        <v>66</v>
      </c>
      <c r="G620" s="13" t="s">
        <v>274</v>
      </c>
      <c r="H620" s="13" t="s">
        <v>4092</v>
      </c>
      <c r="I620" s="13" t="s">
        <v>4093</v>
      </c>
      <c r="J620" s="13" t="s">
        <v>4094</v>
      </c>
      <c r="K620" s="13" t="s">
        <v>1696</v>
      </c>
      <c r="L620" s="13" t="s">
        <v>1697</v>
      </c>
      <c r="M620" s="13" t="n">
        <v>259.61</v>
      </c>
      <c r="N620" s="13" t="n">
        <v>0.59</v>
      </c>
      <c r="O620" s="13" t="n">
        <v>279</v>
      </c>
      <c r="P620" s="13" t="s">
        <v>1698</v>
      </c>
      <c r="Q620" s="13" t="s">
        <v>1660</v>
      </c>
      <c r="R620" s="13" t="s">
        <v>2151</v>
      </c>
      <c r="S620" s="13" t="s">
        <v>2151</v>
      </c>
      <c r="T620" s="13" t="s">
        <v>61</v>
      </c>
      <c r="U620" s="13"/>
    </row>
    <row r="621" customFormat="false" ht="18" hidden="false" customHeight="true" outlineLevel="0" collapsed="false">
      <c r="A621" s="15" t="n">
        <v>620</v>
      </c>
      <c r="B621" s="15" t="s">
        <v>4095</v>
      </c>
      <c r="C621" s="15" t="s">
        <v>77</v>
      </c>
      <c r="D621" s="15" t="s">
        <v>78</v>
      </c>
      <c r="E621" s="15" t="s">
        <v>79</v>
      </c>
      <c r="F621" s="15" t="s">
        <v>1531</v>
      </c>
      <c r="G621" s="15" t="s">
        <v>562</v>
      </c>
      <c r="H621" s="15" t="s">
        <v>4096</v>
      </c>
      <c r="I621" s="15" t="s">
        <v>4097</v>
      </c>
      <c r="J621" s="15" t="s">
        <v>4098</v>
      </c>
      <c r="K621" s="15" t="s">
        <v>4099</v>
      </c>
      <c r="L621" s="15" t="s">
        <v>3280</v>
      </c>
      <c r="M621" s="15" t="n">
        <v>393.78</v>
      </c>
      <c r="N621" s="15" t="n">
        <v>2.36</v>
      </c>
      <c r="O621" s="15" t="n">
        <v>274</v>
      </c>
      <c r="P621" s="15" t="s">
        <v>3281</v>
      </c>
      <c r="Q621" s="15" t="s">
        <v>3620</v>
      </c>
      <c r="R621" s="15" t="s">
        <v>4100</v>
      </c>
      <c r="S621" s="15" t="s">
        <v>4100</v>
      </c>
      <c r="T621" s="15" t="s">
        <v>61</v>
      </c>
      <c r="U621" s="15" t="s">
        <v>283</v>
      </c>
    </row>
    <row r="622" customFormat="false" ht="18" hidden="false" customHeight="true" outlineLevel="0" collapsed="false">
      <c r="A622" s="15" t="n">
        <v>621</v>
      </c>
      <c r="B622" s="15" t="s">
        <v>4101</v>
      </c>
      <c r="C622" s="15" t="s">
        <v>48</v>
      </c>
      <c r="D622" s="15" t="s">
        <v>49</v>
      </c>
      <c r="E622" s="15" t="s">
        <v>91</v>
      </c>
      <c r="F622" s="15" t="s">
        <v>185</v>
      </c>
      <c r="G622" s="15" t="s">
        <v>533</v>
      </c>
      <c r="H622" s="15" t="s">
        <v>4102</v>
      </c>
      <c r="I622" s="15" t="s">
        <v>4103</v>
      </c>
      <c r="J622" s="15" t="s">
        <v>4104</v>
      </c>
      <c r="K622" s="15" t="s">
        <v>4105</v>
      </c>
      <c r="L622" s="15" t="s">
        <v>1617</v>
      </c>
      <c r="M622" s="15" t="n">
        <v>13570.8</v>
      </c>
      <c r="N622" s="15" t="n">
        <v>40.34</v>
      </c>
      <c r="O622" s="15" t="n">
        <v>389</v>
      </c>
      <c r="P622" s="15" t="s">
        <v>1618</v>
      </c>
      <c r="Q622" s="15" t="s">
        <v>1351</v>
      </c>
      <c r="R622" s="15" t="s">
        <v>4106</v>
      </c>
      <c r="S622" s="15" t="s">
        <v>4106</v>
      </c>
      <c r="T622" s="15" t="s">
        <v>61</v>
      </c>
      <c r="U622" s="15" t="s">
        <v>343</v>
      </c>
    </row>
    <row r="623" customFormat="false" ht="18" hidden="false" customHeight="true" outlineLevel="0" collapsed="false">
      <c r="A623" s="13" t="n">
        <v>622</v>
      </c>
      <c r="B623" s="13" t="s">
        <v>4107</v>
      </c>
      <c r="C623" s="13" t="s">
        <v>63</v>
      </c>
      <c r="D623" s="13" t="s">
        <v>64</v>
      </c>
      <c r="E623" s="13" t="s">
        <v>65</v>
      </c>
      <c r="F623" s="13" t="s">
        <v>371</v>
      </c>
      <c r="G623" s="13" t="s">
        <v>724</v>
      </c>
      <c r="H623" s="13" t="s">
        <v>4108</v>
      </c>
      <c r="I623" s="13" t="s">
        <v>4109</v>
      </c>
      <c r="J623" s="13" t="s">
        <v>4110</v>
      </c>
      <c r="K623" s="13" t="s">
        <v>1153</v>
      </c>
      <c r="L623" s="13" t="s">
        <v>1154</v>
      </c>
      <c r="M623" s="13" t="n">
        <v>345.69</v>
      </c>
      <c r="N623" s="13" t="n">
        <v>1.47</v>
      </c>
      <c r="O623" s="13" t="n">
        <v>298</v>
      </c>
      <c r="P623" s="13" t="s">
        <v>1155</v>
      </c>
      <c r="Q623" s="13" t="s">
        <v>2371</v>
      </c>
      <c r="R623" s="13" t="s">
        <v>2189</v>
      </c>
      <c r="S623" s="13" t="s">
        <v>2189</v>
      </c>
      <c r="T623" s="13" t="s">
        <v>61</v>
      </c>
      <c r="U623" s="13"/>
    </row>
    <row r="624" customFormat="false" ht="18" hidden="false" customHeight="true" outlineLevel="0" collapsed="false">
      <c r="A624" s="14" t="n">
        <v>623</v>
      </c>
      <c r="B624" s="14" t="s">
        <v>4111</v>
      </c>
      <c r="C624" s="14" t="s">
        <v>63</v>
      </c>
      <c r="D624" s="14" t="s">
        <v>64</v>
      </c>
      <c r="E624" s="14" t="s">
        <v>161</v>
      </c>
      <c r="F624" s="14" t="s">
        <v>295</v>
      </c>
      <c r="G624" s="14" t="s">
        <v>285</v>
      </c>
      <c r="H624" s="14" t="s">
        <v>4112</v>
      </c>
      <c r="I624" s="14"/>
      <c r="J624" s="14" t="s">
        <v>4113</v>
      </c>
      <c r="K624" s="14" t="s">
        <v>1566</v>
      </c>
      <c r="L624" s="14" t="s">
        <v>1567</v>
      </c>
      <c r="M624" s="14" t="n">
        <v>281.46</v>
      </c>
      <c r="N624" s="14" t="n">
        <v>0.25</v>
      </c>
      <c r="O624" s="14" t="n">
        <v>325</v>
      </c>
      <c r="P624" s="14" t="s">
        <v>1568</v>
      </c>
      <c r="Q624" s="14" t="s">
        <v>3254</v>
      </c>
      <c r="R624" s="14" t="s">
        <v>4114</v>
      </c>
      <c r="S624" s="14" t="s">
        <v>4114</v>
      </c>
      <c r="T624" s="14" t="s">
        <v>61</v>
      </c>
      <c r="U624" s="14" t="s">
        <v>272</v>
      </c>
    </row>
    <row r="625" customFormat="false" ht="18" hidden="false" customHeight="true" outlineLevel="0" collapsed="false">
      <c r="A625" s="13" t="n">
        <v>624</v>
      </c>
      <c r="B625" s="13" t="s">
        <v>4115</v>
      </c>
      <c r="C625" s="13" t="s">
        <v>77</v>
      </c>
      <c r="D625" s="13" t="s">
        <v>78</v>
      </c>
      <c r="E625" s="13" t="s">
        <v>65</v>
      </c>
      <c r="F625" s="13" t="s">
        <v>438</v>
      </c>
      <c r="G625" s="13" t="s">
        <v>391</v>
      </c>
      <c r="H625" s="13" t="s">
        <v>4116</v>
      </c>
      <c r="I625" s="13" t="s">
        <v>4117</v>
      </c>
      <c r="J625" s="13" t="s">
        <v>4118</v>
      </c>
      <c r="K625" s="13" t="s">
        <v>2046</v>
      </c>
      <c r="L625" s="13" t="s">
        <v>2047</v>
      </c>
      <c r="M625" s="13" t="n">
        <v>155.52</v>
      </c>
      <c r="N625" s="13" t="n">
        <v>1.27</v>
      </c>
      <c r="O625" s="13" t="n">
        <v>150</v>
      </c>
      <c r="P625" s="13" t="s">
        <v>2048</v>
      </c>
      <c r="Q625" s="13" t="s">
        <v>2117</v>
      </c>
      <c r="R625" s="13" t="s">
        <v>1867</v>
      </c>
      <c r="S625" s="13" t="s">
        <v>1867</v>
      </c>
      <c r="T625" s="13" t="s">
        <v>61</v>
      </c>
      <c r="U625" s="13"/>
    </row>
    <row r="626" customFormat="false" ht="18" hidden="false" customHeight="true" outlineLevel="0" collapsed="false">
      <c r="A626" s="13" t="n">
        <v>625</v>
      </c>
      <c r="B626" s="13" t="s">
        <v>4119</v>
      </c>
      <c r="C626" s="13" t="s">
        <v>63</v>
      </c>
      <c r="D626" s="13" t="s">
        <v>64</v>
      </c>
      <c r="E626" s="13" t="s">
        <v>161</v>
      </c>
      <c r="F626" s="13" t="s">
        <v>162</v>
      </c>
      <c r="G626" s="13" t="s">
        <v>163</v>
      </c>
      <c r="H626" s="13" t="s">
        <v>4120</v>
      </c>
      <c r="I626" s="13" t="s">
        <v>4121</v>
      </c>
      <c r="J626" s="13" t="s">
        <v>4122</v>
      </c>
      <c r="K626" s="13" t="s">
        <v>4123</v>
      </c>
      <c r="L626" s="13" t="s">
        <v>168</v>
      </c>
      <c r="M626" s="13" t="n">
        <v>182.81</v>
      </c>
      <c r="N626" s="13" t="n">
        <v>0.4</v>
      </c>
      <c r="O626" s="13" t="n">
        <v>259</v>
      </c>
      <c r="P626" s="13" t="s">
        <v>169</v>
      </c>
      <c r="Q626" s="13" t="s">
        <v>2705</v>
      </c>
      <c r="R626" s="13" t="s">
        <v>1906</v>
      </c>
      <c r="S626" s="13" t="s">
        <v>1906</v>
      </c>
      <c r="T626" s="13" t="s">
        <v>61</v>
      </c>
      <c r="U626" s="13"/>
    </row>
    <row r="627" customFormat="false" ht="18" hidden="false" customHeight="true" outlineLevel="0" collapsed="false">
      <c r="A627" s="16" t="n">
        <v>626</v>
      </c>
      <c r="B627" s="16" t="s">
        <v>4124</v>
      </c>
      <c r="C627" s="16" t="s">
        <v>113</v>
      </c>
      <c r="D627" s="16" t="s">
        <v>114</v>
      </c>
      <c r="E627" s="16" t="s">
        <v>50</v>
      </c>
      <c r="F627" s="16" t="s">
        <v>503</v>
      </c>
      <c r="G627" s="16" t="s">
        <v>352</v>
      </c>
      <c r="H627" s="16" t="s">
        <v>4125</v>
      </c>
      <c r="I627" s="16" t="s">
        <v>4126</v>
      </c>
      <c r="J627" s="16" t="s">
        <v>4127</v>
      </c>
      <c r="K627" s="16" t="s">
        <v>2069</v>
      </c>
      <c r="L627" s="16" t="s">
        <v>508</v>
      </c>
      <c r="M627" s="16" t="n">
        <v>294.16</v>
      </c>
      <c r="N627" s="16" t="n">
        <v>0.44</v>
      </c>
      <c r="O627" s="16" t="n">
        <v>0</v>
      </c>
      <c r="P627" s="16" t="s">
        <v>509</v>
      </c>
      <c r="Q627" s="16" t="s">
        <v>4128</v>
      </c>
      <c r="R627" s="16" t="s">
        <v>4129</v>
      </c>
      <c r="S627" s="16" t="s">
        <v>4130</v>
      </c>
      <c r="T627" s="16" t="s">
        <v>61</v>
      </c>
      <c r="U627" s="16" t="s">
        <v>325</v>
      </c>
    </row>
    <row r="628" customFormat="false" ht="18" hidden="false" customHeight="true" outlineLevel="0" collapsed="false">
      <c r="A628" s="13" t="n">
        <v>627</v>
      </c>
      <c r="B628" s="13" t="s">
        <v>4131</v>
      </c>
      <c r="C628" s="13" t="s">
        <v>173</v>
      </c>
      <c r="D628" s="13" t="s">
        <v>174</v>
      </c>
      <c r="E628" s="13" t="s">
        <v>161</v>
      </c>
      <c r="F628" s="13" t="s">
        <v>429</v>
      </c>
      <c r="G628" s="13" t="s">
        <v>207</v>
      </c>
      <c r="H628" s="13" t="s">
        <v>4132</v>
      </c>
      <c r="I628" s="13" t="s">
        <v>4133</v>
      </c>
      <c r="J628" s="13" t="s">
        <v>4134</v>
      </c>
      <c r="K628" s="13" t="s">
        <v>4135</v>
      </c>
      <c r="L628" s="13" t="s">
        <v>434</v>
      </c>
      <c r="M628" s="13" t="n">
        <v>96.94</v>
      </c>
      <c r="N628" s="13" t="n">
        <v>0.44</v>
      </c>
      <c r="O628" s="13" t="n">
        <v>319</v>
      </c>
      <c r="P628" s="13" t="s">
        <v>435</v>
      </c>
      <c r="Q628" s="13" t="s">
        <v>4136</v>
      </c>
      <c r="R628" s="13" t="s">
        <v>4137</v>
      </c>
      <c r="S628" s="13" t="s">
        <v>4137</v>
      </c>
      <c r="T628" s="13" t="s">
        <v>61</v>
      </c>
      <c r="U628" s="13"/>
    </row>
    <row r="629" customFormat="false" ht="18" hidden="false" customHeight="true" outlineLevel="0" collapsed="false">
      <c r="A629" s="13" t="n">
        <v>628</v>
      </c>
      <c r="B629" s="13" t="s">
        <v>4138</v>
      </c>
      <c r="C629" s="13" t="s">
        <v>113</v>
      </c>
      <c r="D629" s="13" t="s">
        <v>114</v>
      </c>
      <c r="E629" s="13" t="s">
        <v>161</v>
      </c>
      <c r="F629" s="13" t="s">
        <v>306</v>
      </c>
      <c r="G629" s="13" t="s">
        <v>257</v>
      </c>
      <c r="H629" s="13" t="s">
        <v>4139</v>
      </c>
      <c r="I629" s="13" t="s">
        <v>4140</v>
      </c>
      <c r="J629" s="13" t="s">
        <v>4141</v>
      </c>
      <c r="K629" s="13" t="s">
        <v>2767</v>
      </c>
      <c r="L629" s="13" t="s">
        <v>320</v>
      </c>
      <c r="M629" s="13" t="n">
        <v>110.69</v>
      </c>
      <c r="N629" s="13" t="n">
        <v>0.23</v>
      </c>
      <c r="O629" s="13" t="n">
        <v>105</v>
      </c>
      <c r="P629" s="13" t="s">
        <v>321</v>
      </c>
      <c r="Q629" s="13" t="s">
        <v>2725</v>
      </c>
      <c r="R629" s="13" t="s">
        <v>1957</v>
      </c>
      <c r="S629" s="13" t="s">
        <v>1957</v>
      </c>
      <c r="T629" s="13" t="s">
        <v>61</v>
      </c>
      <c r="U629" s="13"/>
    </row>
    <row r="630" customFormat="false" ht="18" hidden="false" customHeight="true" outlineLevel="0" collapsed="false">
      <c r="A630" s="13" t="n">
        <v>629</v>
      </c>
      <c r="B630" s="13" t="s">
        <v>4142</v>
      </c>
      <c r="C630" s="13" t="s">
        <v>48</v>
      </c>
      <c r="D630" s="13" t="s">
        <v>49</v>
      </c>
      <c r="E630" s="13" t="s">
        <v>91</v>
      </c>
      <c r="F630" s="13" t="s">
        <v>138</v>
      </c>
      <c r="G630" s="13" t="s">
        <v>533</v>
      </c>
      <c r="H630" s="13" t="s">
        <v>4143</v>
      </c>
      <c r="I630" s="13" t="s">
        <v>4144</v>
      </c>
      <c r="J630" s="13" t="s">
        <v>4145</v>
      </c>
      <c r="K630" s="13" t="s">
        <v>4146</v>
      </c>
      <c r="L630" s="13" t="s">
        <v>538</v>
      </c>
      <c r="M630" s="13" t="n">
        <v>1185.01</v>
      </c>
      <c r="N630" s="13" t="n">
        <v>39.4</v>
      </c>
      <c r="O630" s="13" t="n">
        <v>393</v>
      </c>
      <c r="P630" s="13" t="s">
        <v>539</v>
      </c>
      <c r="Q630" s="13" t="s">
        <v>4147</v>
      </c>
      <c r="R630" s="13" t="s">
        <v>2127</v>
      </c>
      <c r="S630" s="13" t="s">
        <v>2127</v>
      </c>
      <c r="T630" s="13" t="s">
        <v>61</v>
      </c>
      <c r="U630" s="13"/>
    </row>
    <row r="631" customFormat="false" ht="18" hidden="false" customHeight="true" outlineLevel="0" collapsed="false">
      <c r="A631" s="13" t="n">
        <v>630</v>
      </c>
      <c r="B631" s="13" t="s">
        <v>4148</v>
      </c>
      <c r="C631" s="13" t="s">
        <v>77</v>
      </c>
      <c r="D631" s="13" t="s">
        <v>78</v>
      </c>
      <c r="E631" s="13" t="s">
        <v>50</v>
      </c>
      <c r="F631" s="13" t="s">
        <v>138</v>
      </c>
      <c r="G631" s="13" t="s">
        <v>689</v>
      </c>
      <c r="H631" s="13" t="s">
        <v>4149</v>
      </c>
      <c r="I631" s="13" t="s">
        <v>4150</v>
      </c>
      <c r="J631" s="13" t="s">
        <v>4151</v>
      </c>
      <c r="K631" s="13" t="s">
        <v>3584</v>
      </c>
      <c r="L631" s="13" t="s">
        <v>2990</v>
      </c>
      <c r="M631" s="13" t="n">
        <v>883.85</v>
      </c>
      <c r="N631" s="13" t="n">
        <v>0.48</v>
      </c>
      <c r="O631" s="13" t="n">
        <v>87</v>
      </c>
      <c r="P631" s="13" t="s">
        <v>2991</v>
      </c>
      <c r="Q631" s="13" t="s">
        <v>880</v>
      </c>
      <c r="R631" s="13" t="s">
        <v>1450</v>
      </c>
      <c r="S631" s="13" t="s">
        <v>1450</v>
      </c>
      <c r="T631" s="13" t="s">
        <v>61</v>
      </c>
      <c r="U631" s="13"/>
    </row>
    <row r="632" customFormat="false" ht="18" hidden="false" customHeight="true" outlineLevel="0" collapsed="false">
      <c r="A632" s="13" t="n">
        <v>631</v>
      </c>
      <c r="B632" s="13" t="s">
        <v>4152</v>
      </c>
      <c r="C632" s="13" t="s">
        <v>113</v>
      </c>
      <c r="D632" s="13" t="s">
        <v>114</v>
      </c>
      <c r="E632" s="13" t="s">
        <v>91</v>
      </c>
      <c r="F632" s="13" t="s">
        <v>419</v>
      </c>
      <c r="G632" s="13" t="s">
        <v>420</v>
      </c>
      <c r="H632" s="13" t="s">
        <v>4153</v>
      </c>
      <c r="I632" s="13" t="s">
        <v>4154</v>
      </c>
      <c r="J632" s="13" t="s">
        <v>4155</v>
      </c>
      <c r="K632" s="13" t="s">
        <v>4156</v>
      </c>
      <c r="L632" s="13" t="s">
        <v>425</v>
      </c>
      <c r="M632" s="13" t="n">
        <v>1592.13</v>
      </c>
      <c r="N632" s="13" t="n">
        <v>13.93</v>
      </c>
      <c r="O632" s="13" t="n">
        <v>460</v>
      </c>
      <c r="P632" s="13" t="s">
        <v>426</v>
      </c>
      <c r="Q632" s="13" t="s">
        <v>331</v>
      </c>
      <c r="R632" s="13" t="s">
        <v>1899</v>
      </c>
      <c r="S632" s="13" t="s">
        <v>1899</v>
      </c>
      <c r="T632" s="13" t="s">
        <v>61</v>
      </c>
      <c r="U632" s="13"/>
    </row>
    <row r="633" customFormat="false" ht="18" hidden="false" customHeight="true" outlineLevel="0" collapsed="false">
      <c r="A633" s="13" t="n">
        <v>632</v>
      </c>
      <c r="B633" s="13" t="s">
        <v>4157</v>
      </c>
      <c r="C633" s="13" t="s">
        <v>63</v>
      </c>
      <c r="D633" s="13" t="s">
        <v>64</v>
      </c>
      <c r="E633" s="13" t="s">
        <v>91</v>
      </c>
      <c r="F633" s="13" t="s">
        <v>185</v>
      </c>
      <c r="G633" s="13" t="s">
        <v>93</v>
      </c>
      <c r="H633" s="13" t="s">
        <v>4158</v>
      </c>
      <c r="I633" s="13" t="s">
        <v>4159</v>
      </c>
      <c r="J633" s="13" t="s">
        <v>4160</v>
      </c>
      <c r="K633" s="13" t="s">
        <v>2645</v>
      </c>
      <c r="L633" s="13" t="s">
        <v>528</v>
      </c>
      <c r="M633" s="13" t="n">
        <v>1649.97</v>
      </c>
      <c r="N633" s="13" t="n">
        <v>49.44</v>
      </c>
      <c r="O633" s="13" t="n">
        <v>202</v>
      </c>
      <c r="P633" s="13" t="s">
        <v>529</v>
      </c>
      <c r="Q633" s="13" t="s">
        <v>4161</v>
      </c>
      <c r="R633" s="13" t="s">
        <v>1845</v>
      </c>
      <c r="S633" s="13" t="s">
        <v>1845</v>
      </c>
      <c r="T633" s="13" t="s">
        <v>61</v>
      </c>
      <c r="U633" s="13"/>
    </row>
    <row r="634" customFormat="false" ht="18" hidden="false" customHeight="true" outlineLevel="0" collapsed="false">
      <c r="A634" s="13" t="n">
        <v>633</v>
      </c>
      <c r="B634" s="13" t="s">
        <v>4162</v>
      </c>
      <c r="C634" s="13" t="s">
        <v>63</v>
      </c>
      <c r="D634" s="13" t="s">
        <v>64</v>
      </c>
      <c r="E634" s="13" t="s">
        <v>161</v>
      </c>
      <c r="F634" s="13" t="s">
        <v>822</v>
      </c>
      <c r="G634" s="13" t="s">
        <v>207</v>
      </c>
      <c r="H634" s="13" t="s">
        <v>4163</v>
      </c>
      <c r="I634" s="13" t="s">
        <v>4164</v>
      </c>
      <c r="J634" s="13" t="s">
        <v>4165</v>
      </c>
      <c r="K634" s="13" t="s">
        <v>4166</v>
      </c>
      <c r="L634" s="13" t="s">
        <v>1489</v>
      </c>
      <c r="M634" s="13" t="n">
        <v>90.29</v>
      </c>
      <c r="N634" s="13" t="n">
        <v>0.28</v>
      </c>
      <c r="O634" s="13" t="n">
        <v>93</v>
      </c>
      <c r="P634" s="13" t="s">
        <v>1490</v>
      </c>
      <c r="Q634" s="13" t="s">
        <v>2427</v>
      </c>
      <c r="R634" s="13" t="s">
        <v>806</v>
      </c>
      <c r="S634" s="13" t="s">
        <v>806</v>
      </c>
      <c r="T634" s="13" t="s">
        <v>61</v>
      </c>
      <c r="U634" s="13"/>
    </row>
    <row r="635" customFormat="false" ht="18" hidden="false" customHeight="true" outlineLevel="0" collapsed="false">
      <c r="A635" s="13" t="n">
        <v>634</v>
      </c>
      <c r="B635" s="13" t="s">
        <v>4167</v>
      </c>
      <c r="C635" s="13" t="s">
        <v>48</v>
      </c>
      <c r="D635" s="13" t="s">
        <v>49</v>
      </c>
      <c r="E635" s="13" t="s">
        <v>161</v>
      </c>
      <c r="F635" s="13" t="s">
        <v>306</v>
      </c>
      <c r="G635" s="13" t="s">
        <v>175</v>
      </c>
      <c r="H635" s="13" t="s">
        <v>4168</v>
      </c>
      <c r="I635" s="13" t="s">
        <v>4169</v>
      </c>
      <c r="J635" s="13" t="s">
        <v>4170</v>
      </c>
      <c r="K635" s="13" t="s">
        <v>4171</v>
      </c>
      <c r="L635" s="13" t="s">
        <v>633</v>
      </c>
      <c r="M635" s="13" t="n">
        <v>33.51</v>
      </c>
      <c r="N635" s="13" t="n">
        <v>0.42</v>
      </c>
      <c r="O635" s="13" t="n">
        <v>27</v>
      </c>
      <c r="P635" s="13" t="s">
        <v>634</v>
      </c>
      <c r="Q635" s="13" t="s">
        <v>1020</v>
      </c>
      <c r="R635" s="13" t="s">
        <v>123</v>
      </c>
      <c r="S635" s="13" t="s">
        <v>123</v>
      </c>
      <c r="T635" s="13" t="s">
        <v>61</v>
      </c>
      <c r="U635" s="13"/>
    </row>
    <row r="636" customFormat="false" ht="18" hidden="false" customHeight="true" outlineLevel="0" collapsed="false">
      <c r="A636" s="13" t="n">
        <v>635</v>
      </c>
      <c r="B636" s="13" t="s">
        <v>4172</v>
      </c>
      <c r="C636" s="13" t="s">
        <v>48</v>
      </c>
      <c r="D636" s="13" t="s">
        <v>49</v>
      </c>
      <c r="E636" s="13" t="s">
        <v>79</v>
      </c>
      <c r="F636" s="13" t="s">
        <v>956</v>
      </c>
      <c r="G636" s="13" t="s">
        <v>760</v>
      </c>
      <c r="H636" s="13" t="s">
        <v>4173</v>
      </c>
      <c r="I636" s="13" t="s">
        <v>4174</v>
      </c>
      <c r="J636" s="13" t="s">
        <v>4175</v>
      </c>
      <c r="K636" s="13" t="s">
        <v>4176</v>
      </c>
      <c r="L636" s="13" t="s">
        <v>961</v>
      </c>
      <c r="M636" s="13" t="n">
        <v>1692.42</v>
      </c>
      <c r="N636" s="13" t="n">
        <v>2.67</v>
      </c>
      <c r="O636" s="13" t="n">
        <v>396</v>
      </c>
      <c r="P636" s="13" t="s">
        <v>962</v>
      </c>
      <c r="Q636" s="13" t="s">
        <v>2157</v>
      </c>
      <c r="R636" s="13" t="s">
        <v>722</v>
      </c>
      <c r="S636" s="13" t="s">
        <v>722</v>
      </c>
      <c r="T636" s="13" t="s">
        <v>61</v>
      </c>
      <c r="U636" s="13"/>
    </row>
    <row r="637" customFormat="false" ht="18" hidden="false" customHeight="true" outlineLevel="0" collapsed="false">
      <c r="A637" s="13" t="n">
        <v>636</v>
      </c>
      <c r="B637" s="13" t="s">
        <v>4177</v>
      </c>
      <c r="C637" s="13" t="s">
        <v>48</v>
      </c>
      <c r="D637" s="13" t="s">
        <v>49</v>
      </c>
      <c r="E637" s="13" t="s">
        <v>65</v>
      </c>
      <c r="F637" s="13" t="s">
        <v>371</v>
      </c>
      <c r="G637" s="13" t="s">
        <v>391</v>
      </c>
      <c r="H637" s="13" t="s">
        <v>4178</v>
      </c>
      <c r="I637" s="13" t="s">
        <v>4179</v>
      </c>
      <c r="J637" s="13" t="s">
        <v>4180</v>
      </c>
      <c r="K637" s="13" t="s">
        <v>2106</v>
      </c>
      <c r="L637" s="13" t="s">
        <v>2107</v>
      </c>
      <c r="M637" s="13" t="n">
        <v>221.77</v>
      </c>
      <c r="N637" s="13" t="n">
        <v>0.21</v>
      </c>
      <c r="O637" s="13" t="n">
        <v>307</v>
      </c>
      <c r="P637" s="13" t="s">
        <v>2108</v>
      </c>
      <c r="Q637" s="13" t="s">
        <v>686</v>
      </c>
      <c r="R637" s="13" t="s">
        <v>1652</v>
      </c>
      <c r="S637" s="13" t="s">
        <v>1652</v>
      </c>
      <c r="T637" s="13" t="s">
        <v>61</v>
      </c>
      <c r="U637" s="13"/>
    </row>
    <row r="638" customFormat="false" ht="18" hidden="false" customHeight="true" outlineLevel="0" collapsed="false">
      <c r="A638" s="13" t="n">
        <v>637</v>
      </c>
      <c r="B638" s="13" t="s">
        <v>4181</v>
      </c>
      <c r="C638" s="13" t="s">
        <v>77</v>
      </c>
      <c r="D638" s="13" t="s">
        <v>78</v>
      </c>
      <c r="E638" s="13" t="s">
        <v>65</v>
      </c>
      <c r="F638" s="13" t="s">
        <v>66</v>
      </c>
      <c r="G638" s="13" t="s">
        <v>149</v>
      </c>
      <c r="H638" s="13" t="s">
        <v>4182</v>
      </c>
      <c r="I638" s="13" t="s">
        <v>4183</v>
      </c>
      <c r="J638" s="13" t="s">
        <v>4184</v>
      </c>
      <c r="K638" s="13" t="s">
        <v>1175</v>
      </c>
      <c r="L638" s="13" t="s">
        <v>1176</v>
      </c>
      <c r="M638" s="13" t="n">
        <v>390.41</v>
      </c>
      <c r="N638" s="13" t="n">
        <v>1.02</v>
      </c>
      <c r="O638" s="13" t="n">
        <v>181</v>
      </c>
      <c r="P638" s="13" t="s">
        <v>1177</v>
      </c>
      <c r="Q638" s="13" t="s">
        <v>2720</v>
      </c>
      <c r="R638" s="13" t="s">
        <v>1026</v>
      </c>
      <c r="S638" s="13" t="s">
        <v>1026</v>
      </c>
      <c r="T638" s="13" t="s">
        <v>61</v>
      </c>
      <c r="U638" s="13"/>
    </row>
    <row r="639" customFormat="false" ht="18" hidden="false" customHeight="true" outlineLevel="0" collapsed="false">
      <c r="A639" s="16" t="n">
        <v>638</v>
      </c>
      <c r="B639" s="16" t="s">
        <v>4185</v>
      </c>
      <c r="C639" s="16" t="s">
        <v>159</v>
      </c>
      <c r="D639" s="16" t="s">
        <v>160</v>
      </c>
      <c r="E639" s="16" t="s">
        <v>79</v>
      </c>
      <c r="F639" s="16" t="s">
        <v>127</v>
      </c>
      <c r="G639" s="16" t="s">
        <v>80</v>
      </c>
      <c r="H639" s="16" t="s">
        <v>4186</v>
      </c>
      <c r="I639" s="16" t="s">
        <v>4187</v>
      </c>
      <c r="J639" s="16" t="s">
        <v>4188</v>
      </c>
      <c r="K639" s="16" t="s">
        <v>4189</v>
      </c>
      <c r="L639" s="16" t="s">
        <v>1138</v>
      </c>
      <c r="M639" s="16" t="n">
        <v>798.44</v>
      </c>
      <c r="N639" s="16" t="n">
        <v>2.68</v>
      </c>
      <c r="O639" s="16" t="n">
        <v>0</v>
      </c>
      <c r="P639" s="16" t="s">
        <v>1139</v>
      </c>
      <c r="Q639" s="16" t="s">
        <v>4190</v>
      </c>
      <c r="R639" s="16" t="s">
        <v>611</v>
      </c>
      <c r="S639" s="16" t="s">
        <v>4191</v>
      </c>
      <c r="T639" s="16" t="s">
        <v>61</v>
      </c>
      <c r="U639" s="16" t="s">
        <v>325</v>
      </c>
    </row>
    <row r="640" customFormat="false" ht="18" hidden="false" customHeight="true" outlineLevel="0" collapsed="false">
      <c r="A640" s="13" t="n">
        <v>639</v>
      </c>
      <c r="B640" s="13" t="s">
        <v>4192</v>
      </c>
      <c r="C640" s="13" t="s">
        <v>159</v>
      </c>
      <c r="D640" s="13" t="s">
        <v>160</v>
      </c>
      <c r="E640" s="13" t="s">
        <v>50</v>
      </c>
      <c r="F640" s="13" t="s">
        <v>127</v>
      </c>
      <c r="G640" s="13" t="s">
        <v>808</v>
      </c>
      <c r="H640" s="13" t="s">
        <v>4193</v>
      </c>
      <c r="I640" s="13" t="s">
        <v>4194</v>
      </c>
      <c r="J640" s="13" t="s">
        <v>4195</v>
      </c>
      <c r="K640" s="13" t="s">
        <v>4196</v>
      </c>
      <c r="L640" s="13" t="s">
        <v>1737</v>
      </c>
      <c r="M640" s="13" t="n">
        <v>456.9</v>
      </c>
      <c r="N640" s="13" t="n">
        <v>0.43</v>
      </c>
      <c r="O640" s="13" t="n">
        <v>482</v>
      </c>
      <c r="P640" s="13" t="s">
        <v>1738</v>
      </c>
      <c r="Q640" s="13" t="s">
        <v>4197</v>
      </c>
      <c r="R640" s="13" t="s">
        <v>3734</v>
      </c>
      <c r="S640" s="13" t="s">
        <v>3734</v>
      </c>
      <c r="T640" s="13" t="s">
        <v>61</v>
      </c>
      <c r="U640" s="13"/>
    </row>
    <row r="641" customFormat="false" ht="18" hidden="false" customHeight="true" outlineLevel="0" collapsed="false">
      <c r="A641" s="13" t="n">
        <v>640</v>
      </c>
      <c r="B641" s="13" t="s">
        <v>4198</v>
      </c>
      <c r="C641" s="13" t="s">
        <v>63</v>
      </c>
      <c r="D641" s="13" t="s">
        <v>64</v>
      </c>
      <c r="E641" s="13" t="s">
        <v>161</v>
      </c>
      <c r="F641" s="13" t="s">
        <v>51</v>
      </c>
      <c r="G641" s="13" t="s">
        <v>257</v>
      </c>
      <c r="H641" s="13" t="s">
        <v>4199</v>
      </c>
      <c r="I641" s="13" t="s">
        <v>4200</v>
      </c>
      <c r="J641" s="13" t="s">
        <v>4201</v>
      </c>
      <c r="K641" s="13" t="s">
        <v>4202</v>
      </c>
      <c r="L641" s="13" t="s">
        <v>2562</v>
      </c>
      <c r="M641" s="13" t="n">
        <v>491.5</v>
      </c>
      <c r="N641" s="13" t="n">
        <v>0.33</v>
      </c>
      <c r="O641" s="13" t="n">
        <v>444</v>
      </c>
      <c r="P641" s="13" t="s">
        <v>2563</v>
      </c>
      <c r="Q641" s="13" t="s">
        <v>1569</v>
      </c>
      <c r="R641" s="13" t="s">
        <v>2224</v>
      </c>
      <c r="S641" s="13" t="s">
        <v>2224</v>
      </c>
      <c r="T641" s="13" t="s">
        <v>61</v>
      </c>
      <c r="U641" s="13"/>
    </row>
    <row r="642" customFormat="false" ht="18" hidden="false" customHeight="true" outlineLevel="0" collapsed="false">
      <c r="A642" s="13" t="n">
        <v>641</v>
      </c>
      <c r="B642" s="13" t="s">
        <v>4203</v>
      </c>
      <c r="C642" s="13" t="s">
        <v>48</v>
      </c>
      <c r="D642" s="13" t="s">
        <v>49</v>
      </c>
      <c r="E642" s="13" t="s">
        <v>65</v>
      </c>
      <c r="F642" s="13" t="s">
        <v>227</v>
      </c>
      <c r="G642" s="13" t="s">
        <v>67</v>
      </c>
      <c r="H642" s="13" t="s">
        <v>4204</v>
      </c>
      <c r="I642" s="13" t="s">
        <v>4205</v>
      </c>
      <c r="J642" s="13" t="s">
        <v>4206</v>
      </c>
      <c r="K642" s="13" t="s">
        <v>231</v>
      </c>
      <c r="L642" s="13" t="s">
        <v>232</v>
      </c>
      <c r="M642" s="13" t="n">
        <v>400.14</v>
      </c>
      <c r="N642" s="13" t="n">
        <v>0.49</v>
      </c>
      <c r="O642" s="13" t="n">
        <v>281</v>
      </c>
      <c r="P642" s="13" t="s">
        <v>233</v>
      </c>
      <c r="Q642" s="13" t="s">
        <v>281</v>
      </c>
      <c r="R642" s="13" t="s">
        <v>595</v>
      </c>
      <c r="S642" s="13" t="s">
        <v>595</v>
      </c>
      <c r="T642" s="13" t="s">
        <v>61</v>
      </c>
      <c r="U642" s="13"/>
    </row>
    <row r="643" customFormat="false" ht="18" hidden="false" customHeight="true" outlineLevel="0" collapsed="false">
      <c r="A643" s="13" t="n">
        <v>642</v>
      </c>
      <c r="B643" s="13" t="s">
        <v>4207</v>
      </c>
      <c r="C643" s="13" t="s">
        <v>48</v>
      </c>
      <c r="D643" s="13" t="s">
        <v>49</v>
      </c>
      <c r="E643" s="13" t="s">
        <v>50</v>
      </c>
      <c r="F643" s="13" t="s">
        <v>138</v>
      </c>
      <c r="G643" s="13" t="s">
        <v>808</v>
      </c>
      <c r="H643" s="13" t="s">
        <v>4208</v>
      </c>
      <c r="I643" s="13" t="s">
        <v>4209</v>
      </c>
      <c r="J643" s="13" t="s">
        <v>4210</v>
      </c>
      <c r="K643" s="13" t="s">
        <v>4211</v>
      </c>
      <c r="L643" s="13" t="s">
        <v>813</v>
      </c>
      <c r="M643" s="13" t="n">
        <v>625.46</v>
      </c>
      <c r="N643" s="13" t="n">
        <v>0.45</v>
      </c>
      <c r="O643" s="13" t="n">
        <v>263</v>
      </c>
      <c r="P643" s="13" t="s">
        <v>814</v>
      </c>
      <c r="Q643" s="13" t="s">
        <v>4212</v>
      </c>
      <c r="R643" s="13" t="s">
        <v>576</v>
      </c>
      <c r="S643" s="13" t="s">
        <v>576</v>
      </c>
      <c r="T643" s="13" t="s">
        <v>61</v>
      </c>
      <c r="U643" s="13"/>
    </row>
    <row r="644" customFormat="false" ht="18" hidden="false" customHeight="true" outlineLevel="0" collapsed="false">
      <c r="A644" s="13" t="n">
        <v>643</v>
      </c>
      <c r="B644" s="13" t="s">
        <v>4213</v>
      </c>
      <c r="C644" s="13" t="s">
        <v>255</v>
      </c>
      <c r="D644" s="13" t="s">
        <v>256</v>
      </c>
      <c r="E644" s="13" t="s">
        <v>161</v>
      </c>
      <c r="F644" s="13" t="s">
        <v>295</v>
      </c>
      <c r="G644" s="13" t="s">
        <v>296</v>
      </c>
      <c r="H644" s="13" t="s">
        <v>4214</v>
      </c>
      <c r="I644" s="13" t="s">
        <v>4215</v>
      </c>
      <c r="J644" s="13" t="s">
        <v>4216</v>
      </c>
      <c r="K644" s="13" t="s">
        <v>4217</v>
      </c>
      <c r="L644" s="13" t="s">
        <v>301</v>
      </c>
      <c r="M644" s="13" t="n">
        <v>417.88</v>
      </c>
      <c r="N644" s="13" t="n">
        <v>0.27</v>
      </c>
      <c r="O644" s="13" t="n">
        <v>27</v>
      </c>
      <c r="P644" s="13" t="s">
        <v>302</v>
      </c>
      <c r="Q644" s="13" t="s">
        <v>1408</v>
      </c>
      <c r="R644" s="13" t="s">
        <v>1669</v>
      </c>
      <c r="S644" s="13" t="s">
        <v>1669</v>
      </c>
      <c r="T644" s="13" t="s">
        <v>61</v>
      </c>
      <c r="U644" s="13"/>
    </row>
    <row r="645" customFormat="false" ht="18" hidden="false" customHeight="true" outlineLevel="0" collapsed="false">
      <c r="A645" s="13" t="n">
        <v>644</v>
      </c>
      <c r="B645" s="13" t="s">
        <v>4218</v>
      </c>
      <c r="C645" s="13" t="s">
        <v>113</v>
      </c>
      <c r="D645" s="13" t="s">
        <v>114</v>
      </c>
      <c r="E645" s="13" t="s">
        <v>50</v>
      </c>
      <c r="F645" s="13" t="s">
        <v>115</v>
      </c>
      <c r="G645" s="13" t="s">
        <v>689</v>
      </c>
      <c r="H645" s="13" t="s">
        <v>4219</v>
      </c>
      <c r="I645" s="13" t="s">
        <v>4220</v>
      </c>
      <c r="J645" s="13" t="s">
        <v>4221</v>
      </c>
      <c r="K645" s="13" t="s">
        <v>2497</v>
      </c>
      <c r="L645" s="13" t="s">
        <v>694</v>
      </c>
      <c r="M645" s="13" t="n">
        <v>263.26</v>
      </c>
      <c r="N645" s="13" t="n">
        <v>0.71</v>
      </c>
      <c r="O645" s="13" t="n">
        <v>278</v>
      </c>
      <c r="P645" s="13" t="s">
        <v>695</v>
      </c>
      <c r="Q645" s="13" t="s">
        <v>3885</v>
      </c>
      <c r="R645" s="13" t="s">
        <v>1260</v>
      </c>
      <c r="S645" s="13" t="s">
        <v>1260</v>
      </c>
      <c r="T645" s="13" t="s">
        <v>61</v>
      </c>
      <c r="U645" s="13"/>
    </row>
    <row r="646" customFormat="false" ht="18" hidden="false" customHeight="true" outlineLevel="0" collapsed="false">
      <c r="A646" s="13" t="n">
        <v>645</v>
      </c>
      <c r="B646" s="13" t="s">
        <v>4222</v>
      </c>
      <c r="C646" s="13" t="s">
        <v>63</v>
      </c>
      <c r="D646" s="13" t="s">
        <v>64</v>
      </c>
      <c r="E646" s="13" t="s">
        <v>50</v>
      </c>
      <c r="F646" s="13" t="s">
        <v>127</v>
      </c>
      <c r="G646" s="13" t="s">
        <v>52</v>
      </c>
      <c r="H646" s="13" t="s">
        <v>4223</v>
      </c>
      <c r="I646" s="13" t="s">
        <v>4224</v>
      </c>
      <c r="J646" s="13" t="s">
        <v>4225</v>
      </c>
      <c r="K646" s="13" t="s">
        <v>4226</v>
      </c>
      <c r="L646" s="13" t="s">
        <v>794</v>
      </c>
      <c r="M646" s="13" t="n">
        <v>1135.17</v>
      </c>
      <c r="N646" s="13" t="n">
        <v>0.39</v>
      </c>
      <c r="O646" s="13" t="n">
        <v>237</v>
      </c>
      <c r="P646" s="13" t="s">
        <v>795</v>
      </c>
      <c r="Q646" s="13" t="s">
        <v>4227</v>
      </c>
      <c r="R646" s="13" t="s">
        <v>697</v>
      </c>
      <c r="S646" s="13" t="s">
        <v>697</v>
      </c>
      <c r="T646" s="13" t="s">
        <v>61</v>
      </c>
      <c r="U646" s="13"/>
    </row>
    <row r="647" customFormat="false" ht="18" hidden="false" customHeight="true" outlineLevel="0" collapsed="false">
      <c r="A647" s="13" t="n">
        <v>646</v>
      </c>
      <c r="B647" s="13" t="s">
        <v>4228</v>
      </c>
      <c r="C647" s="13" t="s">
        <v>63</v>
      </c>
      <c r="D647" s="13" t="s">
        <v>64</v>
      </c>
      <c r="E647" s="13" t="s">
        <v>79</v>
      </c>
      <c r="F647" s="13" t="s">
        <v>1531</v>
      </c>
      <c r="G647" s="13" t="s">
        <v>128</v>
      </c>
      <c r="H647" s="13" t="s">
        <v>4229</v>
      </c>
      <c r="I647" s="13" t="s">
        <v>4230</v>
      </c>
      <c r="J647" s="13" t="s">
        <v>4231</v>
      </c>
      <c r="K647" s="13" t="s">
        <v>4232</v>
      </c>
      <c r="L647" s="13" t="s">
        <v>1667</v>
      </c>
      <c r="M647" s="13" t="n">
        <v>1968.36</v>
      </c>
      <c r="N647" s="13" t="n">
        <v>1.77</v>
      </c>
      <c r="O647" s="13" t="n">
        <v>34</v>
      </c>
      <c r="P647" s="13" t="s">
        <v>3309</v>
      </c>
      <c r="Q647" s="13" t="s">
        <v>4233</v>
      </c>
      <c r="R647" s="13" t="s">
        <v>3166</v>
      </c>
      <c r="S647" s="13" t="s">
        <v>3166</v>
      </c>
      <c r="T647" s="13" t="s">
        <v>61</v>
      </c>
      <c r="U647" s="13"/>
    </row>
    <row r="648" customFormat="false" ht="18" hidden="false" customHeight="true" outlineLevel="0" collapsed="false">
      <c r="A648" s="13" t="n">
        <v>647</v>
      </c>
      <c r="B648" s="13" t="s">
        <v>2197</v>
      </c>
      <c r="C648" s="13" t="s">
        <v>63</v>
      </c>
      <c r="D648" s="13" t="s">
        <v>64</v>
      </c>
      <c r="E648" s="13" t="s">
        <v>79</v>
      </c>
      <c r="F648" s="13" t="s">
        <v>51</v>
      </c>
      <c r="G648" s="13" t="s">
        <v>128</v>
      </c>
      <c r="H648" s="13" t="s">
        <v>2198</v>
      </c>
      <c r="I648" s="13" t="s">
        <v>2199</v>
      </c>
      <c r="J648" s="13" t="s">
        <v>2200</v>
      </c>
      <c r="K648" s="13" t="s">
        <v>2201</v>
      </c>
      <c r="L648" s="13" t="s">
        <v>547</v>
      </c>
      <c r="M648" s="13" t="n">
        <v>652.57</v>
      </c>
      <c r="N648" s="13" t="n">
        <v>1.43</v>
      </c>
      <c r="O648" s="13" t="n">
        <v>212</v>
      </c>
      <c r="P648" s="13" t="s">
        <v>548</v>
      </c>
      <c r="Q648" s="13" t="s">
        <v>2202</v>
      </c>
      <c r="R648" s="13" t="s">
        <v>2203</v>
      </c>
      <c r="S648" s="13" t="s">
        <v>2203</v>
      </c>
      <c r="T648" s="13" t="s">
        <v>61</v>
      </c>
      <c r="U648" s="13"/>
    </row>
    <row r="649" customFormat="false" ht="18" hidden="false" customHeight="true" outlineLevel="0" collapsed="false">
      <c r="A649" s="13" t="n">
        <v>648</v>
      </c>
      <c r="B649" s="13" t="s">
        <v>4234</v>
      </c>
      <c r="C649" s="13" t="s">
        <v>48</v>
      </c>
      <c r="D649" s="13" t="s">
        <v>49</v>
      </c>
      <c r="E649" s="13" t="s">
        <v>161</v>
      </c>
      <c r="F649" s="13" t="s">
        <v>185</v>
      </c>
      <c r="G649" s="13" t="s">
        <v>175</v>
      </c>
      <c r="H649" s="13" t="s">
        <v>4235</v>
      </c>
      <c r="I649" s="13" t="s">
        <v>4236</v>
      </c>
      <c r="J649" s="13" t="s">
        <v>4237</v>
      </c>
      <c r="K649" s="13" t="s">
        <v>4238</v>
      </c>
      <c r="L649" s="13" t="s">
        <v>676</v>
      </c>
      <c r="M649" s="13" t="n">
        <v>487.72</v>
      </c>
      <c r="N649" s="13" t="n">
        <v>0.31</v>
      </c>
      <c r="O649" s="13" t="n">
        <v>127</v>
      </c>
      <c r="P649" s="13" t="s">
        <v>677</v>
      </c>
      <c r="Q649" s="13" t="s">
        <v>1034</v>
      </c>
      <c r="R649" s="13" t="s">
        <v>1964</v>
      </c>
      <c r="S649" s="13" t="s">
        <v>1964</v>
      </c>
      <c r="T649" s="13" t="s">
        <v>61</v>
      </c>
      <c r="U649" s="13"/>
    </row>
    <row r="650" customFormat="false" ht="18" hidden="false" customHeight="true" outlineLevel="0" collapsed="false">
      <c r="A650" s="13" t="n">
        <v>649</v>
      </c>
      <c r="B650" s="13" t="s">
        <v>4239</v>
      </c>
      <c r="C650" s="13" t="s">
        <v>159</v>
      </c>
      <c r="D650" s="13" t="s">
        <v>160</v>
      </c>
      <c r="E650" s="13" t="s">
        <v>50</v>
      </c>
      <c r="F650" s="13" t="s">
        <v>138</v>
      </c>
      <c r="G650" s="13" t="s">
        <v>217</v>
      </c>
      <c r="H650" s="13" t="s">
        <v>4240</v>
      </c>
      <c r="I650" s="13" t="s">
        <v>4241</v>
      </c>
      <c r="J650" s="13" t="s">
        <v>4242</v>
      </c>
      <c r="K650" s="13" t="s">
        <v>4243</v>
      </c>
      <c r="L650" s="13" t="s">
        <v>3077</v>
      </c>
      <c r="M650" s="13" t="n">
        <v>748</v>
      </c>
      <c r="N650" s="13" t="n">
        <v>0.89</v>
      </c>
      <c r="O650" s="13" t="n">
        <v>331</v>
      </c>
      <c r="P650" s="13" t="s">
        <v>3078</v>
      </c>
      <c r="Q650" s="13" t="s">
        <v>4244</v>
      </c>
      <c r="R650" s="13" t="s">
        <v>101</v>
      </c>
      <c r="S650" s="13" t="s">
        <v>101</v>
      </c>
      <c r="T650" s="13" t="s">
        <v>61</v>
      </c>
      <c r="U650" s="13"/>
    </row>
    <row r="651" customFormat="false" ht="18" hidden="false" customHeight="true" outlineLevel="0" collapsed="false">
      <c r="A651" s="13" t="n">
        <v>650</v>
      </c>
      <c r="B651" s="13" t="s">
        <v>4245</v>
      </c>
      <c r="C651" s="13" t="s">
        <v>173</v>
      </c>
      <c r="D651" s="13" t="s">
        <v>174</v>
      </c>
      <c r="E651" s="13" t="s">
        <v>79</v>
      </c>
      <c r="F651" s="13" t="s">
        <v>465</v>
      </c>
      <c r="G651" s="13" t="s">
        <v>562</v>
      </c>
      <c r="H651" s="13" t="s">
        <v>4246</v>
      </c>
      <c r="I651" s="13" t="s">
        <v>4247</v>
      </c>
      <c r="J651" s="13" t="s">
        <v>4248</v>
      </c>
      <c r="K651" s="13" t="s">
        <v>4249</v>
      </c>
      <c r="L651" s="13" t="s">
        <v>1584</v>
      </c>
      <c r="M651" s="13" t="n">
        <v>997.79</v>
      </c>
      <c r="N651" s="13" t="n">
        <v>1.31</v>
      </c>
      <c r="O651" s="13" t="n">
        <v>99</v>
      </c>
      <c r="P651" s="13" t="s">
        <v>1585</v>
      </c>
      <c r="Q651" s="13" t="s">
        <v>2669</v>
      </c>
      <c r="R651" s="13" t="s">
        <v>2030</v>
      </c>
      <c r="S651" s="13" t="s">
        <v>2030</v>
      </c>
      <c r="T651" s="13" t="s">
        <v>61</v>
      </c>
      <c r="U651" s="13"/>
    </row>
    <row r="652" customFormat="false" ht="18" hidden="false" customHeight="true" outlineLevel="0" collapsed="false">
      <c r="A652" s="15" t="n">
        <v>651</v>
      </c>
      <c r="B652" s="15" t="s">
        <v>4250</v>
      </c>
      <c r="C652" s="15" t="s">
        <v>63</v>
      </c>
      <c r="D652" s="15" t="s">
        <v>64</v>
      </c>
      <c r="E652" s="15" t="s">
        <v>79</v>
      </c>
      <c r="F652" s="15" t="s">
        <v>503</v>
      </c>
      <c r="G652" s="15" t="s">
        <v>689</v>
      </c>
      <c r="H652" s="15" t="s">
        <v>4251</v>
      </c>
      <c r="I652" s="15" t="s">
        <v>4252</v>
      </c>
      <c r="J652" s="15" t="s">
        <v>4253</v>
      </c>
      <c r="K652" s="15" t="s">
        <v>4254</v>
      </c>
      <c r="L652" s="15" t="s">
        <v>1298</v>
      </c>
      <c r="M652" s="15" t="n">
        <v>406.86</v>
      </c>
      <c r="N652" s="15" t="n">
        <v>0.34</v>
      </c>
      <c r="O652" s="15" t="n">
        <v>490</v>
      </c>
      <c r="P652" s="15" t="s">
        <v>1299</v>
      </c>
      <c r="Q652" s="15" t="s">
        <v>122</v>
      </c>
      <c r="R652" s="15" t="s">
        <v>1899</v>
      </c>
      <c r="S652" s="15" t="s">
        <v>1899</v>
      </c>
      <c r="T652" s="15" t="s">
        <v>61</v>
      </c>
      <c r="U652" s="15" t="s">
        <v>453</v>
      </c>
    </row>
    <row r="653" customFormat="false" ht="18" hidden="false" customHeight="true" outlineLevel="0" collapsed="false">
      <c r="A653" s="13" t="n">
        <v>652</v>
      </c>
      <c r="B653" s="13" t="s">
        <v>4095</v>
      </c>
      <c r="C653" s="13" t="s">
        <v>63</v>
      </c>
      <c r="D653" s="13" t="s">
        <v>64</v>
      </c>
      <c r="E653" s="13" t="s">
        <v>79</v>
      </c>
      <c r="F653" s="13" t="s">
        <v>1531</v>
      </c>
      <c r="G653" s="13" t="s">
        <v>562</v>
      </c>
      <c r="H653" s="13" t="s">
        <v>4096</v>
      </c>
      <c r="I653" s="13" t="s">
        <v>4097</v>
      </c>
      <c r="J653" s="13" t="s">
        <v>4098</v>
      </c>
      <c r="K653" s="13" t="s">
        <v>4099</v>
      </c>
      <c r="L653" s="13" t="s">
        <v>3280</v>
      </c>
      <c r="M653" s="13" t="n">
        <v>434.12</v>
      </c>
      <c r="N653" s="13" t="n">
        <v>2.36</v>
      </c>
      <c r="O653" s="13" t="n">
        <v>274</v>
      </c>
      <c r="P653" s="13" t="s">
        <v>3281</v>
      </c>
      <c r="Q653" s="13" t="s">
        <v>3620</v>
      </c>
      <c r="R653" s="13" t="s">
        <v>4100</v>
      </c>
      <c r="S653" s="13" t="s">
        <v>4100</v>
      </c>
      <c r="T653" s="13" t="s">
        <v>61</v>
      </c>
      <c r="U653" s="13"/>
    </row>
    <row r="654" customFormat="false" ht="18" hidden="false" customHeight="true" outlineLevel="0" collapsed="false">
      <c r="A654" s="13" t="n">
        <v>653</v>
      </c>
      <c r="B654" s="13" t="s">
        <v>4255</v>
      </c>
      <c r="C654" s="13" t="s">
        <v>173</v>
      </c>
      <c r="D654" s="13" t="s">
        <v>174</v>
      </c>
      <c r="E654" s="13" t="s">
        <v>91</v>
      </c>
      <c r="F654" s="13" t="s">
        <v>92</v>
      </c>
      <c r="G654" s="13" t="s">
        <v>420</v>
      </c>
      <c r="H654" s="13" t="s">
        <v>4256</v>
      </c>
      <c r="I654" s="13" t="s">
        <v>4257</v>
      </c>
      <c r="J654" s="13" t="s">
        <v>4258</v>
      </c>
      <c r="K654" s="13" t="s">
        <v>4259</v>
      </c>
      <c r="L654" s="13" t="s">
        <v>1228</v>
      </c>
      <c r="M654" s="13" t="n">
        <v>3133.5</v>
      </c>
      <c r="N654" s="13" t="n">
        <v>17.36</v>
      </c>
      <c r="O654" s="13" t="n">
        <v>18</v>
      </c>
      <c r="P654" s="13" t="s">
        <v>1229</v>
      </c>
      <c r="Q654" s="13" t="s">
        <v>3521</v>
      </c>
      <c r="R654" s="13" t="s">
        <v>4260</v>
      </c>
      <c r="S654" s="13" t="s">
        <v>4260</v>
      </c>
      <c r="T654" s="13" t="s">
        <v>61</v>
      </c>
      <c r="U654" s="13"/>
    </row>
    <row r="655" customFormat="false" ht="18" hidden="false" customHeight="true" outlineLevel="0" collapsed="false">
      <c r="A655" s="13" t="n">
        <v>654</v>
      </c>
      <c r="B655" s="13" t="s">
        <v>4261</v>
      </c>
      <c r="C655" s="13" t="s">
        <v>113</v>
      </c>
      <c r="D655" s="13" t="s">
        <v>114</v>
      </c>
      <c r="E655" s="13" t="s">
        <v>91</v>
      </c>
      <c r="F655" s="13" t="s">
        <v>419</v>
      </c>
      <c r="G655" s="13" t="s">
        <v>139</v>
      </c>
      <c r="H655" s="13" t="s">
        <v>4262</v>
      </c>
      <c r="I655" s="13" t="s">
        <v>4263</v>
      </c>
      <c r="J655" s="13" t="s">
        <v>4264</v>
      </c>
      <c r="K655" s="13" t="s">
        <v>4265</v>
      </c>
      <c r="L655" s="13" t="s">
        <v>1912</v>
      </c>
      <c r="M655" s="13" t="n">
        <v>262.5</v>
      </c>
      <c r="N655" s="13" t="n">
        <v>33.16</v>
      </c>
      <c r="O655" s="13" t="n">
        <v>303</v>
      </c>
      <c r="P655" s="13" t="s">
        <v>1913</v>
      </c>
      <c r="Q655" s="13" t="s">
        <v>4266</v>
      </c>
      <c r="R655" s="13" t="s">
        <v>946</v>
      </c>
      <c r="S655" s="13" t="s">
        <v>946</v>
      </c>
      <c r="T655" s="13" t="s">
        <v>61</v>
      </c>
      <c r="U655" s="13"/>
    </row>
    <row r="656" customFormat="false" ht="18" hidden="false" customHeight="true" outlineLevel="0" collapsed="false">
      <c r="A656" s="13" t="n">
        <v>655</v>
      </c>
      <c r="B656" s="13" t="s">
        <v>4267</v>
      </c>
      <c r="C656" s="13" t="s">
        <v>77</v>
      </c>
      <c r="D656" s="13" t="s">
        <v>78</v>
      </c>
      <c r="E656" s="13" t="s">
        <v>50</v>
      </c>
      <c r="F656" s="13" t="s">
        <v>51</v>
      </c>
      <c r="G656" s="13" t="s">
        <v>689</v>
      </c>
      <c r="H656" s="13" t="s">
        <v>4268</v>
      </c>
      <c r="I656" s="13" t="s">
        <v>4269</v>
      </c>
      <c r="J656" s="13" t="s">
        <v>4270</v>
      </c>
      <c r="K656" s="13" t="s">
        <v>976</v>
      </c>
      <c r="L656" s="13" t="s">
        <v>803</v>
      </c>
      <c r="M656" s="13" t="n">
        <v>726.37</v>
      </c>
      <c r="N656" s="13" t="n">
        <v>0.77</v>
      </c>
      <c r="O656" s="13" t="n">
        <v>364</v>
      </c>
      <c r="P656" s="13" t="s">
        <v>804</v>
      </c>
      <c r="Q656" s="13" t="s">
        <v>4271</v>
      </c>
      <c r="R656" s="13" t="s">
        <v>4272</v>
      </c>
      <c r="S656" s="13" t="s">
        <v>4272</v>
      </c>
      <c r="T656" s="13" t="s">
        <v>61</v>
      </c>
      <c r="U656" s="13"/>
    </row>
    <row r="657" customFormat="false" ht="18" hidden="false" customHeight="true" outlineLevel="0" collapsed="false">
      <c r="A657" s="13" t="n">
        <v>656</v>
      </c>
      <c r="B657" s="13" t="s">
        <v>4273</v>
      </c>
      <c r="C657" s="13" t="s">
        <v>173</v>
      </c>
      <c r="D657" s="13" t="s">
        <v>174</v>
      </c>
      <c r="E657" s="13" t="s">
        <v>79</v>
      </c>
      <c r="F657" s="13" t="s">
        <v>1531</v>
      </c>
      <c r="G657" s="13" t="s">
        <v>128</v>
      </c>
      <c r="H657" s="13" t="s">
        <v>4274</v>
      </c>
      <c r="I657" s="13" t="s">
        <v>4275</v>
      </c>
      <c r="J657" s="13" t="s">
        <v>4276</v>
      </c>
      <c r="K657" s="13" t="s">
        <v>4277</v>
      </c>
      <c r="L657" s="13" t="s">
        <v>1667</v>
      </c>
      <c r="M657" s="13" t="n">
        <v>416.81</v>
      </c>
      <c r="N657" s="13" t="n">
        <v>1.77</v>
      </c>
      <c r="O657" s="13" t="n">
        <v>144</v>
      </c>
      <c r="P657" s="13" t="s">
        <v>3309</v>
      </c>
      <c r="Q657" s="13" t="s">
        <v>4278</v>
      </c>
      <c r="R657" s="13" t="s">
        <v>3246</v>
      </c>
      <c r="S657" s="13" t="s">
        <v>3246</v>
      </c>
      <c r="T657" s="13" t="s">
        <v>61</v>
      </c>
      <c r="U657" s="13"/>
    </row>
    <row r="658" customFormat="false" ht="18" hidden="false" customHeight="true" outlineLevel="0" collapsed="false">
      <c r="A658" s="13" t="n">
        <v>657</v>
      </c>
      <c r="B658" s="13" t="s">
        <v>4279</v>
      </c>
      <c r="C658" s="13" t="s">
        <v>125</v>
      </c>
      <c r="D658" s="13" t="s">
        <v>126</v>
      </c>
      <c r="E658" s="13" t="s">
        <v>91</v>
      </c>
      <c r="F658" s="13" t="s">
        <v>419</v>
      </c>
      <c r="G658" s="13" t="s">
        <v>743</v>
      </c>
      <c r="H658" s="13" t="s">
        <v>4280</v>
      </c>
      <c r="I658" s="13" t="s">
        <v>4281</v>
      </c>
      <c r="J658" s="13" t="s">
        <v>4282</v>
      </c>
      <c r="K658" s="13" t="s">
        <v>4283</v>
      </c>
      <c r="L658" s="13" t="s">
        <v>748</v>
      </c>
      <c r="M658" s="13" t="n">
        <v>571.85</v>
      </c>
      <c r="N658" s="13" t="n">
        <v>41.87</v>
      </c>
      <c r="O658" s="13" t="n">
        <v>75</v>
      </c>
      <c r="P658" s="13" t="s">
        <v>749</v>
      </c>
      <c r="Q658" s="13" t="s">
        <v>4284</v>
      </c>
      <c r="R658" s="13" t="s">
        <v>522</v>
      </c>
      <c r="S658" s="13" t="s">
        <v>522</v>
      </c>
      <c r="T658" s="13" t="s">
        <v>61</v>
      </c>
      <c r="U658" s="13"/>
    </row>
    <row r="659" customFormat="false" ht="18" hidden="false" customHeight="true" outlineLevel="0" collapsed="false">
      <c r="A659" s="13" t="n">
        <v>658</v>
      </c>
      <c r="B659" s="13" t="s">
        <v>4285</v>
      </c>
      <c r="C659" s="13" t="s">
        <v>255</v>
      </c>
      <c r="D659" s="13" t="s">
        <v>256</v>
      </c>
      <c r="E659" s="13" t="s">
        <v>79</v>
      </c>
      <c r="F659" s="13" t="s">
        <v>196</v>
      </c>
      <c r="G659" s="13" t="s">
        <v>562</v>
      </c>
      <c r="H659" s="13" t="s">
        <v>4286</v>
      </c>
      <c r="I659" s="13" t="s">
        <v>4287</v>
      </c>
      <c r="J659" s="13" t="s">
        <v>4288</v>
      </c>
      <c r="K659" s="13" t="s">
        <v>2355</v>
      </c>
      <c r="L659" s="13" t="s">
        <v>2133</v>
      </c>
      <c r="M659" s="13" t="n">
        <v>849.6</v>
      </c>
      <c r="N659" s="13" t="n">
        <v>2.18</v>
      </c>
      <c r="O659" s="13" t="n">
        <v>355</v>
      </c>
      <c r="P659" s="13" t="s">
        <v>2134</v>
      </c>
      <c r="Q659" s="13" t="s">
        <v>4289</v>
      </c>
      <c r="R659" s="13" t="s">
        <v>3080</v>
      </c>
      <c r="S659" s="13" t="s">
        <v>3080</v>
      </c>
      <c r="T659" s="13" t="s">
        <v>61</v>
      </c>
      <c r="U659" s="13"/>
    </row>
    <row r="660" customFormat="false" ht="18" hidden="false" customHeight="true" outlineLevel="0" collapsed="false">
      <c r="A660" s="13" t="n">
        <v>659</v>
      </c>
      <c r="B660" s="13" t="s">
        <v>4290</v>
      </c>
      <c r="C660" s="13" t="s">
        <v>125</v>
      </c>
      <c r="D660" s="13" t="s">
        <v>126</v>
      </c>
      <c r="E660" s="13" t="s">
        <v>161</v>
      </c>
      <c r="F660" s="13" t="s">
        <v>306</v>
      </c>
      <c r="G660" s="13" t="s">
        <v>296</v>
      </c>
      <c r="H660" s="13" t="s">
        <v>4291</v>
      </c>
      <c r="I660" s="13" t="s">
        <v>4292</v>
      </c>
      <c r="J660" s="13" t="s">
        <v>4293</v>
      </c>
      <c r="K660" s="13" t="s">
        <v>4294</v>
      </c>
      <c r="L660" s="13" t="s">
        <v>311</v>
      </c>
      <c r="M660" s="13" t="n">
        <v>277.69</v>
      </c>
      <c r="N660" s="13" t="n">
        <v>0.22</v>
      </c>
      <c r="O660" s="13" t="n">
        <v>489</v>
      </c>
      <c r="P660" s="13" t="s">
        <v>312</v>
      </c>
      <c r="Q660" s="13" t="s">
        <v>1545</v>
      </c>
      <c r="R660" s="13" t="s">
        <v>994</v>
      </c>
      <c r="S660" s="13" t="s">
        <v>994</v>
      </c>
      <c r="T660" s="13" t="s">
        <v>61</v>
      </c>
      <c r="U660" s="13"/>
    </row>
    <row r="661" customFormat="false" ht="18" hidden="false" customHeight="true" outlineLevel="0" collapsed="false">
      <c r="A661" s="13" t="n">
        <v>660</v>
      </c>
      <c r="B661" s="13" t="s">
        <v>4295</v>
      </c>
      <c r="C661" s="13" t="s">
        <v>63</v>
      </c>
      <c r="D661" s="13" t="s">
        <v>64</v>
      </c>
      <c r="E661" s="13" t="s">
        <v>50</v>
      </c>
      <c r="F661" s="13" t="s">
        <v>138</v>
      </c>
      <c r="G661" s="13" t="s">
        <v>217</v>
      </c>
      <c r="H661" s="13" t="s">
        <v>4296</v>
      </c>
      <c r="I661" s="13" t="s">
        <v>4297</v>
      </c>
      <c r="J661" s="13" t="s">
        <v>4298</v>
      </c>
      <c r="K661" s="13" t="s">
        <v>4299</v>
      </c>
      <c r="L661" s="13" t="s">
        <v>3077</v>
      </c>
      <c r="M661" s="13" t="n">
        <v>235.42</v>
      </c>
      <c r="N661" s="13" t="n">
        <v>0.6</v>
      </c>
      <c r="O661" s="13" t="n">
        <v>108</v>
      </c>
      <c r="P661" s="13" t="s">
        <v>3078</v>
      </c>
      <c r="Q661" s="13" t="s">
        <v>4300</v>
      </c>
      <c r="R661" s="13" t="s">
        <v>369</v>
      </c>
      <c r="S661" s="13" t="s">
        <v>369</v>
      </c>
      <c r="T661" s="13" t="s">
        <v>61</v>
      </c>
      <c r="U661" s="13"/>
    </row>
    <row r="662" customFormat="false" ht="18" hidden="false" customHeight="true" outlineLevel="0" collapsed="false">
      <c r="A662" s="13" t="n">
        <v>661</v>
      </c>
      <c r="B662" s="13" t="s">
        <v>4301</v>
      </c>
      <c r="C662" s="13" t="s">
        <v>113</v>
      </c>
      <c r="D662" s="13" t="s">
        <v>114</v>
      </c>
      <c r="E662" s="13" t="s">
        <v>65</v>
      </c>
      <c r="F662" s="13" t="s">
        <v>371</v>
      </c>
      <c r="G662" s="13" t="s">
        <v>103</v>
      </c>
      <c r="H662" s="13" t="s">
        <v>4302</v>
      </c>
      <c r="I662" s="13" t="s">
        <v>4303</v>
      </c>
      <c r="J662" s="13" t="s">
        <v>4304</v>
      </c>
      <c r="K662" s="13" t="s">
        <v>2147</v>
      </c>
      <c r="L662" s="13" t="s">
        <v>2148</v>
      </c>
      <c r="M662" s="13" t="n">
        <v>489.84</v>
      </c>
      <c r="N662" s="13" t="n">
        <v>1.27</v>
      </c>
      <c r="O662" s="13" t="n">
        <v>151</v>
      </c>
      <c r="P662" s="13" t="s">
        <v>2149</v>
      </c>
      <c r="Q662" s="13" t="s">
        <v>1235</v>
      </c>
      <c r="R662" s="13" t="s">
        <v>2622</v>
      </c>
      <c r="S662" s="13" t="s">
        <v>2622</v>
      </c>
      <c r="T662" s="13" t="s">
        <v>61</v>
      </c>
      <c r="U662" s="13"/>
    </row>
    <row r="663" customFormat="false" ht="18" hidden="false" customHeight="true" outlineLevel="0" collapsed="false">
      <c r="A663" s="13" t="n">
        <v>662</v>
      </c>
      <c r="B663" s="13" t="s">
        <v>4305</v>
      </c>
      <c r="C663" s="13" t="s">
        <v>48</v>
      </c>
      <c r="D663" s="13" t="s">
        <v>49</v>
      </c>
      <c r="E663" s="13" t="s">
        <v>79</v>
      </c>
      <c r="F663" s="13" t="s">
        <v>465</v>
      </c>
      <c r="G663" s="13" t="s">
        <v>562</v>
      </c>
      <c r="H663" s="13" t="s">
        <v>4306</v>
      </c>
      <c r="I663" s="13" t="s">
        <v>4307</v>
      </c>
      <c r="J663" s="13" t="s">
        <v>4308</v>
      </c>
      <c r="K663" s="13" t="s">
        <v>4309</v>
      </c>
      <c r="L663" s="13" t="s">
        <v>1584</v>
      </c>
      <c r="M663" s="13" t="n">
        <v>850.05</v>
      </c>
      <c r="N663" s="13" t="n">
        <v>1.32</v>
      </c>
      <c r="O663" s="13" t="n">
        <v>346</v>
      </c>
      <c r="P663" s="13" t="s">
        <v>1585</v>
      </c>
      <c r="Q663" s="13" t="s">
        <v>4310</v>
      </c>
      <c r="R663" s="13" t="s">
        <v>4311</v>
      </c>
      <c r="S663" s="13" t="s">
        <v>4311</v>
      </c>
      <c r="T663" s="13" t="s">
        <v>61</v>
      </c>
      <c r="U663" s="13"/>
    </row>
    <row r="664" customFormat="false" ht="18" hidden="false" customHeight="true" outlineLevel="0" collapsed="false">
      <c r="A664" s="15" t="n">
        <v>663</v>
      </c>
      <c r="B664" s="15" t="s">
        <v>4312</v>
      </c>
      <c r="C664" s="15" t="s">
        <v>48</v>
      </c>
      <c r="D664" s="15" t="s">
        <v>49</v>
      </c>
      <c r="E664" s="15" t="s">
        <v>161</v>
      </c>
      <c r="F664" s="15" t="s">
        <v>295</v>
      </c>
      <c r="G664" s="15" t="s">
        <v>285</v>
      </c>
      <c r="H664" s="15" t="s">
        <v>4313</v>
      </c>
      <c r="I664" s="15" t="s">
        <v>4314</v>
      </c>
      <c r="J664" s="15" t="s">
        <v>4315</v>
      </c>
      <c r="K664" s="15" t="s">
        <v>1566</v>
      </c>
      <c r="L664" s="15" t="s">
        <v>1567</v>
      </c>
      <c r="M664" s="15" t="n">
        <v>43.54</v>
      </c>
      <c r="N664" s="15" t="n">
        <v>0.31</v>
      </c>
      <c r="O664" s="15" t="n">
        <v>288</v>
      </c>
      <c r="P664" s="15" t="s">
        <v>1568</v>
      </c>
      <c r="Q664" s="15" t="s">
        <v>1569</v>
      </c>
      <c r="R664" s="15" t="s">
        <v>531</v>
      </c>
      <c r="S664" s="15" t="s">
        <v>531</v>
      </c>
      <c r="T664" s="15" t="s">
        <v>61</v>
      </c>
      <c r="U664" s="15" t="s">
        <v>243</v>
      </c>
    </row>
    <row r="665" customFormat="false" ht="18" hidden="false" customHeight="true" outlineLevel="0" collapsed="false">
      <c r="A665" s="13" t="n">
        <v>664</v>
      </c>
      <c r="B665" s="13" t="s">
        <v>4316</v>
      </c>
      <c r="C665" s="13" t="s">
        <v>63</v>
      </c>
      <c r="D665" s="13" t="s">
        <v>64</v>
      </c>
      <c r="E665" s="13" t="s">
        <v>50</v>
      </c>
      <c r="F665" s="13" t="s">
        <v>127</v>
      </c>
      <c r="G665" s="13" t="s">
        <v>352</v>
      </c>
      <c r="H665" s="13" t="s">
        <v>4317</v>
      </c>
      <c r="I665" s="13" t="s">
        <v>4318</v>
      </c>
      <c r="J665" s="13" t="s">
        <v>4319</v>
      </c>
      <c r="K665" s="13" t="s">
        <v>4320</v>
      </c>
      <c r="L665" s="13" t="s">
        <v>582</v>
      </c>
      <c r="M665" s="13" t="n">
        <v>507.42</v>
      </c>
      <c r="N665" s="13" t="n">
        <v>0.56</v>
      </c>
      <c r="O665" s="13" t="n">
        <v>491</v>
      </c>
      <c r="P665" s="13" t="s">
        <v>583</v>
      </c>
      <c r="Q665" s="13" t="s">
        <v>4321</v>
      </c>
      <c r="R665" s="13" t="s">
        <v>1260</v>
      </c>
      <c r="S665" s="13" t="s">
        <v>1260</v>
      </c>
      <c r="T665" s="13" t="s">
        <v>61</v>
      </c>
      <c r="U665" s="13"/>
    </row>
    <row r="666" customFormat="false" ht="18" hidden="false" customHeight="true" outlineLevel="0" collapsed="false">
      <c r="A666" s="13" t="n">
        <v>665</v>
      </c>
      <c r="B666" s="13" t="s">
        <v>4322</v>
      </c>
      <c r="C666" s="13" t="s">
        <v>173</v>
      </c>
      <c r="D666" s="13" t="s">
        <v>174</v>
      </c>
      <c r="E666" s="13" t="s">
        <v>50</v>
      </c>
      <c r="F666" s="13" t="s">
        <v>51</v>
      </c>
      <c r="G666" s="13" t="s">
        <v>352</v>
      </c>
      <c r="H666" s="13" t="s">
        <v>4323</v>
      </c>
      <c r="I666" s="13" t="s">
        <v>4324</v>
      </c>
      <c r="J666" s="13" t="s">
        <v>4325</v>
      </c>
      <c r="K666" s="13" t="s">
        <v>4326</v>
      </c>
      <c r="L666" s="13" t="s">
        <v>357</v>
      </c>
      <c r="M666" s="13" t="n">
        <v>456.03</v>
      </c>
      <c r="N666" s="13" t="n">
        <v>0.77</v>
      </c>
      <c r="O666" s="13" t="n">
        <v>146</v>
      </c>
      <c r="P666" s="13" t="s">
        <v>358</v>
      </c>
      <c r="Q666" s="13" t="s">
        <v>4327</v>
      </c>
      <c r="R666" s="13" t="s">
        <v>491</v>
      </c>
      <c r="S666" s="13" t="s">
        <v>491</v>
      </c>
      <c r="T666" s="13" t="s">
        <v>61</v>
      </c>
      <c r="U666" s="13"/>
    </row>
    <row r="667" customFormat="false" ht="18" hidden="false" customHeight="true" outlineLevel="0" collapsed="false">
      <c r="A667" s="13" t="n">
        <v>666</v>
      </c>
      <c r="B667" s="13" t="s">
        <v>4328</v>
      </c>
      <c r="C667" s="13" t="s">
        <v>173</v>
      </c>
      <c r="D667" s="13" t="s">
        <v>174</v>
      </c>
      <c r="E667" s="13" t="s">
        <v>91</v>
      </c>
      <c r="F667" s="13" t="s">
        <v>780</v>
      </c>
      <c r="G667" s="13" t="s">
        <v>420</v>
      </c>
      <c r="H667" s="13" t="s">
        <v>4329</v>
      </c>
      <c r="I667" s="13" t="s">
        <v>4330</v>
      </c>
      <c r="J667" s="13" t="s">
        <v>4331</v>
      </c>
      <c r="K667" s="13" t="s">
        <v>4332</v>
      </c>
      <c r="L667" s="13" t="s">
        <v>3509</v>
      </c>
      <c r="M667" s="13" t="n">
        <v>408.44</v>
      </c>
      <c r="N667" s="13" t="n">
        <v>12.74</v>
      </c>
      <c r="O667" s="13" t="n">
        <v>406</v>
      </c>
      <c r="P667" s="13" t="s">
        <v>3510</v>
      </c>
      <c r="Q667" s="13" t="s">
        <v>1677</v>
      </c>
      <c r="R667" s="13" t="s">
        <v>4333</v>
      </c>
      <c r="S667" s="13" t="s">
        <v>4333</v>
      </c>
      <c r="T667" s="13" t="s">
        <v>61</v>
      </c>
      <c r="U667" s="13"/>
    </row>
    <row r="668" customFormat="false" ht="18" hidden="false" customHeight="true" outlineLevel="0" collapsed="false">
      <c r="A668" s="13" t="n">
        <v>667</v>
      </c>
      <c r="B668" s="13" t="s">
        <v>4334</v>
      </c>
      <c r="C668" s="13" t="s">
        <v>159</v>
      </c>
      <c r="D668" s="13" t="s">
        <v>160</v>
      </c>
      <c r="E668" s="13" t="s">
        <v>91</v>
      </c>
      <c r="F668" s="13" t="s">
        <v>587</v>
      </c>
      <c r="G668" s="13" t="s">
        <v>743</v>
      </c>
      <c r="H668" s="13" t="s">
        <v>4335</v>
      </c>
      <c r="I668" s="13" t="s">
        <v>4336</v>
      </c>
      <c r="J668" s="13" t="s">
        <v>4337</v>
      </c>
      <c r="K668" s="13" t="s">
        <v>4338</v>
      </c>
      <c r="L668" s="13" t="s">
        <v>2961</v>
      </c>
      <c r="M668" s="13" t="n">
        <v>265.69</v>
      </c>
      <c r="N668" s="13" t="n">
        <v>17.45</v>
      </c>
      <c r="O668" s="13" t="n">
        <v>142</v>
      </c>
      <c r="P668" s="13" t="s">
        <v>2962</v>
      </c>
      <c r="Q668" s="13" t="s">
        <v>1074</v>
      </c>
      <c r="R668" s="13" t="s">
        <v>687</v>
      </c>
      <c r="S668" s="13" t="s">
        <v>687</v>
      </c>
      <c r="T668" s="13" t="s">
        <v>61</v>
      </c>
      <c r="U668" s="13"/>
    </row>
    <row r="669" customFormat="false" ht="18" hidden="false" customHeight="true" outlineLevel="0" collapsed="false">
      <c r="A669" s="13" t="n">
        <v>668</v>
      </c>
      <c r="B669" s="13" t="s">
        <v>4339</v>
      </c>
      <c r="C669" s="13" t="s">
        <v>63</v>
      </c>
      <c r="D669" s="13" t="s">
        <v>64</v>
      </c>
      <c r="E669" s="13" t="s">
        <v>50</v>
      </c>
      <c r="F669" s="13" t="s">
        <v>503</v>
      </c>
      <c r="G669" s="13" t="s">
        <v>808</v>
      </c>
      <c r="H669" s="13" t="s">
        <v>4340</v>
      </c>
      <c r="I669" s="13" t="s">
        <v>4341</v>
      </c>
      <c r="J669" s="13" t="s">
        <v>4342</v>
      </c>
      <c r="K669" s="13" t="s">
        <v>4343</v>
      </c>
      <c r="L669" s="13" t="s">
        <v>1340</v>
      </c>
      <c r="M669" s="13" t="n">
        <v>1027.23</v>
      </c>
      <c r="N669" s="13" t="n">
        <v>0.39</v>
      </c>
      <c r="O669" s="13" t="n">
        <v>436</v>
      </c>
      <c r="P669" s="13" t="s">
        <v>1341</v>
      </c>
      <c r="Q669" s="13" t="s">
        <v>4344</v>
      </c>
      <c r="R669" s="13" t="s">
        <v>1880</v>
      </c>
      <c r="S669" s="13" t="s">
        <v>1880</v>
      </c>
      <c r="T669" s="13" t="s">
        <v>61</v>
      </c>
      <c r="U669" s="13"/>
    </row>
    <row r="670" customFormat="false" ht="18" hidden="false" customHeight="true" outlineLevel="0" collapsed="false">
      <c r="A670" s="13" t="n">
        <v>669</v>
      </c>
      <c r="B670" s="13" t="s">
        <v>4345</v>
      </c>
      <c r="C670" s="13" t="s">
        <v>173</v>
      </c>
      <c r="D670" s="13" t="s">
        <v>174</v>
      </c>
      <c r="E670" s="13" t="s">
        <v>65</v>
      </c>
      <c r="F670" s="13" t="s">
        <v>390</v>
      </c>
      <c r="G670" s="13" t="s">
        <v>391</v>
      </c>
      <c r="H670" s="13" t="s">
        <v>4346</v>
      </c>
      <c r="I670" s="13" t="s">
        <v>4347</v>
      </c>
      <c r="J670" s="13" t="s">
        <v>4348</v>
      </c>
      <c r="K670" s="13" t="s">
        <v>395</v>
      </c>
      <c r="L670" s="13" t="s">
        <v>396</v>
      </c>
      <c r="M670" s="13" t="n">
        <v>243.71</v>
      </c>
      <c r="N670" s="13" t="n">
        <v>0.52</v>
      </c>
      <c r="O670" s="13" t="n">
        <v>196</v>
      </c>
      <c r="P670" s="13" t="s">
        <v>397</v>
      </c>
      <c r="Q670" s="13" t="s">
        <v>156</v>
      </c>
      <c r="R670" s="13" t="s">
        <v>722</v>
      </c>
      <c r="S670" s="13" t="s">
        <v>722</v>
      </c>
      <c r="T670" s="13" t="s">
        <v>61</v>
      </c>
      <c r="U670" s="13"/>
    </row>
    <row r="671" customFormat="false" ht="18" hidden="false" customHeight="true" outlineLevel="0" collapsed="false">
      <c r="A671" s="15" t="n">
        <v>670</v>
      </c>
      <c r="B671" s="15" t="s">
        <v>3926</v>
      </c>
      <c r="C671" s="15" t="s">
        <v>77</v>
      </c>
      <c r="D671" s="15" t="s">
        <v>78</v>
      </c>
      <c r="E671" s="15" t="s">
        <v>65</v>
      </c>
      <c r="F671" s="15" t="s">
        <v>115</v>
      </c>
      <c r="G671" s="15" t="s">
        <v>372</v>
      </c>
      <c r="H671" s="15" t="s">
        <v>3927</v>
      </c>
      <c r="I671" s="15" t="s">
        <v>3928</v>
      </c>
      <c r="J671" s="15" t="s">
        <v>3929</v>
      </c>
      <c r="K671" s="15" t="s">
        <v>1257</v>
      </c>
      <c r="L671" s="15" t="s">
        <v>1258</v>
      </c>
      <c r="M671" s="15" t="n">
        <v>85</v>
      </c>
      <c r="N671" s="15" t="n">
        <v>1.26</v>
      </c>
      <c r="O671" s="15" t="n">
        <v>384</v>
      </c>
      <c r="P671" s="15" t="s">
        <v>1259</v>
      </c>
      <c r="Q671" s="15" t="s">
        <v>2122</v>
      </c>
      <c r="R671" s="15" t="s">
        <v>3930</v>
      </c>
      <c r="S671" s="15" t="s">
        <v>3930</v>
      </c>
      <c r="T671" s="15" t="s">
        <v>61</v>
      </c>
      <c r="U671" s="15" t="s">
        <v>283</v>
      </c>
    </row>
    <row r="672" customFormat="false" ht="18" hidden="false" customHeight="true" outlineLevel="0" collapsed="false">
      <c r="A672" s="13" t="n">
        <v>671</v>
      </c>
      <c r="B672" s="13" t="s">
        <v>4349</v>
      </c>
      <c r="C672" s="13" t="s">
        <v>173</v>
      </c>
      <c r="D672" s="13" t="s">
        <v>174</v>
      </c>
      <c r="E672" s="13" t="s">
        <v>91</v>
      </c>
      <c r="F672" s="13" t="s">
        <v>419</v>
      </c>
      <c r="G672" s="13" t="s">
        <v>139</v>
      </c>
      <c r="H672" s="13" t="s">
        <v>4350</v>
      </c>
      <c r="I672" s="13" t="s">
        <v>4351</v>
      </c>
      <c r="J672" s="13" t="s">
        <v>4352</v>
      </c>
      <c r="K672" s="13" t="s">
        <v>4353</v>
      </c>
      <c r="L672" s="13" t="s">
        <v>1912</v>
      </c>
      <c r="M672" s="13" t="n">
        <v>2024.9</v>
      </c>
      <c r="N672" s="13" t="n">
        <v>18.72</v>
      </c>
      <c r="O672" s="13" t="n">
        <v>370</v>
      </c>
      <c r="P672" s="13" t="s">
        <v>1913</v>
      </c>
      <c r="Q672" s="13" t="s">
        <v>3481</v>
      </c>
      <c r="R672" s="13" t="s">
        <v>806</v>
      </c>
      <c r="S672" s="13" t="s">
        <v>806</v>
      </c>
      <c r="T672" s="13" t="s">
        <v>61</v>
      </c>
      <c r="U672" s="13"/>
    </row>
    <row r="673" customFormat="false" ht="18" hidden="false" customHeight="true" outlineLevel="0" collapsed="false">
      <c r="A673" s="13" t="n">
        <v>672</v>
      </c>
      <c r="B673" s="13" t="s">
        <v>4354</v>
      </c>
      <c r="C673" s="13" t="s">
        <v>63</v>
      </c>
      <c r="D673" s="13" t="s">
        <v>64</v>
      </c>
      <c r="E673" s="13" t="s">
        <v>79</v>
      </c>
      <c r="F673" s="13" t="s">
        <v>196</v>
      </c>
      <c r="G673" s="13" t="s">
        <v>760</v>
      </c>
      <c r="H673" s="13" t="s">
        <v>4355</v>
      </c>
      <c r="I673" s="13" t="s">
        <v>4356</v>
      </c>
      <c r="J673" s="13" t="s">
        <v>4357</v>
      </c>
      <c r="K673" s="13" t="s">
        <v>4358</v>
      </c>
      <c r="L673" s="13" t="s">
        <v>3596</v>
      </c>
      <c r="M673" s="13" t="n">
        <v>1928.94</v>
      </c>
      <c r="N673" s="13" t="n">
        <v>1.7</v>
      </c>
      <c r="O673" s="13" t="n">
        <v>310</v>
      </c>
      <c r="P673" s="13" t="s">
        <v>3597</v>
      </c>
      <c r="Q673" s="13" t="s">
        <v>2209</v>
      </c>
      <c r="R673" s="13" t="s">
        <v>2377</v>
      </c>
      <c r="S673" s="13" t="s">
        <v>2377</v>
      </c>
      <c r="T673" s="13" t="s">
        <v>61</v>
      </c>
      <c r="U673" s="13"/>
    </row>
    <row r="674" customFormat="false" ht="18" hidden="false" customHeight="true" outlineLevel="0" collapsed="false">
      <c r="A674" s="13" t="n">
        <v>673</v>
      </c>
      <c r="B674" s="13" t="s">
        <v>4359</v>
      </c>
      <c r="C674" s="13" t="s">
        <v>63</v>
      </c>
      <c r="D674" s="13" t="s">
        <v>64</v>
      </c>
      <c r="E674" s="13" t="s">
        <v>50</v>
      </c>
      <c r="F674" s="13" t="s">
        <v>127</v>
      </c>
      <c r="G674" s="13" t="s">
        <v>689</v>
      </c>
      <c r="H674" s="13" t="s">
        <v>4360</v>
      </c>
      <c r="I674" s="13" t="s">
        <v>4361</v>
      </c>
      <c r="J674" s="13" t="s">
        <v>4362</v>
      </c>
      <c r="K674" s="13" t="s">
        <v>4363</v>
      </c>
      <c r="L674" s="13" t="s">
        <v>1970</v>
      </c>
      <c r="M674" s="13" t="n">
        <v>1113.26</v>
      </c>
      <c r="N674" s="13" t="n">
        <v>0.78</v>
      </c>
      <c r="O674" s="13" t="n">
        <v>212</v>
      </c>
      <c r="P674" s="13" t="s">
        <v>1971</v>
      </c>
      <c r="Q674" s="13" t="s">
        <v>4364</v>
      </c>
      <c r="R674" s="13" t="s">
        <v>1529</v>
      </c>
      <c r="S674" s="13" t="s">
        <v>1529</v>
      </c>
      <c r="T674" s="13" t="s">
        <v>61</v>
      </c>
      <c r="U674" s="13"/>
    </row>
    <row r="675" customFormat="false" ht="18" hidden="false" customHeight="true" outlineLevel="0" collapsed="false">
      <c r="A675" s="13" t="n">
        <v>674</v>
      </c>
      <c r="B675" s="13" t="s">
        <v>4365</v>
      </c>
      <c r="C675" s="13" t="s">
        <v>77</v>
      </c>
      <c r="D675" s="13" t="s">
        <v>78</v>
      </c>
      <c r="E675" s="13" t="s">
        <v>65</v>
      </c>
      <c r="F675" s="13" t="s">
        <v>227</v>
      </c>
      <c r="G675" s="13" t="s">
        <v>274</v>
      </c>
      <c r="H675" s="13" t="s">
        <v>4366</v>
      </c>
      <c r="I675" s="13" t="s">
        <v>4367</v>
      </c>
      <c r="J675" s="13" t="s">
        <v>4368</v>
      </c>
      <c r="K675" s="13" t="s">
        <v>278</v>
      </c>
      <c r="L675" s="13" t="s">
        <v>279</v>
      </c>
      <c r="M675" s="13" t="n">
        <v>163.3</v>
      </c>
      <c r="N675" s="13" t="n">
        <v>0.11</v>
      </c>
      <c r="O675" s="13" t="n">
        <v>55</v>
      </c>
      <c r="P675" s="13" t="s">
        <v>280</v>
      </c>
      <c r="Q675" s="13" t="s">
        <v>1929</v>
      </c>
      <c r="R675" s="13" t="s">
        <v>4369</v>
      </c>
      <c r="S675" s="13" t="s">
        <v>4369</v>
      </c>
      <c r="T675" s="13" t="s">
        <v>61</v>
      </c>
      <c r="U675" s="13"/>
    </row>
    <row r="676" customFormat="false" ht="18" hidden="false" customHeight="true" outlineLevel="0" collapsed="false">
      <c r="A676" s="13" t="n">
        <v>675</v>
      </c>
      <c r="B676" s="13" t="s">
        <v>4370</v>
      </c>
      <c r="C676" s="13" t="s">
        <v>113</v>
      </c>
      <c r="D676" s="13" t="s">
        <v>114</v>
      </c>
      <c r="E676" s="13" t="s">
        <v>50</v>
      </c>
      <c r="F676" s="13" t="s">
        <v>503</v>
      </c>
      <c r="G676" s="13" t="s">
        <v>352</v>
      </c>
      <c r="H676" s="13" t="s">
        <v>4371</v>
      </c>
      <c r="I676" s="13" t="s">
        <v>4372</v>
      </c>
      <c r="J676" s="13" t="s">
        <v>4373</v>
      </c>
      <c r="K676" s="13" t="s">
        <v>4374</v>
      </c>
      <c r="L676" s="13" t="s">
        <v>508</v>
      </c>
      <c r="M676" s="13" t="n">
        <v>933.45</v>
      </c>
      <c r="N676" s="13" t="n">
        <v>0.56</v>
      </c>
      <c r="O676" s="13" t="n">
        <v>416</v>
      </c>
      <c r="P676" s="13" t="s">
        <v>509</v>
      </c>
      <c r="Q676" s="13" t="s">
        <v>703</v>
      </c>
      <c r="R676" s="13" t="s">
        <v>1409</v>
      </c>
      <c r="S676" s="13" t="s">
        <v>1409</v>
      </c>
      <c r="T676" s="13" t="s">
        <v>61</v>
      </c>
      <c r="U676" s="13"/>
    </row>
    <row r="677" customFormat="false" ht="18" hidden="false" customHeight="true" outlineLevel="0" collapsed="false">
      <c r="A677" s="13" t="n">
        <v>676</v>
      </c>
      <c r="B677" s="13" t="s">
        <v>4375</v>
      </c>
      <c r="C677" s="13" t="s">
        <v>63</v>
      </c>
      <c r="D677" s="13" t="s">
        <v>64</v>
      </c>
      <c r="E677" s="13" t="s">
        <v>161</v>
      </c>
      <c r="F677" s="13" t="s">
        <v>162</v>
      </c>
      <c r="G677" s="13" t="s">
        <v>207</v>
      </c>
      <c r="H677" s="13" t="s">
        <v>4376</v>
      </c>
      <c r="I677" s="13" t="s">
        <v>4377</v>
      </c>
      <c r="J677" s="13" t="s">
        <v>4378</v>
      </c>
      <c r="K677" s="13" t="s">
        <v>3211</v>
      </c>
      <c r="L677" s="13" t="s">
        <v>3212</v>
      </c>
      <c r="M677" s="13" t="n">
        <v>292.82</v>
      </c>
      <c r="N677" s="13" t="n">
        <v>0.28</v>
      </c>
      <c r="O677" s="13" t="n">
        <v>231</v>
      </c>
      <c r="P677" s="13" t="s">
        <v>3213</v>
      </c>
      <c r="Q677" s="13" t="s">
        <v>214</v>
      </c>
      <c r="R677" s="13" t="s">
        <v>4379</v>
      </c>
      <c r="S677" s="13" t="s">
        <v>4379</v>
      </c>
      <c r="T677" s="13" t="s">
        <v>61</v>
      </c>
      <c r="U677" s="13"/>
    </row>
    <row r="678" customFormat="false" ht="18" hidden="false" customHeight="true" outlineLevel="0" collapsed="false">
      <c r="A678" s="13" t="n">
        <v>677</v>
      </c>
      <c r="B678" s="13" t="s">
        <v>4380</v>
      </c>
      <c r="C678" s="13" t="s">
        <v>255</v>
      </c>
      <c r="D678" s="13" t="s">
        <v>256</v>
      </c>
      <c r="E678" s="13" t="s">
        <v>65</v>
      </c>
      <c r="F678" s="13" t="s">
        <v>438</v>
      </c>
      <c r="G678" s="13" t="s">
        <v>149</v>
      </c>
      <c r="H678" s="13" t="s">
        <v>4381</v>
      </c>
      <c r="I678" s="13" t="s">
        <v>4382</v>
      </c>
      <c r="J678" s="13" t="s">
        <v>4383</v>
      </c>
      <c r="K678" s="13" t="s">
        <v>885</v>
      </c>
      <c r="L678" s="13" t="s">
        <v>886</v>
      </c>
      <c r="M678" s="13" t="n">
        <v>107.77</v>
      </c>
      <c r="N678" s="13" t="n">
        <v>0.66</v>
      </c>
      <c r="O678" s="13" t="n">
        <v>154</v>
      </c>
      <c r="P678" s="13" t="s">
        <v>887</v>
      </c>
      <c r="Q678" s="13" t="s">
        <v>2122</v>
      </c>
      <c r="R678" s="13" t="s">
        <v>1179</v>
      </c>
      <c r="S678" s="13" t="s">
        <v>1179</v>
      </c>
      <c r="T678" s="13" t="s">
        <v>61</v>
      </c>
      <c r="U678" s="13"/>
    </row>
    <row r="679" customFormat="false" ht="18" hidden="false" customHeight="true" outlineLevel="0" collapsed="false">
      <c r="A679" s="13" t="n">
        <v>678</v>
      </c>
      <c r="B679" s="13" t="s">
        <v>4384</v>
      </c>
      <c r="C679" s="13" t="s">
        <v>159</v>
      </c>
      <c r="D679" s="13" t="s">
        <v>160</v>
      </c>
      <c r="E679" s="13" t="s">
        <v>65</v>
      </c>
      <c r="F679" s="13" t="s">
        <v>115</v>
      </c>
      <c r="G679" s="13" t="s">
        <v>67</v>
      </c>
      <c r="H679" s="13" t="s">
        <v>4385</v>
      </c>
      <c r="I679" s="13" t="s">
        <v>4386</v>
      </c>
      <c r="J679" s="13" t="s">
        <v>4387</v>
      </c>
      <c r="K679" s="13" t="s">
        <v>4388</v>
      </c>
      <c r="L679" s="13" t="s">
        <v>4389</v>
      </c>
      <c r="M679" s="13" t="n">
        <v>150.9</v>
      </c>
      <c r="N679" s="13" t="n">
        <v>1.36</v>
      </c>
      <c r="O679" s="13" t="n">
        <v>209</v>
      </c>
      <c r="P679" s="13" t="s">
        <v>4390</v>
      </c>
      <c r="Q679" s="13" t="s">
        <v>1235</v>
      </c>
      <c r="R679" s="13" t="s">
        <v>1880</v>
      </c>
      <c r="S679" s="13" t="s">
        <v>1880</v>
      </c>
      <c r="T679" s="13" t="s">
        <v>61</v>
      </c>
      <c r="U679" s="13"/>
    </row>
    <row r="680" customFormat="false" ht="18" hidden="false" customHeight="true" outlineLevel="0" collapsed="false">
      <c r="A680" s="15" t="n">
        <v>679</v>
      </c>
      <c r="B680" s="15" t="s">
        <v>4391</v>
      </c>
      <c r="C680" s="15" t="s">
        <v>125</v>
      </c>
      <c r="D680" s="15" t="s">
        <v>126</v>
      </c>
      <c r="E680" s="15" t="s">
        <v>50</v>
      </c>
      <c r="F680" s="15"/>
      <c r="G680" s="15" t="s">
        <v>52</v>
      </c>
      <c r="H680" s="15" t="s">
        <v>4392</v>
      </c>
      <c r="I680" s="15" t="s">
        <v>4393</v>
      </c>
      <c r="J680" s="15" t="s">
        <v>4394</v>
      </c>
      <c r="K680" s="15" t="s">
        <v>4395</v>
      </c>
      <c r="L680" s="15" t="s">
        <v>57</v>
      </c>
      <c r="M680" s="15" t="n">
        <v>556.03</v>
      </c>
      <c r="N680" s="15" t="n">
        <v>0.84</v>
      </c>
      <c r="O680" s="15" t="n">
        <v>140</v>
      </c>
      <c r="P680" s="15" t="s">
        <v>58</v>
      </c>
      <c r="Q680" s="15" t="s">
        <v>4396</v>
      </c>
      <c r="R680" s="15" t="s">
        <v>157</v>
      </c>
      <c r="S680" s="15" t="s">
        <v>157</v>
      </c>
      <c r="T680" s="15" t="s">
        <v>61</v>
      </c>
      <c r="U680" s="15" t="s">
        <v>778</v>
      </c>
    </row>
    <row r="681" customFormat="false" ht="18" hidden="false" customHeight="true" outlineLevel="0" collapsed="false">
      <c r="A681" s="13" t="n">
        <v>680</v>
      </c>
      <c r="B681" s="13" t="s">
        <v>4397</v>
      </c>
      <c r="C681" s="13" t="s">
        <v>255</v>
      </c>
      <c r="D681" s="13" t="s">
        <v>256</v>
      </c>
      <c r="E681" s="13" t="s">
        <v>161</v>
      </c>
      <c r="F681" s="13" t="s">
        <v>162</v>
      </c>
      <c r="G681" s="13" t="s">
        <v>296</v>
      </c>
      <c r="H681" s="13" t="s">
        <v>4398</v>
      </c>
      <c r="I681" s="13" t="s">
        <v>4399</v>
      </c>
      <c r="J681" s="13" t="s">
        <v>4400</v>
      </c>
      <c r="K681" s="13" t="s">
        <v>413</v>
      </c>
      <c r="L681" s="13" t="s">
        <v>414</v>
      </c>
      <c r="M681" s="13" t="n">
        <v>284.04</v>
      </c>
      <c r="N681" s="13" t="n">
        <v>0.35</v>
      </c>
      <c r="O681" s="13" t="n">
        <v>261</v>
      </c>
      <c r="P681" s="13" t="s">
        <v>415</v>
      </c>
      <c r="Q681" s="13" t="s">
        <v>1408</v>
      </c>
      <c r="R681" s="13" t="s">
        <v>3451</v>
      </c>
      <c r="S681" s="13" t="s">
        <v>3451</v>
      </c>
      <c r="T681" s="13" t="s">
        <v>61</v>
      </c>
      <c r="U681" s="13"/>
    </row>
    <row r="682" customFormat="false" ht="18" hidden="false" customHeight="true" outlineLevel="0" collapsed="false">
      <c r="A682" s="13" t="n">
        <v>681</v>
      </c>
      <c r="B682" s="13" t="s">
        <v>4401</v>
      </c>
      <c r="C682" s="13" t="s">
        <v>63</v>
      </c>
      <c r="D682" s="13" t="s">
        <v>64</v>
      </c>
      <c r="E682" s="13" t="s">
        <v>161</v>
      </c>
      <c r="F682" s="13" t="s">
        <v>822</v>
      </c>
      <c r="G682" s="13" t="s">
        <v>334</v>
      </c>
      <c r="H682" s="13" t="s">
        <v>4402</v>
      </c>
      <c r="I682" s="13" t="s">
        <v>4403</v>
      </c>
      <c r="J682" s="13" t="s">
        <v>4404</v>
      </c>
      <c r="K682" s="13" t="s">
        <v>4405</v>
      </c>
      <c r="L682" s="13" t="s">
        <v>4406</v>
      </c>
      <c r="M682" s="13" t="n">
        <v>37.25</v>
      </c>
      <c r="N682" s="13" t="n">
        <v>0.37</v>
      </c>
      <c r="O682" s="13" t="n">
        <v>330</v>
      </c>
      <c r="P682" s="13" t="s">
        <v>4407</v>
      </c>
      <c r="Q682" s="13" t="s">
        <v>1319</v>
      </c>
      <c r="R682" s="13" t="s">
        <v>1973</v>
      </c>
      <c r="S682" s="13" t="s">
        <v>1973</v>
      </c>
      <c r="T682" s="13" t="s">
        <v>61</v>
      </c>
      <c r="U682" s="13"/>
    </row>
    <row r="683" customFormat="false" ht="18" hidden="false" customHeight="true" outlineLevel="0" collapsed="false">
      <c r="A683" s="15" t="n">
        <v>682</v>
      </c>
      <c r="B683" s="15" t="s">
        <v>4408</v>
      </c>
      <c r="C683" s="15" t="s">
        <v>173</v>
      </c>
      <c r="D683" s="15" t="s">
        <v>174</v>
      </c>
      <c r="E683" s="15" t="s">
        <v>91</v>
      </c>
      <c r="F683" s="15" t="s">
        <v>185</v>
      </c>
      <c r="G683" s="15" t="s">
        <v>93</v>
      </c>
      <c r="H683" s="15" t="s">
        <v>4409</v>
      </c>
      <c r="I683" s="15" t="s">
        <v>4410</v>
      </c>
      <c r="J683" s="15" t="s">
        <v>4411</v>
      </c>
      <c r="K683" s="15" t="s">
        <v>4412</v>
      </c>
      <c r="L683" s="15" t="s">
        <v>528</v>
      </c>
      <c r="M683" s="15" t="n">
        <v>2917.52</v>
      </c>
      <c r="N683" s="15" t="n">
        <v>34.29</v>
      </c>
      <c r="O683" s="15" t="n">
        <v>484</v>
      </c>
      <c r="P683" s="15" t="s">
        <v>529</v>
      </c>
      <c r="Q683" s="15" t="s">
        <v>4413</v>
      </c>
      <c r="R683" s="15" t="s">
        <v>360</v>
      </c>
      <c r="S683" s="15" t="s">
        <v>360</v>
      </c>
      <c r="T683" s="15" t="s">
        <v>61</v>
      </c>
      <c r="U683" s="15" t="s">
        <v>778</v>
      </c>
    </row>
    <row r="684" customFormat="false" ht="18" hidden="false" customHeight="true" outlineLevel="0" collapsed="false">
      <c r="A684" s="16" t="n">
        <v>683</v>
      </c>
      <c r="B684" s="16" t="s">
        <v>4414</v>
      </c>
      <c r="C684" s="16" t="s">
        <v>48</v>
      </c>
      <c r="D684" s="16" t="s">
        <v>49</v>
      </c>
      <c r="E684" s="16" t="s">
        <v>79</v>
      </c>
      <c r="F684" s="16" t="s">
        <v>465</v>
      </c>
      <c r="G684" s="16" t="s">
        <v>197</v>
      </c>
      <c r="H684" s="16" t="s">
        <v>4415</v>
      </c>
      <c r="I684" s="16" t="s">
        <v>4416</v>
      </c>
      <c r="J684" s="16" t="s">
        <v>4417</v>
      </c>
      <c r="K684" s="16" t="s">
        <v>4418</v>
      </c>
      <c r="L684" s="16" t="s">
        <v>991</v>
      </c>
      <c r="M684" s="16" t="n">
        <v>606.85</v>
      </c>
      <c r="N684" s="16" t="n">
        <v>1.46</v>
      </c>
      <c r="O684" s="16" t="n">
        <v>0</v>
      </c>
      <c r="P684" s="16" t="s">
        <v>992</v>
      </c>
      <c r="Q684" s="16" t="s">
        <v>4419</v>
      </c>
      <c r="R684" s="16" t="s">
        <v>4420</v>
      </c>
      <c r="S684" s="16" t="s">
        <v>4421</v>
      </c>
      <c r="T684" s="16" t="s">
        <v>61</v>
      </c>
      <c r="U684" s="16" t="s">
        <v>325</v>
      </c>
    </row>
    <row r="685" customFormat="false" ht="18" hidden="false" customHeight="true" outlineLevel="0" collapsed="false">
      <c r="A685" s="13" t="n">
        <v>684</v>
      </c>
      <c r="B685" s="13" t="s">
        <v>4422</v>
      </c>
      <c r="C685" s="13" t="s">
        <v>255</v>
      </c>
      <c r="D685" s="13" t="s">
        <v>256</v>
      </c>
      <c r="E685" s="13" t="s">
        <v>79</v>
      </c>
      <c r="F685" s="13" t="s">
        <v>51</v>
      </c>
      <c r="G685" s="13" t="s">
        <v>514</v>
      </c>
      <c r="H685" s="13" t="s">
        <v>4423</v>
      </c>
      <c r="I685" s="13" t="s">
        <v>4424</v>
      </c>
      <c r="J685" s="13" t="s">
        <v>4425</v>
      </c>
      <c r="K685" s="13" t="s">
        <v>4426</v>
      </c>
      <c r="L685" s="13" t="s">
        <v>1088</v>
      </c>
      <c r="M685" s="13" t="n">
        <v>1400.45</v>
      </c>
      <c r="N685" s="13" t="n">
        <v>2.43</v>
      </c>
      <c r="O685" s="13" t="n">
        <v>300</v>
      </c>
      <c r="P685" s="13" t="s">
        <v>1089</v>
      </c>
      <c r="Q685" s="13" t="s">
        <v>4427</v>
      </c>
      <c r="R685" s="13" t="s">
        <v>1075</v>
      </c>
      <c r="S685" s="13" t="s">
        <v>1075</v>
      </c>
      <c r="T685" s="13" t="s">
        <v>61</v>
      </c>
      <c r="U685" s="13"/>
    </row>
    <row r="686" customFormat="false" ht="18" hidden="false" customHeight="true" outlineLevel="0" collapsed="false">
      <c r="A686" s="13" t="n">
        <v>685</v>
      </c>
      <c r="B686" s="13" t="s">
        <v>4428</v>
      </c>
      <c r="C686" s="13" t="s">
        <v>255</v>
      </c>
      <c r="D686" s="13" t="s">
        <v>256</v>
      </c>
      <c r="E686" s="13" t="s">
        <v>65</v>
      </c>
      <c r="F686" s="13" t="s">
        <v>227</v>
      </c>
      <c r="G686" s="13" t="s">
        <v>372</v>
      </c>
      <c r="H686" s="13" t="s">
        <v>4429</v>
      </c>
      <c r="I686" s="13" t="s">
        <v>4430</v>
      </c>
      <c r="J686" s="13" t="s">
        <v>4431</v>
      </c>
      <c r="K686" s="13" t="s">
        <v>3456</v>
      </c>
      <c r="L686" s="13" t="s">
        <v>3457</v>
      </c>
      <c r="M686" s="13" t="n">
        <v>35.01</v>
      </c>
      <c r="N686" s="13" t="n">
        <v>1.04</v>
      </c>
      <c r="O686" s="13" t="n">
        <v>344</v>
      </c>
      <c r="P686" s="13" t="s">
        <v>3458</v>
      </c>
      <c r="Q686" s="13" t="s">
        <v>686</v>
      </c>
      <c r="R686" s="13" t="s">
        <v>1450</v>
      </c>
      <c r="S686" s="13" t="s">
        <v>1450</v>
      </c>
      <c r="T686" s="13" t="s">
        <v>61</v>
      </c>
      <c r="U686" s="13"/>
    </row>
    <row r="687" customFormat="false" ht="18" hidden="false" customHeight="true" outlineLevel="0" collapsed="false">
      <c r="A687" s="13" t="n">
        <v>686</v>
      </c>
      <c r="B687" s="13" t="s">
        <v>4432</v>
      </c>
      <c r="C687" s="13" t="s">
        <v>255</v>
      </c>
      <c r="D687" s="13" t="s">
        <v>256</v>
      </c>
      <c r="E687" s="13" t="s">
        <v>65</v>
      </c>
      <c r="F687" s="13" t="s">
        <v>115</v>
      </c>
      <c r="G687" s="13" t="s">
        <v>67</v>
      </c>
      <c r="H687" s="13" t="s">
        <v>4433</v>
      </c>
      <c r="I687" s="13" t="s">
        <v>4434</v>
      </c>
      <c r="J687" s="13" t="s">
        <v>4435</v>
      </c>
      <c r="K687" s="13" t="s">
        <v>4388</v>
      </c>
      <c r="L687" s="13" t="s">
        <v>4389</v>
      </c>
      <c r="M687" s="13" t="n">
        <v>111.92</v>
      </c>
      <c r="N687" s="13" t="n">
        <v>0.45</v>
      </c>
      <c r="O687" s="13" t="n">
        <v>146</v>
      </c>
      <c r="P687" s="13" t="s">
        <v>4390</v>
      </c>
      <c r="Q687" s="13" t="s">
        <v>4436</v>
      </c>
      <c r="R687" s="13" t="s">
        <v>541</v>
      </c>
      <c r="S687" s="13" t="s">
        <v>541</v>
      </c>
      <c r="T687" s="13" t="s">
        <v>61</v>
      </c>
      <c r="U687" s="13"/>
    </row>
    <row r="688" customFormat="false" ht="18" hidden="false" customHeight="true" outlineLevel="0" collapsed="false">
      <c r="A688" s="13" t="n">
        <v>687</v>
      </c>
      <c r="B688" s="13" t="s">
        <v>4437</v>
      </c>
      <c r="C688" s="13" t="s">
        <v>77</v>
      </c>
      <c r="D688" s="13" t="s">
        <v>78</v>
      </c>
      <c r="E688" s="13" t="s">
        <v>50</v>
      </c>
      <c r="F688" s="13" t="s">
        <v>51</v>
      </c>
      <c r="G688" s="13" t="s">
        <v>808</v>
      </c>
      <c r="H688" s="13" t="s">
        <v>4438</v>
      </c>
      <c r="I688" s="13" t="s">
        <v>4439</v>
      </c>
      <c r="J688" s="13" t="s">
        <v>4440</v>
      </c>
      <c r="K688" s="13" t="s">
        <v>4441</v>
      </c>
      <c r="L688" s="13" t="s">
        <v>1857</v>
      </c>
      <c r="M688" s="13" t="n">
        <v>934.82</v>
      </c>
      <c r="N688" s="13" t="n">
        <v>0.42</v>
      </c>
      <c r="O688" s="13" t="n">
        <v>69</v>
      </c>
      <c r="P688" s="13" t="s">
        <v>1858</v>
      </c>
      <c r="Q688" s="13" t="s">
        <v>4442</v>
      </c>
      <c r="R688" s="13" t="s">
        <v>731</v>
      </c>
      <c r="S688" s="13" t="s">
        <v>731</v>
      </c>
      <c r="T688" s="13" t="s">
        <v>61</v>
      </c>
      <c r="U688" s="13"/>
    </row>
    <row r="689" customFormat="false" ht="18" hidden="false" customHeight="true" outlineLevel="0" collapsed="false">
      <c r="A689" s="13" t="n">
        <v>688</v>
      </c>
      <c r="B689" s="13" t="s">
        <v>4443</v>
      </c>
      <c r="C689" s="13" t="s">
        <v>173</v>
      </c>
      <c r="D689" s="13" t="s">
        <v>174</v>
      </c>
      <c r="E689" s="13" t="s">
        <v>161</v>
      </c>
      <c r="F689" s="13" t="s">
        <v>162</v>
      </c>
      <c r="G689" s="13" t="s">
        <v>334</v>
      </c>
      <c r="H689" s="13" t="s">
        <v>4444</v>
      </c>
      <c r="I689" s="13" t="s">
        <v>4445</v>
      </c>
      <c r="J689" s="13" t="s">
        <v>4446</v>
      </c>
      <c r="K689" s="13" t="s">
        <v>4447</v>
      </c>
      <c r="L689" s="13" t="s">
        <v>339</v>
      </c>
      <c r="M689" s="13" t="n">
        <v>216.42</v>
      </c>
      <c r="N689" s="13" t="n">
        <v>0.21</v>
      </c>
      <c r="O689" s="13" t="n">
        <v>341</v>
      </c>
      <c r="P689" s="13" t="s">
        <v>340</v>
      </c>
      <c r="Q689" s="13" t="s">
        <v>2710</v>
      </c>
      <c r="R689" s="13" t="s">
        <v>1417</v>
      </c>
      <c r="S689" s="13" t="s">
        <v>1417</v>
      </c>
      <c r="T689" s="13" t="s">
        <v>61</v>
      </c>
      <c r="U689" s="13"/>
    </row>
    <row r="690" customFormat="false" ht="18" hidden="false" customHeight="true" outlineLevel="0" collapsed="false">
      <c r="A690" s="13" t="n">
        <v>689</v>
      </c>
      <c r="B690" s="13" t="s">
        <v>4448</v>
      </c>
      <c r="C690" s="13" t="s">
        <v>173</v>
      </c>
      <c r="D690" s="13" t="s">
        <v>174</v>
      </c>
      <c r="E690" s="13" t="s">
        <v>161</v>
      </c>
      <c r="F690" s="13" t="s">
        <v>51</v>
      </c>
      <c r="G690" s="13" t="s">
        <v>207</v>
      </c>
      <c r="H690" s="13" t="s">
        <v>4449</v>
      </c>
      <c r="I690" s="13" t="s">
        <v>4450</v>
      </c>
      <c r="J690" s="13" t="s">
        <v>4451</v>
      </c>
      <c r="K690" s="13" t="s">
        <v>211</v>
      </c>
      <c r="L690" s="13" t="s">
        <v>212</v>
      </c>
      <c r="M690" s="13" t="n">
        <v>200.19</v>
      </c>
      <c r="N690" s="13" t="n">
        <v>0.3</v>
      </c>
      <c r="O690" s="13" t="n">
        <v>107</v>
      </c>
      <c r="P690" s="13" t="s">
        <v>213</v>
      </c>
      <c r="Q690" s="13" t="s">
        <v>2415</v>
      </c>
      <c r="R690" s="13" t="s">
        <v>1274</v>
      </c>
      <c r="S690" s="13" t="s">
        <v>1274</v>
      </c>
      <c r="T690" s="13" t="s">
        <v>61</v>
      </c>
      <c r="U690" s="13"/>
    </row>
    <row r="691" customFormat="false" ht="18" hidden="false" customHeight="true" outlineLevel="0" collapsed="false">
      <c r="A691" s="13" t="n">
        <v>690</v>
      </c>
      <c r="B691" s="13" t="s">
        <v>4452</v>
      </c>
      <c r="C691" s="13" t="s">
        <v>63</v>
      </c>
      <c r="D691" s="13" t="s">
        <v>64</v>
      </c>
      <c r="E691" s="13" t="s">
        <v>79</v>
      </c>
      <c r="F691" s="13" t="s">
        <v>1531</v>
      </c>
      <c r="G691" s="13" t="s">
        <v>80</v>
      </c>
      <c r="H691" s="13" t="s">
        <v>4453</v>
      </c>
      <c r="I691" s="13" t="s">
        <v>4454</v>
      </c>
      <c r="J691" s="13" t="s">
        <v>4455</v>
      </c>
      <c r="K691" s="13" t="s">
        <v>4456</v>
      </c>
      <c r="L691" s="13" t="s">
        <v>3294</v>
      </c>
      <c r="M691" s="13" t="n">
        <v>1890.52</v>
      </c>
      <c r="N691" s="13" t="n">
        <v>2.41</v>
      </c>
      <c r="O691" s="13" t="n">
        <v>70</v>
      </c>
      <c r="P691" s="13" t="s">
        <v>3295</v>
      </c>
      <c r="Q691" s="13" t="s">
        <v>4457</v>
      </c>
      <c r="R691" s="13" t="s">
        <v>888</v>
      </c>
      <c r="S691" s="13" t="s">
        <v>888</v>
      </c>
      <c r="T691" s="13" t="s">
        <v>61</v>
      </c>
      <c r="U691" s="13"/>
    </row>
    <row r="692" customFormat="false" ht="18" hidden="false" customHeight="true" outlineLevel="0" collapsed="false">
      <c r="A692" s="13" t="n">
        <v>691</v>
      </c>
      <c r="B692" s="13" t="s">
        <v>4458</v>
      </c>
      <c r="C692" s="13" t="s">
        <v>255</v>
      </c>
      <c r="D692" s="13" t="s">
        <v>256</v>
      </c>
      <c r="E692" s="13" t="s">
        <v>79</v>
      </c>
      <c r="F692" s="13" t="s">
        <v>465</v>
      </c>
      <c r="G692" s="13" t="s">
        <v>760</v>
      </c>
      <c r="H692" s="13" t="s">
        <v>4459</v>
      </c>
      <c r="I692" s="13" t="s">
        <v>4460</v>
      </c>
      <c r="J692" s="13" t="s">
        <v>4461</v>
      </c>
      <c r="K692" s="13" t="s">
        <v>4462</v>
      </c>
      <c r="L692" s="13" t="s">
        <v>765</v>
      </c>
      <c r="M692" s="13" t="n">
        <v>1983.34</v>
      </c>
      <c r="N692" s="13" t="n">
        <v>2.42</v>
      </c>
      <c r="O692" s="13" t="n">
        <v>229</v>
      </c>
      <c r="P692" s="13" t="s">
        <v>766</v>
      </c>
      <c r="Q692" s="13" t="s">
        <v>4463</v>
      </c>
      <c r="R692" s="13" t="s">
        <v>147</v>
      </c>
      <c r="S692" s="13" t="s">
        <v>147</v>
      </c>
      <c r="T692" s="13" t="s">
        <v>61</v>
      </c>
      <c r="U692" s="13"/>
    </row>
    <row r="693" customFormat="false" ht="18" hidden="false" customHeight="true" outlineLevel="0" collapsed="false">
      <c r="A693" s="14" t="n">
        <v>692</v>
      </c>
      <c r="B693" s="14" t="s">
        <v>4464</v>
      </c>
      <c r="C693" s="14" t="s">
        <v>77</v>
      </c>
      <c r="D693" s="14" t="s">
        <v>78</v>
      </c>
      <c r="E693" s="14" t="s">
        <v>91</v>
      </c>
      <c r="F693" s="14"/>
      <c r="G693" s="14" t="s">
        <v>743</v>
      </c>
      <c r="H693" s="14" t="s">
        <v>4465</v>
      </c>
      <c r="I693" s="14" t="s">
        <v>4466</v>
      </c>
      <c r="J693" s="14" t="s">
        <v>4467</v>
      </c>
      <c r="K693" s="14" t="s">
        <v>4468</v>
      </c>
      <c r="L693" s="14" t="s">
        <v>2961</v>
      </c>
      <c r="M693" s="14" t="n">
        <v>2828.94</v>
      </c>
      <c r="N693" s="14" t="n">
        <v>50</v>
      </c>
      <c r="O693" s="14" t="n">
        <v>334</v>
      </c>
      <c r="P693" s="14" t="s">
        <v>2962</v>
      </c>
      <c r="Q693" s="14" t="s">
        <v>193</v>
      </c>
      <c r="R693" s="14" t="s">
        <v>3641</v>
      </c>
      <c r="S693" s="14" t="s">
        <v>3641</v>
      </c>
      <c r="T693" s="14" t="s">
        <v>61</v>
      </c>
      <c r="U693" s="14" t="s">
        <v>89</v>
      </c>
    </row>
    <row r="694" customFormat="false" ht="18" hidden="false" customHeight="true" outlineLevel="0" collapsed="false">
      <c r="A694" s="13" t="n">
        <v>693</v>
      </c>
      <c r="B694" s="13" t="s">
        <v>4469</v>
      </c>
      <c r="C694" s="13" t="s">
        <v>173</v>
      </c>
      <c r="D694" s="13" t="s">
        <v>174</v>
      </c>
      <c r="E694" s="13" t="s">
        <v>161</v>
      </c>
      <c r="F694" s="13" t="s">
        <v>295</v>
      </c>
      <c r="G694" s="13" t="s">
        <v>296</v>
      </c>
      <c r="H694" s="13" t="s">
        <v>4470</v>
      </c>
      <c r="I694" s="13" t="s">
        <v>4471</v>
      </c>
      <c r="J694" s="13" t="s">
        <v>4472</v>
      </c>
      <c r="K694" s="13" t="s">
        <v>4473</v>
      </c>
      <c r="L694" s="13" t="s">
        <v>301</v>
      </c>
      <c r="M694" s="13" t="n">
        <v>370.18</v>
      </c>
      <c r="N694" s="13" t="n">
        <v>0.44</v>
      </c>
      <c r="O694" s="13" t="n">
        <v>333</v>
      </c>
      <c r="P694" s="13" t="s">
        <v>302</v>
      </c>
      <c r="Q694" s="13" t="s">
        <v>1873</v>
      </c>
      <c r="R694" s="13" t="s">
        <v>2715</v>
      </c>
      <c r="S694" s="13" t="s">
        <v>2715</v>
      </c>
      <c r="T694" s="13" t="s">
        <v>61</v>
      </c>
      <c r="U694" s="13"/>
    </row>
    <row r="695" customFormat="false" ht="18" hidden="false" customHeight="true" outlineLevel="0" collapsed="false">
      <c r="A695" s="13" t="n">
        <v>694</v>
      </c>
      <c r="B695" s="13" t="s">
        <v>4474</v>
      </c>
      <c r="C695" s="13" t="s">
        <v>77</v>
      </c>
      <c r="D695" s="13" t="s">
        <v>78</v>
      </c>
      <c r="E695" s="13" t="s">
        <v>65</v>
      </c>
      <c r="F695" s="13" t="s">
        <v>66</v>
      </c>
      <c r="G695" s="13" t="s">
        <v>372</v>
      </c>
      <c r="H695" s="13" t="s">
        <v>4475</v>
      </c>
      <c r="I695" s="13" t="s">
        <v>4476</v>
      </c>
      <c r="J695" s="13" t="s">
        <v>4477</v>
      </c>
      <c r="K695" s="13" t="s">
        <v>649</v>
      </c>
      <c r="L695" s="13" t="s">
        <v>650</v>
      </c>
      <c r="M695" s="13" t="n">
        <v>231.13</v>
      </c>
      <c r="N695" s="13" t="n">
        <v>1.34</v>
      </c>
      <c r="O695" s="13" t="n">
        <v>211</v>
      </c>
      <c r="P695" s="13" t="s">
        <v>651</v>
      </c>
      <c r="Q695" s="13" t="s">
        <v>4478</v>
      </c>
      <c r="R695" s="13" t="s">
        <v>323</v>
      </c>
      <c r="S695" s="13" t="s">
        <v>323</v>
      </c>
      <c r="T695" s="13" t="s">
        <v>61</v>
      </c>
      <c r="U695" s="13"/>
    </row>
    <row r="696" customFormat="false" ht="18" hidden="false" customHeight="true" outlineLevel="0" collapsed="false">
      <c r="A696" s="13" t="n">
        <v>695</v>
      </c>
      <c r="B696" s="13" t="s">
        <v>4479</v>
      </c>
      <c r="C696" s="13" t="s">
        <v>113</v>
      </c>
      <c r="D696" s="13" t="s">
        <v>114</v>
      </c>
      <c r="E696" s="13" t="s">
        <v>50</v>
      </c>
      <c r="F696" s="13" t="s">
        <v>51</v>
      </c>
      <c r="G696" s="13" t="s">
        <v>808</v>
      </c>
      <c r="H696" s="13" t="s">
        <v>4480</v>
      </c>
      <c r="I696" s="13" t="s">
        <v>4481</v>
      </c>
      <c r="J696" s="13" t="s">
        <v>4482</v>
      </c>
      <c r="K696" s="13" t="s">
        <v>4483</v>
      </c>
      <c r="L696" s="13" t="s">
        <v>1857</v>
      </c>
      <c r="M696" s="13" t="n">
        <v>650.03</v>
      </c>
      <c r="N696" s="13" t="n">
        <v>0.54</v>
      </c>
      <c r="O696" s="13" t="n">
        <v>40</v>
      </c>
      <c r="P696" s="13" t="s">
        <v>1858</v>
      </c>
      <c r="Q696" s="13" t="s">
        <v>4244</v>
      </c>
      <c r="R696" s="13" t="s">
        <v>3050</v>
      </c>
      <c r="S696" s="13" t="s">
        <v>3050</v>
      </c>
      <c r="T696" s="13" t="s">
        <v>61</v>
      </c>
      <c r="U696" s="13"/>
    </row>
    <row r="697" customFormat="false" ht="18" hidden="false" customHeight="true" outlineLevel="0" collapsed="false">
      <c r="A697" s="13" t="n">
        <v>696</v>
      </c>
      <c r="B697" s="13" t="s">
        <v>4484</v>
      </c>
      <c r="C697" s="13" t="s">
        <v>255</v>
      </c>
      <c r="D697" s="13" t="s">
        <v>256</v>
      </c>
      <c r="E697" s="13" t="s">
        <v>50</v>
      </c>
      <c r="F697" s="13" t="s">
        <v>115</v>
      </c>
      <c r="G697" s="13" t="s">
        <v>217</v>
      </c>
      <c r="H697" s="13" t="s">
        <v>4485</v>
      </c>
      <c r="I697" s="13" t="s">
        <v>4486</v>
      </c>
      <c r="J697" s="13" t="s">
        <v>4487</v>
      </c>
      <c r="K697" s="13" t="s">
        <v>4488</v>
      </c>
      <c r="L697" s="13" t="s">
        <v>366</v>
      </c>
      <c r="M697" s="13" t="n">
        <v>1103.14</v>
      </c>
      <c r="N697" s="13" t="n">
        <v>0.8</v>
      </c>
      <c r="O697" s="13" t="n">
        <v>296</v>
      </c>
      <c r="P697" s="13" t="s">
        <v>367</v>
      </c>
      <c r="Q697" s="13" t="s">
        <v>4489</v>
      </c>
      <c r="R697" s="13" t="s">
        <v>2503</v>
      </c>
      <c r="S697" s="13" t="s">
        <v>2503</v>
      </c>
      <c r="T697" s="13" t="s">
        <v>61</v>
      </c>
      <c r="U697" s="13"/>
    </row>
    <row r="698" customFormat="false" ht="18" hidden="false" customHeight="true" outlineLevel="0" collapsed="false">
      <c r="A698" s="15" t="n">
        <v>697</v>
      </c>
      <c r="B698" s="15" t="s">
        <v>4490</v>
      </c>
      <c r="C698" s="15" t="s">
        <v>159</v>
      </c>
      <c r="D698" s="15" t="s">
        <v>160</v>
      </c>
      <c r="E698" s="15" t="s">
        <v>65</v>
      </c>
      <c r="F698" s="15" t="s">
        <v>227</v>
      </c>
      <c r="G698" s="15" t="s">
        <v>103</v>
      </c>
      <c r="H698" s="15" t="s">
        <v>4491</v>
      </c>
      <c r="I698" s="15" t="s">
        <v>4492</v>
      </c>
      <c r="J698" s="15" t="s">
        <v>4493</v>
      </c>
      <c r="K698" s="15" t="s">
        <v>4494</v>
      </c>
      <c r="L698" s="15" t="s">
        <v>1927</v>
      </c>
      <c r="M698" s="15" t="n">
        <v>46.73</v>
      </c>
      <c r="N698" s="15" t="n">
        <v>0.38</v>
      </c>
      <c r="O698" s="15" t="n">
        <v>191</v>
      </c>
      <c r="P698" s="15" t="s">
        <v>1928</v>
      </c>
      <c r="Q698" s="15" t="s">
        <v>954</v>
      </c>
      <c r="R698" s="15" t="s">
        <v>3125</v>
      </c>
      <c r="S698" s="15" t="s">
        <v>3125</v>
      </c>
      <c r="T698" s="15" t="s">
        <v>61</v>
      </c>
      <c r="U698" s="15" t="s">
        <v>778</v>
      </c>
    </row>
    <row r="699" customFormat="false" ht="18" hidden="false" customHeight="true" outlineLevel="0" collapsed="false">
      <c r="A699" s="13" t="n">
        <v>698</v>
      </c>
      <c r="B699" s="13" t="s">
        <v>4495</v>
      </c>
      <c r="C699" s="13" t="s">
        <v>77</v>
      </c>
      <c r="D699" s="13" t="s">
        <v>78</v>
      </c>
      <c r="E699" s="13" t="s">
        <v>50</v>
      </c>
      <c r="F699" s="13" t="s">
        <v>503</v>
      </c>
      <c r="G699" s="13" t="s">
        <v>689</v>
      </c>
      <c r="H699" s="13" t="s">
        <v>4496</v>
      </c>
      <c r="I699" s="13" t="s">
        <v>4497</v>
      </c>
      <c r="J699" s="13" t="s">
        <v>4498</v>
      </c>
      <c r="K699" s="13" t="s">
        <v>2613</v>
      </c>
      <c r="L699" s="13" t="s">
        <v>1298</v>
      </c>
      <c r="M699" s="13" t="n">
        <v>714.2</v>
      </c>
      <c r="N699" s="13" t="n">
        <v>0.38</v>
      </c>
      <c r="O699" s="13" t="n">
        <v>366</v>
      </c>
      <c r="P699" s="13" t="s">
        <v>1299</v>
      </c>
      <c r="Q699" s="13" t="s">
        <v>4499</v>
      </c>
      <c r="R699" s="13" t="s">
        <v>531</v>
      </c>
      <c r="S699" s="13" t="s">
        <v>531</v>
      </c>
      <c r="T699" s="13" t="s">
        <v>61</v>
      </c>
      <c r="U699" s="13"/>
    </row>
    <row r="700" customFormat="false" ht="18" hidden="false" customHeight="true" outlineLevel="0" collapsed="false">
      <c r="A700" s="13" t="n">
        <v>699</v>
      </c>
      <c r="B700" s="13" t="s">
        <v>4500</v>
      </c>
      <c r="C700" s="13" t="s">
        <v>125</v>
      </c>
      <c r="D700" s="13" t="s">
        <v>126</v>
      </c>
      <c r="E700" s="13" t="s">
        <v>161</v>
      </c>
      <c r="F700" s="13" t="s">
        <v>822</v>
      </c>
      <c r="G700" s="13" t="s">
        <v>334</v>
      </c>
      <c r="H700" s="13" t="s">
        <v>4501</v>
      </c>
      <c r="I700" s="13" t="s">
        <v>4502</v>
      </c>
      <c r="J700" s="13" t="s">
        <v>4503</v>
      </c>
      <c r="K700" s="13" t="s">
        <v>4504</v>
      </c>
      <c r="L700" s="13" t="s">
        <v>4406</v>
      </c>
      <c r="M700" s="13" t="n">
        <v>245.52</v>
      </c>
      <c r="N700" s="13" t="n">
        <v>0.37</v>
      </c>
      <c r="O700" s="13" t="n">
        <v>31</v>
      </c>
      <c r="P700" s="13" t="s">
        <v>4407</v>
      </c>
      <c r="Q700" s="13" t="s">
        <v>349</v>
      </c>
      <c r="R700" s="13" t="s">
        <v>407</v>
      </c>
      <c r="S700" s="13" t="s">
        <v>407</v>
      </c>
      <c r="T700" s="13" t="s">
        <v>61</v>
      </c>
      <c r="U700" s="13"/>
    </row>
    <row r="701" customFormat="false" ht="18" hidden="false" customHeight="true" outlineLevel="0" collapsed="false">
      <c r="A701" s="14" t="n">
        <v>700</v>
      </c>
      <c r="B701" s="14" t="s">
        <v>4505</v>
      </c>
      <c r="C701" s="14" t="s">
        <v>113</v>
      </c>
      <c r="D701" s="14" t="s">
        <v>114</v>
      </c>
      <c r="E701" s="14" t="s">
        <v>65</v>
      </c>
      <c r="F701" s="14" t="s">
        <v>438</v>
      </c>
      <c r="G701" s="14" t="s">
        <v>724</v>
      </c>
      <c r="H701" s="14" t="s">
        <v>4506</v>
      </c>
      <c r="I701" s="14" t="s">
        <v>4507</v>
      </c>
      <c r="J701" s="14" t="s">
        <v>4508</v>
      </c>
      <c r="K701" s="14" t="s">
        <v>1363</v>
      </c>
      <c r="L701" s="14"/>
      <c r="M701" s="14" t="n">
        <v>392.4</v>
      </c>
      <c r="N701" s="14" t="n">
        <v>0.54</v>
      </c>
      <c r="O701" s="14" t="n">
        <v>426</v>
      </c>
      <c r="P701" s="14" t="s">
        <v>1365</v>
      </c>
      <c r="Q701" s="14" t="s">
        <v>2502</v>
      </c>
      <c r="R701" s="14" t="s">
        <v>2392</v>
      </c>
      <c r="S701" s="14" t="s">
        <v>2392</v>
      </c>
      <c r="T701" s="14" t="s">
        <v>61</v>
      </c>
      <c r="U701" s="14" t="s">
        <v>1107</v>
      </c>
    </row>
    <row r="702" customFormat="false" ht="18" hidden="false" customHeight="true" outlineLevel="0" collapsed="false">
      <c r="A702" s="13" t="n">
        <v>701</v>
      </c>
      <c r="B702" s="13" t="s">
        <v>4509</v>
      </c>
      <c r="C702" s="13" t="s">
        <v>125</v>
      </c>
      <c r="D702" s="13" t="s">
        <v>126</v>
      </c>
      <c r="E702" s="13" t="s">
        <v>50</v>
      </c>
      <c r="F702" s="13" t="s">
        <v>115</v>
      </c>
      <c r="G702" s="13" t="s">
        <v>352</v>
      </c>
      <c r="H702" s="13" t="s">
        <v>4510</v>
      </c>
      <c r="I702" s="13" t="s">
        <v>4511</v>
      </c>
      <c r="J702" s="13" t="s">
        <v>4512</v>
      </c>
      <c r="K702" s="13" t="s">
        <v>4513</v>
      </c>
      <c r="L702" s="13" t="s">
        <v>1280</v>
      </c>
      <c r="M702" s="13" t="n">
        <v>448.18</v>
      </c>
      <c r="N702" s="13" t="n">
        <v>0.5</v>
      </c>
      <c r="O702" s="13" t="n">
        <v>232</v>
      </c>
      <c r="P702" s="13" t="s">
        <v>1281</v>
      </c>
      <c r="Q702" s="13" t="s">
        <v>4327</v>
      </c>
      <c r="R702" s="13" t="s">
        <v>1003</v>
      </c>
      <c r="S702" s="13" t="s">
        <v>1003</v>
      </c>
      <c r="T702" s="13" t="s">
        <v>61</v>
      </c>
      <c r="U702" s="13"/>
    </row>
    <row r="703" customFormat="false" ht="18" hidden="false" customHeight="true" outlineLevel="0" collapsed="false">
      <c r="A703" s="13" t="n">
        <v>702</v>
      </c>
      <c r="B703" s="13" t="s">
        <v>4514</v>
      </c>
      <c r="C703" s="13" t="s">
        <v>125</v>
      </c>
      <c r="D703" s="13" t="s">
        <v>126</v>
      </c>
      <c r="E703" s="13" t="s">
        <v>79</v>
      </c>
      <c r="F703" s="13" t="s">
        <v>1531</v>
      </c>
      <c r="G703" s="13" t="s">
        <v>562</v>
      </c>
      <c r="H703" s="13" t="s">
        <v>4515</v>
      </c>
      <c r="I703" s="13" t="s">
        <v>4516</v>
      </c>
      <c r="J703" s="13" t="s">
        <v>4517</v>
      </c>
      <c r="K703" s="13" t="s">
        <v>4518</v>
      </c>
      <c r="L703" s="13" t="s">
        <v>3280</v>
      </c>
      <c r="M703" s="13" t="n">
        <v>2345.92</v>
      </c>
      <c r="N703" s="13" t="n">
        <v>2.18</v>
      </c>
      <c r="O703" s="13" t="n">
        <v>254</v>
      </c>
      <c r="P703" s="13" t="s">
        <v>3281</v>
      </c>
      <c r="Q703" s="13" t="s">
        <v>4519</v>
      </c>
      <c r="R703" s="13" t="s">
        <v>4520</v>
      </c>
      <c r="S703" s="13" t="s">
        <v>4520</v>
      </c>
      <c r="T703" s="13" t="s">
        <v>61</v>
      </c>
      <c r="U703" s="13"/>
    </row>
    <row r="704" customFormat="false" ht="18" hidden="false" customHeight="true" outlineLevel="0" collapsed="false">
      <c r="A704" s="13" t="n">
        <v>703</v>
      </c>
      <c r="B704" s="13" t="s">
        <v>4521</v>
      </c>
      <c r="C704" s="13" t="s">
        <v>255</v>
      </c>
      <c r="D704" s="13" t="s">
        <v>256</v>
      </c>
      <c r="E704" s="13" t="s">
        <v>79</v>
      </c>
      <c r="F704" s="13" t="s">
        <v>51</v>
      </c>
      <c r="G704" s="13" t="s">
        <v>514</v>
      </c>
      <c r="H704" s="13" t="s">
        <v>4522</v>
      </c>
      <c r="I704" s="13" t="s">
        <v>4523</v>
      </c>
      <c r="J704" s="13" t="s">
        <v>4524</v>
      </c>
      <c r="K704" s="13" t="s">
        <v>4525</v>
      </c>
      <c r="L704" s="13" t="s">
        <v>1088</v>
      </c>
      <c r="M704" s="13" t="n">
        <v>1746.11</v>
      </c>
      <c r="N704" s="13" t="n">
        <v>1.84</v>
      </c>
      <c r="O704" s="13" t="n">
        <v>431</v>
      </c>
      <c r="P704" s="13" t="s">
        <v>1089</v>
      </c>
      <c r="Q704" s="13" t="s">
        <v>4526</v>
      </c>
      <c r="R704" s="13" t="s">
        <v>855</v>
      </c>
      <c r="S704" s="13" t="s">
        <v>855</v>
      </c>
      <c r="T704" s="13" t="s">
        <v>61</v>
      </c>
      <c r="U704" s="13"/>
    </row>
    <row r="705" customFormat="false" ht="18" hidden="false" customHeight="true" outlineLevel="0" collapsed="false">
      <c r="A705" s="14" t="n">
        <v>704</v>
      </c>
      <c r="B705" s="14" t="s">
        <v>4527</v>
      </c>
      <c r="C705" s="14" t="s">
        <v>125</v>
      </c>
      <c r="D705" s="14" t="s">
        <v>126</v>
      </c>
      <c r="E705" s="14" t="s">
        <v>79</v>
      </c>
      <c r="F705" s="14" t="s">
        <v>51</v>
      </c>
      <c r="G705" s="14" t="s">
        <v>80</v>
      </c>
      <c r="H705" s="14" t="s">
        <v>4528</v>
      </c>
      <c r="I705" s="14" t="s">
        <v>4529</v>
      </c>
      <c r="J705" s="14" t="s">
        <v>4530</v>
      </c>
      <c r="K705" s="14" t="s">
        <v>4531</v>
      </c>
      <c r="L705" s="14"/>
      <c r="M705" s="14" t="n">
        <v>2200.06</v>
      </c>
      <c r="N705" s="14" t="n">
        <v>1.82</v>
      </c>
      <c r="O705" s="14" t="n">
        <v>465</v>
      </c>
      <c r="P705" s="14" t="s">
        <v>836</v>
      </c>
      <c r="Q705" s="14" t="s">
        <v>619</v>
      </c>
      <c r="R705" s="14" t="s">
        <v>4532</v>
      </c>
      <c r="S705" s="14" t="s">
        <v>4532</v>
      </c>
      <c r="T705" s="14" t="s">
        <v>61</v>
      </c>
      <c r="U705" s="14" t="s">
        <v>1107</v>
      </c>
    </row>
    <row r="706" customFormat="false" ht="18" hidden="false" customHeight="true" outlineLevel="0" collapsed="false">
      <c r="A706" s="13" t="n">
        <v>705</v>
      </c>
      <c r="B706" s="13" t="s">
        <v>4533</v>
      </c>
      <c r="C706" s="13" t="s">
        <v>48</v>
      </c>
      <c r="D706" s="13" t="s">
        <v>49</v>
      </c>
      <c r="E706" s="13" t="s">
        <v>50</v>
      </c>
      <c r="F706" s="13" t="s">
        <v>503</v>
      </c>
      <c r="G706" s="13" t="s">
        <v>689</v>
      </c>
      <c r="H706" s="13" t="s">
        <v>4534</v>
      </c>
      <c r="I706" s="13" t="s">
        <v>4535</v>
      </c>
      <c r="J706" s="13" t="s">
        <v>4536</v>
      </c>
      <c r="K706" s="13" t="s">
        <v>4537</v>
      </c>
      <c r="L706" s="13" t="s">
        <v>1298</v>
      </c>
      <c r="M706" s="13" t="n">
        <v>273.66</v>
      </c>
      <c r="N706" s="13" t="n">
        <v>0.35</v>
      </c>
      <c r="O706" s="13" t="n">
        <v>308</v>
      </c>
      <c r="P706" s="13" t="s">
        <v>1299</v>
      </c>
      <c r="Q706" s="13" t="s">
        <v>4018</v>
      </c>
      <c r="R706" s="13" t="s">
        <v>4272</v>
      </c>
      <c r="S706" s="13" t="s">
        <v>4272</v>
      </c>
      <c r="T706" s="13" t="s">
        <v>61</v>
      </c>
      <c r="U706" s="13"/>
    </row>
    <row r="707" customFormat="false" ht="18" hidden="false" customHeight="true" outlineLevel="0" collapsed="false">
      <c r="A707" s="13" t="n">
        <v>706</v>
      </c>
      <c r="B707" s="13" t="s">
        <v>2026</v>
      </c>
      <c r="C707" s="13" t="s">
        <v>159</v>
      </c>
      <c r="D707" s="13" t="s">
        <v>160</v>
      </c>
      <c r="E707" s="13" t="s">
        <v>50</v>
      </c>
      <c r="F707" s="13" t="s">
        <v>503</v>
      </c>
      <c r="G707" s="13" t="s">
        <v>352</v>
      </c>
      <c r="H707" s="13" t="s">
        <v>2027</v>
      </c>
      <c r="I707" s="13" t="s">
        <v>2028</v>
      </c>
      <c r="J707" s="13" t="s">
        <v>2029</v>
      </c>
      <c r="K707" s="13" t="s">
        <v>1265</v>
      </c>
      <c r="L707" s="13" t="s">
        <v>508</v>
      </c>
      <c r="M707" s="13" t="n">
        <v>912.67</v>
      </c>
      <c r="N707" s="13" t="n">
        <v>0.79</v>
      </c>
      <c r="O707" s="13" t="n">
        <v>375</v>
      </c>
      <c r="P707" s="13" t="s">
        <v>509</v>
      </c>
      <c r="Q707" s="13" t="s">
        <v>1266</v>
      </c>
      <c r="R707" s="13" t="s">
        <v>2030</v>
      </c>
      <c r="S707" s="13" t="s">
        <v>2030</v>
      </c>
      <c r="T707" s="13" t="s">
        <v>61</v>
      </c>
      <c r="U707" s="13"/>
    </row>
    <row r="708" customFormat="false" ht="18" hidden="false" customHeight="true" outlineLevel="0" collapsed="false">
      <c r="A708" s="15" t="n">
        <v>707</v>
      </c>
      <c r="B708" s="15" t="s">
        <v>4538</v>
      </c>
      <c r="C708" s="15" t="s">
        <v>125</v>
      </c>
      <c r="D708" s="15" t="s">
        <v>126</v>
      </c>
      <c r="E708" s="15" t="s">
        <v>91</v>
      </c>
      <c r="F708" s="15" t="s">
        <v>419</v>
      </c>
      <c r="G708" s="15" t="s">
        <v>93</v>
      </c>
      <c r="H708" s="15" t="s">
        <v>4539</v>
      </c>
      <c r="I708" s="15" t="s">
        <v>4540</v>
      </c>
      <c r="J708" s="15" t="s">
        <v>4541</v>
      </c>
      <c r="K708" s="15" t="s">
        <v>4542</v>
      </c>
      <c r="L708" s="15" t="s">
        <v>624</v>
      </c>
      <c r="M708" s="15" t="n">
        <v>17644.71</v>
      </c>
      <c r="N708" s="15" t="n">
        <v>18.6</v>
      </c>
      <c r="O708" s="15" t="n">
        <v>108</v>
      </c>
      <c r="P708" s="15" t="s">
        <v>625</v>
      </c>
      <c r="Q708" s="15" t="s">
        <v>2786</v>
      </c>
      <c r="R708" s="15" t="s">
        <v>2569</v>
      </c>
      <c r="S708" s="15" t="s">
        <v>2569</v>
      </c>
      <c r="T708" s="15" t="s">
        <v>61</v>
      </c>
      <c r="U708" s="15" t="s">
        <v>343</v>
      </c>
    </row>
    <row r="709" customFormat="false" ht="18" hidden="false" customHeight="true" outlineLevel="0" collapsed="false">
      <c r="A709" s="13" t="n">
        <v>708</v>
      </c>
      <c r="B709" s="13" t="s">
        <v>4543</v>
      </c>
      <c r="C709" s="13" t="s">
        <v>125</v>
      </c>
      <c r="D709" s="13" t="s">
        <v>126</v>
      </c>
      <c r="E709" s="13" t="s">
        <v>91</v>
      </c>
      <c r="F709" s="13" t="s">
        <v>419</v>
      </c>
      <c r="G709" s="13" t="s">
        <v>93</v>
      </c>
      <c r="H709" s="13" t="s">
        <v>4544</v>
      </c>
      <c r="I709" s="13" t="s">
        <v>4545</v>
      </c>
      <c r="J709" s="13" t="s">
        <v>4546</v>
      </c>
      <c r="K709" s="13" t="s">
        <v>4547</v>
      </c>
      <c r="L709" s="13" t="s">
        <v>624</v>
      </c>
      <c r="M709" s="13" t="n">
        <v>3013.84</v>
      </c>
      <c r="N709" s="13" t="n">
        <v>20.67</v>
      </c>
      <c r="O709" s="13" t="n">
        <v>451</v>
      </c>
      <c r="P709" s="13" t="s">
        <v>625</v>
      </c>
      <c r="Q709" s="13" t="s">
        <v>4548</v>
      </c>
      <c r="R709" s="13" t="s">
        <v>3941</v>
      </c>
      <c r="S709" s="13" t="s">
        <v>3941</v>
      </c>
      <c r="T709" s="13" t="s">
        <v>61</v>
      </c>
      <c r="U709" s="13"/>
    </row>
    <row r="710" customFormat="false" ht="18" hidden="false" customHeight="true" outlineLevel="0" collapsed="false">
      <c r="A710" s="13" t="n">
        <v>709</v>
      </c>
      <c r="B710" s="13" t="s">
        <v>4549</v>
      </c>
      <c r="C710" s="13" t="s">
        <v>77</v>
      </c>
      <c r="D710" s="13" t="s">
        <v>78</v>
      </c>
      <c r="E710" s="13" t="s">
        <v>50</v>
      </c>
      <c r="F710" s="13" t="s">
        <v>115</v>
      </c>
      <c r="G710" s="13" t="s">
        <v>217</v>
      </c>
      <c r="H710" s="13" t="s">
        <v>4550</v>
      </c>
      <c r="I710" s="13" t="s">
        <v>4551</v>
      </c>
      <c r="J710" s="13" t="s">
        <v>4552</v>
      </c>
      <c r="K710" s="13" t="s">
        <v>4553</v>
      </c>
      <c r="L710" s="13" t="s">
        <v>366</v>
      </c>
      <c r="M710" s="13" t="n">
        <v>1077.6</v>
      </c>
      <c r="N710" s="13" t="n">
        <v>0.69</v>
      </c>
      <c r="O710" s="13" t="n">
        <v>393</v>
      </c>
      <c r="P710" s="13" t="s">
        <v>367</v>
      </c>
      <c r="Q710" s="13" t="s">
        <v>4554</v>
      </c>
      <c r="R710" s="13" t="s">
        <v>4555</v>
      </c>
      <c r="S710" s="13" t="s">
        <v>4555</v>
      </c>
      <c r="T710" s="13" t="s">
        <v>61</v>
      </c>
      <c r="U710" s="13"/>
    </row>
    <row r="711" customFormat="false" ht="18" hidden="false" customHeight="true" outlineLevel="0" collapsed="false">
      <c r="A711" s="13" t="n">
        <v>710</v>
      </c>
      <c r="B711" s="13" t="s">
        <v>4556</v>
      </c>
      <c r="C711" s="13" t="s">
        <v>159</v>
      </c>
      <c r="D711" s="13" t="s">
        <v>160</v>
      </c>
      <c r="E711" s="13" t="s">
        <v>50</v>
      </c>
      <c r="F711" s="13" t="s">
        <v>51</v>
      </c>
      <c r="G711" s="13" t="s">
        <v>352</v>
      </c>
      <c r="H711" s="13" t="s">
        <v>4557</v>
      </c>
      <c r="I711" s="13" t="s">
        <v>4558</v>
      </c>
      <c r="J711" s="13" t="s">
        <v>4559</v>
      </c>
      <c r="K711" s="13" t="s">
        <v>4560</v>
      </c>
      <c r="L711" s="13" t="s">
        <v>357</v>
      </c>
      <c r="M711" s="13" t="n">
        <v>934.49</v>
      </c>
      <c r="N711" s="13" t="n">
        <v>0.65</v>
      </c>
      <c r="O711" s="13" t="n">
        <v>85</v>
      </c>
      <c r="P711" s="13" t="s">
        <v>358</v>
      </c>
      <c r="Q711" s="13" t="s">
        <v>4561</v>
      </c>
      <c r="R711" s="13" t="s">
        <v>253</v>
      </c>
      <c r="S711" s="13" t="s">
        <v>253</v>
      </c>
      <c r="T711" s="13" t="s">
        <v>61</v>
      </c>
      <c r="U711" s="13"/>
    </row>
    <row r="712" customFormat="false" ht="18" hidden="false" customHeight="true" outlineLevel="0" collapsed="false">
      <c r="A712" s="13" t="n">
        <v>711</v>
      </c>
      <c r="B712" s="13" t="s">
        <v>4562</v>
      </c>
      <c r="C712" s="13" t="s">
        <v>125</v>
      </c>
      <c r="D712" s="13" t="s">
        <v>126</v>
      </c>
      <c r="E712" s="13" t="s">
        <v>91</v>
      </c>
      <c r="F712" s="13" t="s">
        <v>587</v>
      </c>
      <c r="G712" s="13" t="s">
        <v>533</v>
      </c>
      <c r="H712" s="13" t="s">
        <v>4563</v>
      </c>
      <c r="I712" s="13" t="s">
        <v>4564</v>
      </c>
      <c r="J712" s="13" t="s">
        <v>4565</v>
      </c>
      <c r="K712" s="13" t="s">
        <v>1826</v>
      </c>
      <c r="L712" s="13" t="s">
        <v>869</v>
      </c>
      <c r="M712" s="13" t="n">
        <v>2794.87</v>
      </c>
      <c r="N712" s="13" t="n">
        <v>10.3</v>
      </c>
      <c r="O712" s="13" t="n">
        <v>323</v>
      </c>
      <c r="P712" s="13" t="s">
        <v>870</v>
      </c>
      <c r="Q712" s="13" t="s">
        <v>4566</v>
      </c>
      <c r="R712" s="13" t="s">
        <v>4272</v>
      </c>
      <c r="S712" s="13" t="s">
        <v>4272</v>
      </c>
      <c r="T712" s="13" t="s">
        <v>61</v>
      </c>
      <c r="U712" s="13"/>
    </row>
    <row r="713" customFormat="false" ht="18" hidden="false" customHeight="true" outlineLevel="0" collapsed="false">
      <c r="A713" s="13" t="n">
        <v>712</v>
      </c>
      <c r="B713" s="13" t="s">
        <v>4567</v>
      </c>
      <c r="C713" s="13" t="s">
        <v>63</v>
      </c>
      <c r="D713" s="13" t="s">
        <v>64</v>
      </c>
      <c r="E713" s="13" t="s">
        <v>79</v>
      </c>
      <c r="F713" s="13" t="s">
        <v>1531</v>
      </c>
      <c r="G713" s="13" t="s">
        <v>80</v>
      </c>
      <c r="H713" s="13" t="s">
        <v>4568</v>
      </c>
      <c r="I713" s="13" t="s">
        <v>4569</v>
      </c>
      <c r="J713" s="13" t="s">
        <v>4570</v>
      </c>
      <c r="K713" s="13" t="s">
        <v>4456</v>
      </c>
      <c r="L713" s="13" t="s">
        <v>3294</v>
      </c>
      <c r="M713" s="13" t="n">
        <v>646.26</v>
      </c>
      <c r="N713" s="13" t="n">
        <v>1.69</v>
      </c>
      <c r="O713" s="13" t="n">
        <v>191</v>
      </c>
      <c r="P713" s="13" t="s">
        <v>3295</v>
      </c>
      <c r="Q713" s="13" t="s">
        <v>4571</v>
      </c>
      <c r="R713" s="13" t="s">
        <v>4572</v>
      </c>
      <c r="S713" s="13" t="s">
        <v>4572</v>
      </c>
      <c r="T713" s="13" t="s">
        <v>61</v>
      </c>
      <c r="U713" s="13"/>
    </row>
    <row r="714" customFormat="false" ht="18" hidden="false" customHeight="true" outlineLevel="0" collapsed="false">
      <c r="A714" s="13" t="n">
        <v>713</v>
      </c>
      <c r="B714" s="13" t="s">
        <v>4573</v>
      </c>
      <c r="C714" s="13" t="s">
        <v>113</v>
      </c>
      <c r="D714" s="13" t="s">
        <v>114</v>
      </c>
      <c r="E714" s="13" t="s">
        <v>161</v>
      </c>
      <c r="F714" s="13" t="s">
        <v>51</v>
      </c>
      <c r="G714" s="13" t="s">
        <v>207</v>
      </c>
      <c r="H714" s="13" t="s">
        <v>4574</v>
      </c>
      <c r="I714" s="13" t="s">
        <v>4575</v>
      </c>
      <c r="J714" s="13" t="s">
        <v>4576</v>
      </c>
      <c r="K714" s="13" t="s">
        <v>4577</v>
      </c>
      <c r="L714" s="13" t="s">
        <v>212</v>
      </c>
      <c r="M714" s="13" t="n">
        <v>505.4</v>
      </c>
      <c r="N714" s="13" t="n">
        <v>0.4</v>
      </c>
      <c r="O714" s="13" t="n">
        <v>330</v>
      </c>
      <c r="P714" s="13" t="s">
        <v>213</v>
      </c>
      <c r="Q714" s="13" t="s">
        <v>828</v>
      </c>
      <c r="R714" s="13" t="s">
        <v>2196</v>
      </c>
      <c r="S714" s="13" t="s">
        <v>2196</v>
      </c>
      <c r="T714" s="13" t="s">
        <v>61</v>
      </c>
      <c r="U714" s="13"/>
    </row>
    <row r="715" customFormat="false" ht="18" hidden="false" customHeight="true" outlineLevel="0" collapsed="false">
      <c r="A715" s="13" t="n">
        <v>714</v>
      </c>
      <c r="B715" s="13" t="s">
        <v>4578</v>
      </c>
      <c r="C715" s="13" t="s">
        <v>113</v>
      </c>
      <c r="D715" s="13" t="s">
        <v>114</v>
      </c>
      <c r="E715" s="13" t="s">
        <v>50</v>
      </c>
      <c r="F715" s="13" t="s">
        <v>51</v>
      </c>
      <c r="G715" s="13" t="s">
        <v>52</v>
      </c>
      <c r="H715" s="13" t="s">
        <v>4579</v>
      </c>
      <c r="I715" s="13" t="s">
        <v>4580</v>
      </c>
      <c r="J715" s="13" t="s">
        <v>4581</v>
      </c>
      <c r="K715" s="13" t="s">
        <v>1763</v>
      </c>
      <c r="L715" s="13" t="s">
        <v>57</v>
      </c>
      <c r="M715" s="13" t="n">
        <v>909.24</v>
      </c>
      <c r="N715" s="13" t="n">
        <v>0.61</v>
      </c>
      <c r="O715" s="13" t="n">
        <v>252</v>
      </c>
      <c r="P715" s="13" t="s">
        <v>58</v>
      </c>
      <c r="Q715" s="13" t="s">
        <v>4582</v>
      </c>
      <c r="R715" s="13" t="s">
        <v>2738</v>
      </c>
      <c r="S715" s="13" t="s">
        <v>2738</v>
      </c>
      <c r="T715" s="13" t="s">
        <v>61</v>
      </c>
      <c r="U715" s="13"/>
    </row>
    <row r="716" customFormat="false" ht="18" hidden="false" customHeight="true" outlineLevel="0" collapsed="false">
      <c r="A716" s="13" t="n">
        <v>715</v>
      </c>
      <c r="B716" s="13" t="s">
        <v>4583</v>
      </c>
      <c r="C716" s="13" t="s">
        <v>159</v>
      </c>
      <c r="D716" s="13" t="s">
        <v>160</v>
      </c>
      <c r="E716" s="13" t="s">
        <v>50</v>
      </c>
      <c r="F716" s="13" t="s">
        <v>51</v>
      </c>
      <c r="G716" s="13" t="s">
        <v>52</v>
      </c>
      <c r="H716" s="13" t="s">
        <v>4584</v>
      </c>
      <c r="I716" s="13" t="s">
        <v>4585</v>
      </c>
      <c r="J716" s="13" t="s">
        <v>4586</v>
      </c>
      <c r="K716" s="13" t="s">
        <v>1819</v>
      </c>
      <c r="L716" s="13" t="s">
        <v>57</v>
      </c>
      <c r="M716" s="13" t="n">
        <v>570.58</v>
      </c>
      <c r="N716" s="13" t="n">
        <v>0.69</v>
      </c>
      <c r="O716" s="13" t="n">
        <v>19</v>
      </c>
      <c r="P716" s="13" t="s">
        <v>58</v>
      </c>
      <c r="Q716" s="13" t="s">
        <v>3361</v>
      </c>
      <c r="R716" s="13" t="s">
        <v>3641</v>
      </c>
      <c r="S716" s="13" t="s">
        <v>3641</v>
      </c>
      <c r="T716" s="13" t="s">
        <v>61</v>
      </c>
      <c r="U716" s="13"/>
    </row>
    <row r="717" customFormat="false" ht="18" hidden="false" customHeight="true" outlineLevel="0" collapsed="false">
      <c r="A717" s="15" t="n">
        <v>716</v>
      </c>
      <c r="B717" s="15" t="s">
        <v>2468</v>
      </c>
      <c r="C717" s="15" t="s">
        <v>173</v>
      </c>
      <c r="D717" s="15" t="s">
        <v>174</v>
      </c>
      <c r="E717" s="15" t="s">
        <v>91</v>
      </c>
      <c r="F717" s="15" t="s">
        <v>780</v>
      </c>
      <c r="G717" s="15" t="s">
        <v>186</v>
      </c>
      <c r="H717" s="15" t="s">
        <v>2469</v>
      </c>
      <c r="I717" s="15" t="s">
        <v>2470</v>
      </c>
      <c r="J717" s="15" t="s">
        <v>2471</v>
      </c>
      <c r="K717" s="15" t="s">
        <v>2472</v>
      </c>
      <c r="L717" s="15" t="s">
        <v>1163</v>
      </c>
      <c r="M717" s="15" t="n">
        <v>31114.33</v>
      </c>
      <c r="N717" s="15" t="n">
        <v>8.92</v>
      </c>
      <c r="O717" s="15" t="n">
        <v>498</v>
      </c>
      <c r="P717" s="15" t="s">
        <v>1164</v>
      </c>
      <c r="Q717" s="15" t="s">
        <v>2473</v>
      </c>
      <c r="R717" s="15" t="s">
        <v>2474</v>
      </c>
      <c r="S717" s="15" t="s">
        <v>2474</v>
      </c>
      <c r="T717" s="15" t="s">
        <v>61</v>
      </c>
      <c r="U717" s="15" t="s">
        <v>343</v>
      </c>
    </row>
    <row r="718" customFormat="false" ht="18" hidden="false" customHeight="true" outlineLevel="0" collapsed="false">
      <c r="A718" s="13" t="n">
        <v>717</v>
      </c>
      <c r="B718" s="13" t="s">
        <v>4587</v>
      </c>
      <c r="C718" s="13" t="s">
        <v>77</v>
      </c>
      <c r="D718" s="13" t="s">
        <v>78</v>
      </c>
      <c r="E718" s="13" t="s">
        <v>50</v>
      </c>
      <c r="F718" s="13" t="s">
        <v>503</v>
      </c>
      <c r="G718" s="13" t="s">
        <v>52</v>
      </c>
      <c r="H718" s="13" t="s">
        <v>4588</v>
      </c>
      <c r="I718" s="13" t="s">
        <v>4589</v>
      </c>
      <c r="J718" s="13" t="s">
        <v>4590</v>
      </c>
      <c r="K718" s="13" t="s">
        <v>4591</v>
      </c>
      <c r="L718" s="13" t="s">
        <v>969</v>
      </c>
      <c r="M718" s="13" t="n">
        <v>784.37</v>
      </c>
      <c r="N718" s="13" t="n">
        <v>0.33</v>
      </c>
      <c r="O718" s="13" t="n">
        <v>392</v>
      </c>
      <c r="P718" s="13" t="s">
        <v>970</v>
      </c>
      <c r="Q718" s="13" t="s">
        <v>3528</v>
      </c>
      <c r="R718" s="13" t="s">
        <v>293</v>
      </c>
      <c r="S718" s="13" t="s">
        <v>293</v>
      </c>
      <c r="T718" s="13" t="s">
        <v>61</v>
      </c>
      <c r="U718" s="13"/>
    </row>
    <row r="719" customFormat="false" ht="18" hidden="false" customHeight="true" outlineLevel="0" collapsed="false">
      <c r="A719" s="16" t="n">
        <v>718</v>
      </c>
      <c r="B719" s="16" t="s">
        <v>4592</v>
      </c>
      <c r="C719" s="16" t="s">
        <v>113</v>
      </c>
      <c r="D719" s="16" t="s">
        <v>114</v>
      </c>
      <c r="E719" s="16" t="s">
        <v>65</v>
      </c>
      <c r="F719" s="16" t="s">
        <v>227</v>
      </c>
      <c r="G719" s="16" t="s">
        <v>372</v>
      </c>
      <c r="H719" s="16" t="s">
        <v>4593</v>
      </c>
      <c r="I719" s="16" t="s">
        <v>4594</v>
      </c>
      <c r="J719" s="16" t="s">
        <v>4595</v>
      </c>
      <c r="K719" s="16" t="s">
        <v>3456</v>
      </c>
      <c r="L719" s="16" t="s">
        <v>3457</v>
      </c>
      <c r="M719" s="16" t="n">
        <v>1560.08</v>
      </c>
      <c r="N719" s="16" t="n">
        <v>1.31</v>
      </c>
      <c r="O719" s="16" t="n">
        <v>0</v>
      </c>
      <c r="P719" s="16" t="s">
        <v>3458</v>
      </c>
      <c r="Q719" s="16" t="s">
        <v>499</v>
      </c>
      <c r="R719" s="16" t="s">
        <v>627</v>
      </c>
      <c r="S719" s="16" t="s">
        <v>4596</v>
      </c>
      <c r="T719" s="16" t="s">
        <v>61</v>
      </c>
      <c r="U719" s="16" t="s">
        <v>325</v>
      </c>
    </row>
    <row r="720" customFormat="false" ht="18" hidden="false" customHeight="true" outlineLevel="0" collapsed="false">
      <c r="A720" s="14" t="n">
        <v>719</v>
      </c>
      <c r="B720" s="14" t="s">
        <v>4597</v>
      </c>
      <c r="C720" s="14" t="s">
        <v>255</v>
      </c>
      <c r="D720" s="14" t="s">
        <v>256</v>
      </c>
      <c r="E720" s="14" t="s">
        <v>50</v>
      </c>
      <c r="F720" s="14" t="s">
        <v>127</v>
      </c>
      <c r="G720" s="14" t="s">
        <v>352</v>
      </c>
      <c r="H720" s="14" t="s">
        <v>4598</v>
      </c>
      <c r="I720" s="14" t="s">
        <v>4599</v>
      </c>
      <c r="J720" s="14" t="s">
        <v>4600</v>
      </c>
      <c r="K720" s="14"/>
      <c r="L720" s="14" t="s">
        <v>582</v>
      </c>
      <c r="M720" s="14" t="n">
        <v>690.57</v>
      </c>
      <c r="N720" s="14" t="n">
        <v>0.51</v>
      </c>
      <c r="O720" s="14" t="n">
        <v>310</v>
      </c>
      <c r="P720" s="14" t="s">
        <v>583</v>
      </c>
      <c r="Q720" s="14" t="s">
        <v>4601</v>
      </c>
      <c r="R720" s="14" t="s">
        <v>4114</v>
      </c>
      <c r="S720" s="14" t="s">
        <v>4114</v>
      </c>
      <c r="T720" s="14" t="s">
        <v>61</v>
      </c>
      <c r="U720" s="14" t="s">
        <v>1048</v>
      </c>
    </row>
    <row r="721" customFormat="false" ht="18" hidden="false" customHeight="true" outlineLevel="0" collapsed="false">
      <c r="A721" s="13" t="n">
        <v>720</v>
      </c>
      <c r="B721" s="13" t="s">
        <v>4602</v>
      </c>
      <c r="C721" s="13" t="s">
        <v>159</v>
      </c>
      <c r="D721" s="13" t="s">
        <v>160</v>
      </c>
      <c r="E721" s="13" t="s">
        <v>79</v>
      </c>
      <c r="F721" s="13" t="s">
        <v>127</v>
      </c>
      <c r="G721" s="13" t="s">
        <v>128</v>
      </c>
      <c r="H721" s="13" t="s">
        <v>4603</v>
      </c>
      <c r="I721" s="13" t="s">
        <v>4604</v>
      </c>
      <c r="J721" s="13" t="s">
        <v>4605</v>
      </c>
      <c r="K721" s="13" t="s">
        <v>4606</v>
      </c>
      <c r="L721" s="13" t="s">
        <v>133</v>
      </c>
      <c r="M721" s="13" t="n">
        <v>450.29</v>
      </c>
      <c r="N721" s="13" t="n">
        <v>1.59</v>
      </c>
      <c r="O721" s="13" t="n">
        <v>243</v>
      </c>
      <c r="P721" s="13" t="s">
        <v>134</v>
      </c>
      <c r="Q721" s="13" t="s">
        <v>1210</v>
      </c>
      <c r="R721" s="13" t="s">
        <v>3288</v>
      </c>
      <c r="S721" s="13" t="s">
        <v>3288</v>
      </c>
      <c r="T721" s="13" t="s">
        <v>61</v>
      </c>
      <c r="U721" s="13"/>
    </row>
    <row r="722" customFormat="false" ht="18" hidden="false" customHeight="true" outlineLevel="0" collapsed="false">
      <c r="A722" s="13" t="n">
        <v>721</v>
      </c>
      <c r="B722" s="13" t="s">
        <v>4607</v>
      </c>
      <c r="C722" s="13" t="s">
        <v>173</v>
      </c>
      <c r="D722" s="13" t="s">
        <v>174</v>
      </c>
      <c r="E722" s="13" t="s">
        <v>161</v>
      </c>
      <c r="F722" s="13" t="s">
        <v>185</v>
      </c>
      <c r="G722" s="13" t="s">
        <v>175</v>
      </c>
      <c r="H722" s="13" t="s">
        <v>4608</v>
      </c>
      <c r="I722" s="13" t="s">
        <v>4609</v>
      </c>
      <c r="J722" s="13" t="s">
        <v>4610</v>
      </c>
      <c r="K722" s="13" t="s">
        <v>675</v>
      </c>
      <c r="L722" s="13" t="s">
        <v>676</v>
      </c>
      <c r="M722" s="13" t="n">
        <v>439.45</v>
      </c>
      <c r="N722" s="13" t="n">
        <v>0.27</v>
      </c>
      <c r="O722" s="13" t="n">
        <v>41</v>
      </c>
      <c r="P722" s="13" t="s">
        <v>677</v>
      </c>
      <c r="Q722" s="13" t="s">
        <v>490</v>
      </c>
      <c r="R722" s="13" t="s">
        <v>3080</v>
      </c>
      <c r="S722" s="13" t="s">
        <v>3080</v>
      </c>
      <c r="T722" s="13" t="s">
        <v>61</v>
      </c>
      <c r="U722" s="13"/>
    </row>
    <row r="723" customFormat="false" ht="18" hidden="false" customHeight="true" outlineLevel="0" collapsed="false">
      <c r="A723" s="13" t="n">
        <v>722</v>
      </c>
      <c r="B723" s="13" t="s">
        <v>4611</v>
      </c>
      <c r="C723" s="13" t="s">
        <v>125</v>
      </c>
      <c r="D723" s="13" t="s">
        <v>126</v>
      </c>
      <c r="E723" s="13" t="s">
        <v>161</v>
      </c>
      <c r="F723" s="13" t="s">
        <v>306</v>
      </c>
      <c r="G723" s="13" t="s">
        <v>207</v>
      </c>
      <c r="H723" s="13" t="s">
        <v>4612</v>
      </c>
      <c r="I723" s="13" t="s">
        <v>4613</v>
      </c>
      <c r="J723" s="13" t="s">
        <v>4614</v>
      </c>
      <c r="K723" s="13" t="s">
        <v>4615</v>
      </c>
      <c r="L723" s="13" t="s">
        <v>1683</v>
      </c>
      <c r="M723" s="13" t="n">
        <v>463.33</v>
      </c>
      <c r="N723" s="13" t="n">
        <v>0.34</v>
      </c>
      <c r="O723" s="13" t="n">
        <v>476</v>
      </c>
      <c r="P723" s="13" t="s">
        <v>1684</v>
      </c>
      <c r="Q723" s="13" t="s">
        <v>4616</v>
      </c>
      <c r="R723" s="13" t="s">
        <v>462</v>
      </c>
      <c r="S723" s="13" t="s">
        <v>462</v>
      </c>
      <c r="T723" s="13" t="s">
        <v>61</v>
      </c>
      <c r="U723" s="13"/>
    </row>
    <row r="724" customFormat="false" ht="18" hidden="false" customHeight="true" outlineLevel="0" collapsed="false">
      <c r="A724" s="13" t="n">
        <v>723</v>
      </c>
      <c r="B724" s="13" t="s">
        <v>4617</v>
      </c>
      <c r="C724" s="13" t="s">
        <v>77</v>
      </c>
      <c r="D724" s="13" t="s">
        <v>78</v>
      </c>
      <c r="E724" s="13" t="s">
        <v>161</v>
      </c>
      <c r="F724" s="13" t="s">
        <v>51</v>
      </c>
      <c r="G724" s="13" t="s">
        <v>207</v>
      </c>
      <c r="H724" s="13" t="s">
        <v>4618</v>
      </c>
      <c r="I724" s="13" t="s">
        <v>4619</v>
      </c>
      <c r="J724" s="13" t="s">
        <v>4620</v>
      </c>
      <c r="K724" s="13" t="s">
        <v>4621</v>
      </c>
      <c r="L724" s="13" t="s">
        <v>212</v>
      </c>
      <c r="M724" s="13" t="n">
        <v>298.95</v>
      </c>
      <c r="N724" s="13" t="n">
        <v>0.34</v>
      </c>
      <c r="O724" s="13" t="n">
        <v>315</v>
      </c>
      <c r="P724" s="13" t="s">
        <v>213</v>
      </c>
      <c r="Q724" s="13" t="s">
        <v>4622</v>
      </c>
      <c r="R724" s="13" t="s">
        <v>1604</v>
      </c>
      <c r="S724" s="13" t="s">
        <v>1604</v>
      </c>
      <c r="T724" s="13" t="s">
        <v>61</v>
      </c>
      <c r="U724" s="13"/>
    </row>
    <row r="725" customFormat="false" ht="18" hidden="false" customHeight="true" outlineLevel="0" collapsed="false">
      <c r="A725" s="13" t="n">
        <v>724</v>
      </c>
      <c r="B725" s="13" t="s">
        <v>4623</v>
      </c>
      <c r="C725" s="13" t="s">
        <v>113</v>
      </c>
      <c r="D725" s="13" t="s">
        <v>114</v>
      </c>
      <c r="E725" s="13" t="s">
        <v>65</v>
      </c>
      <c r="F725" s="13" t="s">
        <v>438</v>
      </c>
      <c r="G725" s="13" t="s">
        <v>67</v>
      </c>
      <c r="H725" s="13" t="s">
        <v>4624</v>
      </c>
      <c r="I725" s="13" t="s">
        <v>4625</v>
      </c>
      <c r="J725" s="13" t="s">
        <v>4626</v>
      </c>
      <c r="K725" s="13" t="s">
        <v>1657</v>
      </c>
      <c r="L725" s="13" t="s">
        <v>1658</v>
      </c>
      <c r="M725" s="13" t="n">
        <v>236.11</v>
      </c>
      <c r="N725" s="13" t="n">
        <v>0.35</v>
      </c>
      <c r="O725" s="13" t="n">
        <v>365</v>
      </c>
      <c r="P725" s="13" t="s">
        <v>1659</v>
      </c>
      <c r="Q725" s="13" t="s">
        <v>1753</v>
      </c>
      <c r="R725" s="13" t="s">
        <v>4627</v>
      </c>
      <c r="S725" s="13" t="s">
        <v>4627</v>
      </c>
      <c r="T725" s="13" t="s">
        <v>61</v>
      </c>
      <c r="U725" s="13"/>
    </row>
    <row r="726" customFormat="false" ht="18" hidden="false" customHeight="true" outlineLevel="0" collapsed="false">
      <c r="A726" s="13" t="n">
        <v>725</v>
      </c>
      <c r="B726" s="13" t="s">
        <v>4628</v>
      </c>
      <c r="C726" s="13" t="s">
        <v>113</v>
      </c>
      <c r="D726" s="13" t="s">
        <v>114</v>
      </c>
      <c r="E726" s="13" t="s">
        <v>91</v>
      </c>
      <c r="F726" s="13" t="s">
        <v>138</v>
      </c>
      <c r="G726" s="13" t="s">
        <v>186</v>
      </c>
      <c r="H726" s="13" t="s">
        <v>4629</v>
      </c>
      <c r="I726" s="13" t="s">
        <v>4630</v>
      </c>
      <c r="J726" s="13" t="s">
        <v>4631</v>
      </c>
      <c r="K726" s="13" t="s">
        <v>4632</v>
      </c>
      <c r="L726" s="13" t="s">
        <v>479</v>
      </c>
      <c r="M726" s="13" t="n">
        <v>2041.11</v>
      </c>
      <c r="N726" s="13" t="n">
        <v>37.6</v>
      </c>
      <c r="O726" s="13" t="n">
        <v>51</v>
      </c>
      <c r="P726" s="13" t="s">
        <v>480</v>
      </c>
      <c r="Q726" s="13" t="s">
        <v>626</v>
      </c>
      <c r="R726" s="13" t="s">
        <v>946</v>
      </c>
      <c r="S726" s="13" t="s">
        <v>946</v>
      </c>
      <c r="T726" s="13" t="s">
        <v>61</v>
      </c>
      <c r="U726" s="13"/>
    </row>
    <row r="727" customFormat="false" ht="18" hidden="false" customHeight="true" outlineLevel="0" collapsed="false">
      <c r="A727" s="13" t="n">
        <v>726</v>
      </c>
      <c r="B727" s="13" t="s">
        <v>4633</v>
      </c>
      <c r="C727" s="13" t="s">
        <v>48</v>
      </c>
      <c r="D727" s="13" t="s">
        <v>49</v>
      </c>
      <c r="E727" s="13" t="s">
        <v>161</v>
      </c>
      <c r="F727" s="13" t="s">
        <v>185</v>
      </c>
      <c r="G727" s="13" t="s">
        <v>296</v>
      </c>
      <c r="H727" s="13" t="s">
        <v>4634</v>
      </c>
      <c r="I727" s="13" t="s">
        <v>4635</v>
      </c>
      <c r="J727" s="13" t="s">
        <v>4636</v>
      </c>
      <c r="K727" s="13" t="s">
        <v>4637</v>
      </c>
      <c r="L727" s="13" t="s">
        <v>1390</v>
      </c>
      <c r="M727" s="13" t="n">
        <v>73</v>
      </c>
      <c r="N727" s="13" t="n">
        <v>0.23</v>
      </c>
      <c r="O727" s="13" t="n">
        <v>152</v>
      </c>
      <c r="P727" s="13" t="s">
        <v>1391</v>
      </c>
      <c r="Q727" s="13" t="s">
        <v>1920</v>
      </c>
      <c r="R727" s="13" t="s">
        <v>1611</v>
      </c>
      <c r="S727" s="13" t="s">
        <v>1611</v>
      </c>
      <c r="T727" s="13" t="s">
        <v>61</v>
      </c>
      <c r="U727" s="13"/>
    </row>
    <row r="728" customFormat="false" ht="18" hidden="false" customHeight="true" outlineLevel="0" collapsed="false">
      <c r="A728" s="13" t="n">
        <v>727</v>
      </c>
      <c r="B728" s="13" t="s">
        <v>4638</v>
      </c>
      <c r="C728" s="13" t="s">
        <v>63</v>
      </c>
      <c r="D728" s="13" t="s">
        <v>64</v>
      </c>
      <c r="E728" s="13" t="s">
        <v>79</v>
      </c>
      <c r="F728" s="13" t="s">
        <v>51</v>
      </c>
      <c r="G728" s="13" t="s">
        <v>514</v>
      </c>
      <c r="H728" s="13" t="s">
        <v>4639</v>
      </c>
      <c r="I728" s="13" t="s">
        <v>4640</v>
      </c>
      <c r="J728" s="13" t="s">
        <v>4641</v>
      </c>
      <c r="K728" s="13" t="s">
        <v>4642</v>
      </c>
      <c r="L728" s="13" t="s">
        <v>1088</v>
      </c>
      <c r="M728" s="13" t="n">
        <v>1107.95</v>
      </c>
      <c r="N728" s="13" t="n">
        <v>1.23</v>
      </c>
      <c r="O728" s="13" t="n">
        <v>166</v>
      </c>
      <c r="P728" s="13" t="s">
        <v>1089</v>
      </c>
      <c r="Q728" s="13" t="s">
        <v>4643</v>
      </c>
      <c r="R728" s="13" t="s">
        <v>4379</v>
      </c>
      <c r="S728" s="13" t="s">
        <v>4379</v>
      </c>
      <c r="T728" s="13" t="s">
        <v>61</v>
      </c>
      <c r="U728" s="13"/>
    </row>
    <row r="729" customFormat="false" ht="18" hidden="false" customHeight="true" outlineLevel="0" collapsed="false">
      <c r="A729" s="13" t="n">
        <v>728</v>
      </c>
      <c r="B729" s="13" t="s">
        <v>4644</v>
      </c>
      <c r="C729" s="13" t="s">
        <v>113</v>
      </c>
      <c r="D729" s="13" t="s">
        <v>114</v>
      </c>
      <c r="E729" s="13" t="s">
        <v>50</v>
      </c>
      <c r="F729" s="13" t="s">
        <v>51</v>
      </c>
      <c r="G729" s="13" t="s">
        <v>52</v>
      </c>
      <c r="H729" s="13" t="s">
        <v>4645</v>
      </c>
      <c r="I729" s="13" t="s">
        <v>4646</v>
      </c>
      <c r="J729" s="13" t="s">
        <v>4647</v>
      </c>
      <c r="K729" s="13" t="s">
        <v>4648</v>
      </c>
      <c r="L729" s="13" t="s">
        <v>57</v>
      </c>
      <c r="M729" s="13" t="n">
        <v>621.97</v>
      </c>
      <c r="N729" s="13" t="n">
        <v>0.76</v>
      </c>
      <c r="O729" s="13" t="n">
        <v>62</v>
      </c>
      <c r="P729" s="13" t="s">
        <v>58</v>
      </c>
      <c r="Q729" s="13" t="s">
        <v>4649</v>
      </c>
      <c r="R729" s="13" t="s">
        <v>205</v>
      </c>
      <c r="S729" s="13" t="s">
        <v>205</v>
      </c>
      <c r="T729" s="13" t="s">
        <v>61</v>
      </c>
      <c r="U729" s="13"/>
    </row>
    <row r="730" customFormat="false" ht="18" hidden="false" customHeight="true" outlineLevel="0" collapsed="false">
      <c r="A730" s="15" t="n">
        <v>729</v>
      </c>
      <c r="B730" s="15" t="s">
        <v>2695</v>
      </c>
      <c r="C730" s="15" t="s">
        <v>255</v>
      </c>
      <c r="D730" s="15" t="s">
        <v>256</v>
      </c>
      <c r="E730" s="15" t="s">
        <v>65</v>
      </c>
      <c r="F730" s="15" t="s">
        <v>438</v>
      </c>
      <c r="G730" s="15" t="s">
        <v>274</v>
      </c>
      <c r="H730" s="15" t="s">
        <v>2696</v>
      </c>
      <c r="I730" s="15" t="s">
        <v>2697</v>
      </c>
      <c r="J730" s="15" t="s">
        <v>2698</v>
      </c>
      <c r="K730" s="15" t="s">
        <v>442</v>
      </c>
      <c r="L730" s="15" t="s">
        <v>443</v>
      </c>
      <c r="M730" s="15" t="n">
        <v>476.84</v>
      </c>
      <c r="N730" s="15" t="n">
        <v>0.95</v>
      </c>
      <c r="O730" s="15" t="n">
        <v>90</v>
      </c>
      <c r="P730" s="15" t="s">
        <v>444</v>
      </c>
      <c r="Q730" s="15" t="s">
        <v>1794</v>
      </c>
      <c r="R730" s="15" t="s">
        <v>2699</v>
      </c>
      <c r="S730" s="15" t="s">
        <v>2699</v>
      </c>
      <c r="T730" s="15" t="s">
        <v>61</v>
      </c>
      <c r="U730" s="15" t="s">
        <v>283</v>
      </c>
    </row>
    <row r="731" customFormat="false" ht="18" hidden="false" customHeight="true" outlineLevel="0" collapsed="false">
      <c r="A731" s="13" t="n">
        <v>730</v>
      </c>
      <c r="B731" s="13" t="s">
        <v>4650</v>
      </c>
      <c r="C731" s="13" t="s">
        <v>159</v>
      </c>
      <c r="D731" s="13" t="s">
        <v>160</v>
      </c>
      <c r="E731" s="13" t="s">
        <v>79</v>
      </c>
      <c r="F731" s="13" t="s">
        <v>51</v>
      </c>
      <c r="G731" s="13" t="s">
        <v>562</v>
      </c>
      <c r="H731" s="13" t="s">
        <v>4651</v>
      </c>
      <c r="I731" s="13" t="s">
        <v>4652</v>
      </c>
      <c r="J731" s="13" t="s">
        <v>4653</v>
      </c>
      <c r="K731" s="13" t="s">
        <v>4654</v>
      </c>
      <c r="L731" s="13" t="s">
        <v>2754</v>
      </c>
      <c r="M731" s="13" t="n">
        <v>1264.27</v>
      </c>
      <c r="N731" s="13" t="n">
        <v>2.7</v>
      </c>
      <c r="O731" s="13" t="n">
        <v>312</v>
      </c>
      <c r="P731" s="13" t="s">
        <v>2755</v>
      </c>
      <c r="Q731" s="13" t="s">
        <v>1458</v>
      </c>
      <c r="R731" s="13" t="s">
        <v>4379</v>
      </c>
      <c r="S731" s="13" t="s">
        <v>4379</v>
      </c>
      <c r="T731" s="13" t="s">
        <v>61</v>
      </c>
      <c r="U731" s="13"/>
    </row>
    <row r="732" customFormat="false" ht="18" hidden="false" customHeight="true" outlineLevel="0" collapsed="false">
      <c r="A732" s="13" t="n">
        <v>731</v>
      </c>
      <c r="B732" s="13" t="s">
        <v>4655</v>
      </c>
      <c r="C732" s="13" t="s">
        <v>113</v>
      </c>
      <c r="D732" s="13" t="s">
        <v>114</v>
      </c>
      <c r="E732" s="13" t="s">
        <v>50</v>
      </c>
      <c r="F732" s="13" t="s">
        <v>138</v>
      </c>
      <c r="G732" s="13" t="s">
        <v>352</v>
      </c>
      <c r="H732" s="13" t="s">
        <v>4656</v>
      </c>
      <c r="I732" s="13" t="s">
        <v>4657</v>
      </c>
      <c r="J732" s="13" t="s">
        <v>4658</v>
      </c>
      <c r="K732" s="13" t="s">
        <v>4659</v>
      </c>
      <c r="L732" s="13" t="s">
        <v>386</v>
      </c>
      <c r="M732" s="13" t="n">
        <v>412.91</v>
      </c>
      <c r="N732" s="13" t="n">
        <v>0.78</v>
      </c>
      <c r="O732" s="13" t="n">
        <v>404</v>
      </c>
      <c r="P732" s="13" t="s">
        <v>387</v>
      </c>
      <c r="Q732" s="13" t="s">
        <v>4660</v>
      </c>
      <c r="R732" s="13" t="s">
        <v>2224</v>
      </c>
      <c r="S732" s="13" t="s">
        <v>2224</v>
      </c>
      <c r="T732" s="13" t="s">
        <v>61</v>
      </c>
      <c r="U732" s="13"/>
    </row>
    <row r="733" customFormat="false" ht="18" hidden="false" customHeight="true" outlineLevel="0" collapsed="false">
      <c r="A733" s="13" t="n">
        <v>732</v>
      </c>
      <c r="B733" s="13" t="s">
        <v>4661</v>
      </c>
      <c r="C733" s="13" t="s">
        <v>173</v>
      </c>
      <c r="D733" s="13" t="s">
        <v>174</v>
      </c>
      <c r="E733" s="13" t="s">
        <v>65</v>
      </c>
      <c r="F733" s="13" t="s">
        <v>371</v>
      </c>
      <c r="G733" s="13" t="s">
        <v>372</v>
      </c>
      <c r="H733" s="13" t="s">
        <v>4662</v>
      </c>
      <c r="I733" s="13" t="s">
        <v>4663</v>
      </c>
      <c r="J733" s="13" t="s">
        <v>4664</v>
      </c>
      <c r="K733" s="13" t="s">
        <v>376</v>
      </c>
      <c r="L733" s="13" t="s">
        <v>377</v>
      </c>
      <c r="M733" s="13" t="n">
        <v>99.77</v>
      </c>
      <c r="N733" s="13" t="n">
        <v>1.41</v>
      </c>
      <c r="O733" s="13" t="n">
        <v>12</v>
      </c>
      <c r="P733" s="13" t="s">
        <v>378</v>
      </c>
      <c r="Q733" s="13" t="s">
        <v>234</v>
      </c>
      <c r="R733" s="13" t="s">
        <v>2136</v>
      </c>
      <c r="S733" s="13" t="s">
        <v>2136</v>
      </c>
      <c r="T733" s="13" t="s">
        <v>61</v>
      </c>
      <c r="U733" s="13"/>
    </row>
    <row r="734" customFormat="false" ht="18" hidden="false" customHeight="true" outlineLevel="0" collapsed="false">
      <c r="A734" s="15" t="n">
        <v>733</v>
      </c>
      <c r="B734" s="15" t="s">
        <v>4665</v>
      </c>
      <c r="C734" s="15" t="s">
        <v>159</v>
      </c>
      <c r="D734" s="15" t="s">
        <v>160</v>
      </c>
      <c r="E734" s="15" t="s">
        <v>50</v>
      </c>
      <c r="F734" s="15" t="s">
        <v>115</v>
      </c>
      <c r="G734" s="15" t="s">
        <v>689</v>
      </c>
      <c r="H734" s="15" t="s">
        <v>4666</v>
      </c>
      <c r="I734" s="15" t="s">
        <v>4667</v>
      </c>
      <c r="J734" s="15" t="s">
        <v>4668</v>
      </c>
      <c r="K734" s="15" t="s">
        <v>4669</v>
      </c>
      <c r="L734" s="15" t="s">
        <v>694</v>
      </c>
      <c r="M734" s="15" t="n">
        <v>1148.14</v>
      </c>
      <c r="N734" s="15" t="n">
        <v>0.41</v>
      </c>
      <c r="O734" s="15" t="n">
        <v>364</v>
      </c>
      <c r="P734" s="15" t="s">
        <v>695</v>
      </c>
      <c r="Q734" s="15" t="s">
        <v>1300</v>
      </c>
      <c r="R734" s="15" t="s">
        <v>741</v>
      </c>
      <c r="S734" s="15" t="s">
        <v>741</v>
      </c>
      <c r="T734" s="15" t="s">
        <v>61</v>
      </c>
      <c r="U734" s="15" t="s">
        <v>243</v>
      </c>
    </row>
    <row r="735" customFormat="false" ht="18" hidden="false" customHeight="true" outlineLevel="0" collapsed="false">
      <c r="A735" s="15" t="n">
        <v>734</v>
      </c>
      <c r="B735" s="15" t="s">
        <v>4670</v>
      </c>
      <c r="C735" s="15" t="s">
        <v>173</v>
      </c>
      <c r="D735" s="15" t="s">
        <v>174</v>
      </c>
      <c r="E735" s="15" t="s">
        <v>161</v>
      </c>
      <c r="F735" s="15" t="s">
        <v>162</v>
      </c>
      <c r="G735" s="15" t="s">
        <v>175</v>
      </c>
      <c r="H735" s="15" t="s">
        <v>4671</v>
      </c>
      <c r="I735" s="15" t="s">
        <v>4672</v>
      </c>
      <c r="J735" s="15" t="s">
        <v>4673</v>
      </c>
      <c r="K735" s="15" t="s">
        <v>4674</v>
      </c>
      <c r="L735" s="15" t="s">
        <v>2620</v>
      </c>
      <c r="M735" s="15" t="n">
        <v>400.11</v>
      </c>
      <c r="N735" s="15" t="n">
        <v>0.33</v>
      </c>
      <c r="O735" s="15" t="n">
        <v>2</v>
      </c>
      <c r="P735" s="15" t="s">
        <v>2621</v>
      </c>
      <c r="Q735" s="15" t="s">
        <v>1920</v>
      </c>
      <c r="R735" s="15" t="s">
        <v>4675</v>
      </c>
      <c r="S735" s="15" t="s">
        <v>4675</v>
      </c>
      <c r="T735" s="15" t="s">
        <v>61</v>
      </c>
      <c r="U735" s="15" t="s">
        <v>243</v>
      </c>
    </row>
    <row r="736" customFormat="false" ht="18" hidden="false" customHeight="true" outlineLevel="0" collapsed="false">
      <c r="A736" s="13" t="n">
        <v>735</v>
      </c>
      <c r="B736" s="13" t="s">
        <v>4676</v>
      </c>
      <c r="C736" s="13" t="s">
        <v>159</v>
      </c>
      <c r="D736" s="13" t="s">
        <v>160</v>
      </c>
      <c r="E736" s="13" t="s">
        <v>91</v>
      </c>
      <c r="F736" s="13" t="s">
        <v>419</v>
      </c>
      <c r="G736" s="13" t="s">
        <v>93</v>
      </c>
      <c r="H736" s="13" t="s">
        <v>4677</v>
      </c>
      <c r="I736" s="13" t="s">
        <v>4678</v>
      </c>
      <c r="J736" s="13" t="s">
        <v>4679</v>
      </c>
      <c r="K736" s="13" t="s">
        <v>623</v>
      </c>
      <c r="L736" s="13" t="s">
        <v>624</v>
      </c>
      <c r="M736" s="13" t="n">
        <v>773.5</v>
      </c>
      <c r="N736" s="13" t="n">
        <v>46.47</v>
      </c>
      <c r="O736" s="13" t="n">
        <v>214</v>
      </c>
      <c r="P736" s="13" t="s">
        <v>625</v>
      </c>
      <c r="Q736" s="13" t="s">
        <v>776</v>
      </c>
      <c r="R736" s="13" t="s">
        <v>1827</v>
      </c>
      <c r="S736" s="13" t="s">
        <v>1827</v>
      </c>
      <c r="T736" s="13" t="s">
        <v>61</v>
      </c>
      <c r="U736" s="13"/>
    </row>
    <row r="737" customFormat="false" ht="18" hidden="false" customHeight="true" outlineLevel="0" collapsed="false">
      <c r="A737" s="13" t="n">
        <v>736</v>
      </c>
      <c r="B737" s="13" t="s">
        <v>4680</v>
      </c>
      <c r="C737" s="13" t="s">
        <v>159</v>
      </c>
      <c r="D737" s="13" t="s">
        <v>160</v>
      </c>
      <c r="E737" s="13" t="s">
        <v>50</v>
      </c>
      <c r="F737" s="13" t="s">
        <v>51</v>
      </c>
      <c r="G737" s="13" t="s">
        <v>52</v>
      </c>
      <c r="H737" s="13" t="s">
        <v>4681</v>
      </c>
      <c r="I737" s="13" t="s">
        <v>4682</v>
      </c>
      <c r="J737" s="13" t="s">
        <v>4683</v>
      </c>
      <c r="K737" s="13" t="s">
        <v>4684</v>
      </c>
      <c r="L737" s="13" t="s">
        <v>57</v>
      </c>
      <c r="M737" s="13" t="n">
        <v>213.3</v>
      </c>
      <c r="N737" s="13" t="n">
        <v>0.45</v>
      </c>
      <c r="O737" s="13" t="n">
        <v>92</v>
      </c>
      <c r="P737" s="13" t="s">
        <v>58</v>
      </c>
      <c r="Q737" s="13" t="s">
        <v>4074</v>
      </c>
      <c r="R737" s="13" t="s">
        <v>1283</v>
      </c>
      <c r="S737" s="13" t="s">
        <v>1283</v>
      </c>
      <c r="T737" s="13" t="s">
        <v>61</v>
      </c>
      <c r="U737" s="13"/>
    </row>
    <row r="738" customFormat="false" ht="18" hidden="false" customHeight="true" outlineLevel="0" collapsed="false">
      <c r="A738" s="15" t="n">
        <v>737</v>
      </c>
      <c r="B738" s="15" t="s">
        <v>4685</v>
      </c>
      <c r="C738" s="15" t="s">
        <v>63</v>
      </c>
      <c r="D738" s="15" t="s">
        <v>64</v>
      </c>
      <c r="E738" s="15" t="s">
        <v>161</v>
      </c>
      <c r="F738" s="15" t="s">
        <v>162</v>
      </c>
      <c r="G738" s="15" t="s">
        <v>296</v>
      </c>
      <c r="H738" s="15" t="s">
        <v>4686</v>
      </c>
      <c r="I738" s="15" t="s">
        <v>4687</v>
      </c>
      <c r="J738" s="15" t="s">
        <v>4688</v>
      </c>
      <c r="K738" s="15" t="s">
        <v>4689</v>
      </c>
      <c r="L738" s="15" t="s">
        <v>414</v>
      </c>
      <c r="M738" s="15" t="n">
        <v>2404.48</v>
      </c>
      <c r="N738" s="15" t="n">
        <v>0.4</v>
      </c>
      <c r="O738" s="15" t="n">
        <v>332</v>
      </c>
      <c r="P738" s="15" t="s">
        <v>415</v>
      </c>
      <c r="Q738" s="15" t="s">
        <v>1509</v>
      </c>
      <c r="R738" s="15" t="s">
        <v>205</v>
      </c>
      <c r="S738" s="15" t="s">
        <v>205</v>
      </c>
      <c r="T738" s="15" t="s">
        <v>61</v>
      </c>
      <c r="U738" s="15" t="s">
        <v>343</v>
      </c>
    </row>
    <row r="739" customFormat="false" ht="18" hidden="false" customHeight="true" outlineLevel="0" collapsed="false">
      <c r="A739" s="16" t="n">
        <v>738</v>
      </c>
      <c r="B739" s="16" t="s">
        <v>4690</v>
      </c>
      <c r="C739" s="16" t="s">
        <v>77</v>
      </c>
      <c r="D739" s="16" t="s">
        <v>78</v>
      </c>
      <c r="E739" s="16" t="s">
        <v>50</v>
      </c>
      <c r="F739" s="16" t="s">
        <v>138</v>
      </c>
      <c r="G739" s="16" t="s">
        <v>217</v>
      </c>
      <c r="H739" s="16" t="s">
        <v>4691</v>
      </c>
      <c r="I739" s="16" t="s">
        <v>4692</v>
      </c>
      <c r="J739" s="16" t="s">
        <v>4693</v>
      </c>
      <c r="K739" s="16" t="s">
        <v>4694</v>
      </c>
      <c r="L739" s="16" t="s">
        <v>3077</v>
      </c>
      <c r="M739" s="16" t="n">
        <v>312</v>
      </c>
      <c r="N739" s="16" t="n">
        <v>0.46</v>
      </c>
      <c r="O739" s="16" t="n">
        <v>0</v>
      </c>
      <c r="P739" s="16" t="s">
        <v>3078</v>
      </c>
      <c r="Q739" s="16" t="s">
        <v>4695</v>
      </c>
      <c r="R739" s="16" t="s">
        <v>2715</v>
      </c>
      <c r="S739" s="16" t="s">
        <v>1921</v>
      </c>
      <c r="T739" s="16" t="s">
        <v>61</v>
      </c>
      <c r="U739" s="16" t="s">
        <v>325</v>
      </c>
    </row>
    <row r="740" customFormat="false" ht="18" hidden="false" customHeight="true" outlineLevel="0" collapsed="false">
      <c r="A740" s="13" t="n">
        <v>739</v>
      </c>
      <c r="B740" s="13" t="s">
        <v>4696</v>
      </c>
      <c r="C740" s="13" t="s">
        <v>173</v>
      </c>
      <c r="D740" s="13" t="s">
        <v>174</v>
      </c>
      <c r="E740" s="13" t="s">
        <v>91</v>
      </c>
      <c r="F740" s="13" t="s">
        <v>138</v>
      </c>
      <c r="G740" s="13" t="s">
        <v>420</v>
      </c>
      <c r="H740" s="13" t="s">
        <v>4697</v>
      </c>
      <c r="I740" s="13" t="s">
        <v>4698</v>
      </c>
      <c r="J740" s="13" t="s">
        <v>4699</v>
      </c>
      <c r="K740" s="13" t="s">
        <v>4700</v>
      </c>
      <c r="L740" s="13" t="s">
        <v>3036</v>
      </c>
      <c r="M740" s="13" t="n">
        <v>730.47</v>
      </c>
      <c r="N740" s="13" t="n">
        <v>28.91</v>
      </c>
      <c r="O740" s="13" t="n">
        <v>281</v>
      </c>
      <c r="P740" s="13" t="s">
        <v>3037</v>
      </c>
      <c r="Q740" s="13" t="s">
        <v>4701</v>
      </c>
      <c r="R740" s="13" t="s">
        <v>2876</v>
      </c>
      <c r="S740" s="13" t="s">
        <v>2876</v>
      </c>
      <c r="T740" s="13" t="s">
        <v>61</v>
      </c>
      <c r="U740" s="13"/>
    </row>
    <row r="741" customFormat="false" ht="18" hidden="false" customHeight="true" outlineLevel="0" collapsed="false">
      <c r="A741" s="13" t="n">
        <v>740</v>
      </c>
      <c r="B741" s="13" t="s">
        <v>4702</v>
      </c>
      <c r="C741" s="13" t="s">
        <v>113</v>
      </c>
      <c r="D741" s="13" t="s">
        <v>114</v>
      </c>
      <c r="E741" s="13" t="s">
        <v>79</v>
      </c>
      <c r="F741" s="13" t="s">
        <v>465</v>
      </c>
      <c r="G741" s="13" t="s">
        <v>562</v>
      </c>
      <c r="H741" s="13" t="s">
        <v>4703</v>
      </c>
      <c r="I741" s="13" t="s">
        <v>4704</v>
      </c>
      <c r="J741" s="13" t="s">
        <v>4705</v>
      </c>
      <c r="K741" s="13" t="s">
        <v>4706</v>
      </c>
      <c r="L741" s="13" t="s">
        <v>1584</v>
      </c>
      <c r="M741" s="13" t="n">
        <v>2275.52</v>
      </c>
      <c r="N741" s="13" t="n">
        <v>2.31</v>
      </c>
      <c r="O741" s="13" t="n">
        <v>476</v>
      </c>
      <c r="P741" s="13" t="s">
        <v>1585</v>
      </c>
      <c r="Q741" s="13" t="s">
        <v>3259</v>
      </c>
      <c r="R741" s="13" t="s">
        <v>4707</v>
      </c>
      <c r="S741" s="13" t="s">
        <v>4707</v>
      </c>
      <c r="T741" s="13" t="s">
        <v>61</v>
      </c>
      <c r="U741" s="13"/>
    </row>
    <row r="742" customFormat="false" ht="18" hidden="false" customHeight="true" outlineLevel="0" collapsed="false">
      <c r="A742" s="13" t="n">
        <v>741</v>
      </c>
      <c r="B742" s="13" t="s">
        <v>4708</v>
      </c>
      <c r="C742" s="13" t="s">
        <v>159</v>
      </c>
      <c r="D742" s="13" t="s">
        <v>160</v>
      </c>
      <c r="E742" s="13" t="s">
        <v>79</v>
      </c>
      <c r="F742" s="13" t="s">
        <v>465</v>
      </c>
      <c r="G742" s="13" t="s">
        <v>514</v>
      </c>
      <c r="H742" s="13" t="s">
        <v>4709</v>
      </c>
      <c r="I742" s="13" t="s">
        <v>4710</v>
      </c>
      <c r="J742" s="13" t="s">
        <v>4711</v>
      </c>
      <c r="K742" s="13" t="s">
        <v>4712</v>
      </c>
      <c r="L742" s="13" t="s">
        <v>936</v>
      </c>
      <c r="M742" s="13" t="n">
        <v>1721.72</v>
      </c>
      <c r="N742" s="13" t="n">
        <v>1.39</v>
      </c>
      <c r="O742" s="13" t="n">
        <v>223</v>
      </c>
      <c r="P742" s="13" t="s">
        <v>937</v>
      </c>
      <c r="Q742" s="13" t="s">
        <v>2935</v>
      </c>
      <c r="R742" s="13" t="s">
        <v>1384</v>
      </c>
      <c r="S742" s="13" t="s">
        <v>1384</v>
      </c>
      <c r="T742" s="13" t="s">
        <v>61</v>
      </c>
      <c r="U742" s="13"/>
    </row>
    <row r="743" customFormat="false" ht="18" hidden="false" customHeight="true" outlineLevel="0" collapsed="false">
      <c r="A743" s="13" t="n">
        <v>742</v>
      </c>
      <c r="B743" s="13" t="s">
        <v>4713</v>
      </c>
      <c r="C743" s="13" t="s">
        <v>159</v>
      </c>
      <c r="D743" s="13" t="s">
        <v>160</v>
      </c>
      <c r="E743" s="13" t="s">
        <v>50</v>
      </c>
      <c r="F743" s="13" t="s">
        <v>51</v>
      </c>
      <c r="G743" s="13" t="s">
        <v>52</v>
      </c>
      <c r="H743" s="13" t="s">
        <v>4714</v>
      </c>
      <c r="I743" s="13" t="s">
        <v>4715</v>
      </c>
      <c r="J743" s="13" t="s">
        <v>4716</v>
      </c>
      <c r="K743" s="13" t="s">
        <v>4648</v>
      </c>
      <c r="L743" s="13" t="s">
        <v>57</v>
      </c>
      <c r="M743" s="13" t="n">
        <v>1240.28</v>
      </c>
      <c r="N743" s="13" t="n">
        <v>0.86</v>
      </c>
      <c r="O743" s="13" t="n">
        <v>444</v>
      </c>
      <c r="P743" s="13" t="s">
        <v>58</v>
      </c>
      <c r="Q743" s="13" t="s">
        <v>3004</v>
      </c>
      <c r="R743" s="13" t="s">
        <v>101</v>
      </c>
      <c r="S743" s="13" t="s">
        <v>101</v>
      </c>
      <c r="T743" s="13" t="s">
        <v>61</v>
      </c>
      <c r="U743" s="13"/>
    </row>
    <row r="744" customFormat="false" ht="18" hidden="false" customHeight="true" outlineLevel="0" collapsed="false">
      <c r="A744" s="13" t="n">
        <v>743</v>
      </c>
      <c r="B744" s="13" t="s">
        <v>4717</v>
      </c>
      <c r="C744" s="13" t="s">
        <v>159</v>
      </c>
      <c r="D744" s="13" t="s">
        <v>160</v>
      </c>
      <c r="E744" s="13" t="s">
        <v>79</v>
      </c>
      <c r="F744" s="13" t="s">
        <v>465</v>
      </c>
      <c r="G744" s="13" t="s">
        <v>733</v>
      </c>
      <c r="H744" s="13" t="s">
        <v>4718</v>
      </c>
      <c r="I744" s="13" t="s">
        <v>4719</v>
      </c>
      <c r="J744" s="13" t="s">
        <v>4720</v>
      </c>
      <c r="K744" s="13" t="s">
        <v>4721</v>
      </c>
      <c r="L744" s="13" t="s">
        <v>2061</v>
      </c>
      <c r="M744" s="13" t="n">
        <v>1520.27</v>
      </c>
      <c r="N744" s="13" t="n">
        <v>2.53</v>
      </c>
      <c r="O744" s="13" t="n">
        <v>230</v>
      </c>
      <c r="P744" s="13" t="s">
        <v>2062</v>
      </c>
      <c r="Q744" s="13" t="s">
        <v>4722</v>
      </c>
      <c r="R744" s="13" t="s">
        <v>350</v>
      </c>
      <c r="S744" s="13" t="s">
        <v>350</v>
      </c>
      <c r="T744" s="13" t="s">
        <v>61</v>
      </c>
      <c r="U744" s="13"/>
    </row>
    <row r="745" customFormat="false" ht="18" hidden="false" customHeight="true" outlineLevel="0" collapsed="false">
      <c r="A745" s="13" t="n">
        <v>744</v>
      </c>
      <c r="B745" s="13" t="s">
        <v>4723</v>
      </c>
      <c r="C745" s="13" t="s">
        <v>255</v>
      </c>
      <c r="D745" s="13" t="s">
        <v>256</v>
      </c>
      <c r="E745" s="13" t="s">
        <v>79</v>
      </c>
      <c r="F745" s="13" t="s">
        <v>465</v>
      </c>
      <c r="G745" s="13" t="s">
        <v>80</v>
      </c>
      <c r="H745" s="13" t="s">
        <v>4724</v>
      </c>
      <c r="I745" s="13" t="s">
        <v>4725</v>
      </c>
      <c r="J745" s="13" t="s">
        <v>4726</v>
      </c>
      <c r="K745" s="13" t="s">
        <v>4727</v>
      </c>
      <c r="L745" s="13" t="s">
        <v>470</v>
      </c>
      <c r="M745" s="13" t="n">
        <v>1889.04</v>
      </c>
      <c r="N745" s="13" t="n">
        <v>2.08</v>
      </c>
      <c r="O745" s="13" t="n">
        <v>148</v>
      </c>
      <c r="P745" s="13" t="s">
        <v>471</v>
      </c>
      <c r="Q745" s="13" t="s">
        <v>4029</v>
      </c>
      <c r="R745" s="13" t="s">
        <v>1459</v>
      </c>
      <c r="S745" s="13" t="s">
        <v>1459</v>
      </c>
      <c r="T745" s="13" t="s">
        <v>61</v>
      </c>
      <c r="U745" s="13"/>
    </row>
    <row r="746" customFormat="false" ht="18" hidden="false" customHeight="true" outlineLevel="0" collapsed="false">
      <c r="A746" s="13" t="n">
        <v>745</v>
      </c>
      <c r="B746" s="13" t="s">
        <v>4728</v>
      </c>
      <c r="C746" s="13" t="s">
        <v>63</v>
      </c>
      <c r="D746" s="13" t="s">
        <v>64</v>
      </c>
      <c r="E746" s="13" t="s">
        <v>50</v>
      </c>
      <c r="F746" s="13" t="s">
        <v>138</v>
      </c>
      <c r="G746" s="13" t="s">
        <v>689</v>
      </c>
      <c r="H746" s="13" t="s">
        <v>4729</v>
      </c>
      <c r="I746" s="13" t="s">
        <v>4730</v>
      </c>
      <c r="J746" s="13" t="s">
        <v>4731</v>
      </c>
      <c r="K746" s="13" t="s">
        <v>4732</v>
      </c>
      <c r="L746" s="13" t="s">
        <v>2990</v>
      </c>
      <c r="M746" s="13" t="n">
        <v>1273.15</v>
      </c>
      <c r="N746" s="13" t="n">
        <v>0.82</v>
      </c>
      <c r="O746" s="13" t="n">
        <v>44</v>
      </c>
      <c r="P746" s="13" t="s">
        <v>2991</v>
      </c>
      <c r="Q746" s="13" t="s">
        <v>3829</v>
      </c>
      <c r="R746" s="13" t="s">
        <v>4733</v>
      </c>
      <c r="S746" s="13" t="s">
        <v>4733</v>
      </c>
      <c r="T746" s="13" t="s">
        <v>61</v>
      </c>
      <c r="U746" s="13"/>
    </row>
    <row r="747" customFormat="false" ht="18" hidden="false" customHeight="true" outlineLevel="0" collapsed="false">
      <c r="A747" s="13" t="n">
        <v>746</v>
      </c>
      <c r="B747" s="13" t="s">
        <v>4734</v>
      </c>
      <c r="C747" s="13" t="s">
        <v>48</v>
      </c>
      <c r="D747" s="13" t="s">
        <v>49</v>
      </c>
      <c r="E747" s="13" t="s">
        <v>65</v>
      </c>
      <c r="F747" s="13" t="s">
        <v>438</v>
      </c>
      <c r="G747" s="13" t="s">
        <v>67</v>
      </c>
      <c r="H747" s="13" t="s">
        <v>4735</v>
      </c>
      <c r="I747" s="13" t="s">
        <v>4736</v>
      </c>
      <c r="J747" s="13" t="s">
        <v>4737</v>
      </c>
      <c r="K747" s="13" t="s">
        <v>1657</v>
      </c>
      <c r="L747" s="13" t="s">
        <v>1658</v>
      </c>
      <c r="M747" s="13" t="n">
        <v>46.95</v>
      </c>
      <c r="N747" s="13" t="n">
        <v>0.14</v>
      </c>
      <c r="O747" s="13" t="n">
        <v>457</v>
      </c>
      <c r="P747" s="13" t="s">
        <v>1659</v>
      </c>
      <c r="Q747" s="13" t="s">
        <v>1794</v>
      </c>
      <c r="R747" s="13" t="s">
        <v>768</v>
      </c>
      <c r="S747" s="13" t="s">
        <v>768</v>
      </c>
      <c r="T747" s="13" t="s">
        <v>61</v>
      </c>
      <c r="U747" s="13"/>
    </row>
    <row r="748" customFormat="false" ht="18" hidden="false" customHeight="true" outlineLevel="0" collapsed="false">
      <c r="A748" s="14" t="n">
        <v>747</v>
      </c>
      <c r="B748" s="14" t="s">
        <v>4738</v>
      </c>
      <c r="C748" s="14" t="s">
        <v>125</v>
      </c>
      <c r="D748" s="14" t="s">
        <v>126</v>
      </c>
      <c r="E748" s="14" t="s">
        <v>161</v>
      </c>
      <c r="F748" s="14" t="s">
        <v>822</v>
      </c>
      <c r="G748" s="14" t="s">
        <v>296</v>
      </c>
      <c r="H748" s="14" t="s">
        <v>4739</v>
      </c>
      <c r="I748" s="14" t="s">
        <v>4740</v>
      </c>
      <c r="J748" s="14" t="s">
        <v>4741</v>
      </c>
      <c r="K748" s="14" t="s">
        <v>4742</v>
      </c>
      <c r="L748" s="14"/>
      <c r="M748" s="14" t="n">
        <v>323.28</v>
      </c>
      <c r="N748" s="14" t="n">
        <v>0.4</v>
      </c>
      <c r="O748" s="14" t="n">
        <v>87</v>
      </c>
      <c r="P748" s="14" t="s">
        <v>853</v>
      </c>
      <c r="Q748" s="14" t="s">
        <v>3254</v>
      </c>
      <c r="R748" s="14" t="s">
        <v>360</v>
      </c>
      <c r="S748" s="14" t="s">
        <v>360</v>
      </c>
      <c r="T748" s="14" t="s">
        <v>61</v>
      </c>
      <c r="U748" s="14" t="s">
        <v>1107</v>
      </c>
    </row>
    <row r="749" customFormat="false" ht="18" hidden="false" customHeight="true" outlineLevel="0" collapsed="false">
      <c r="A749" s="13" t="n">
        <v>748</v>
      </c>
      <c r="B749" s="13" t="s">
        <v>4743</v>
      </c>
      <c r="C749" s="13" t="s">
        <v>63</v>
      </c>
      <c r="D749" s="13" t="s">
        <v>64</v>
      </c>
      <c r="E749" s="13" t="s">
        <v>91</v>
      </c>
      <c r="F749" s="13" t="s">
        <v>92</v>
      </c>
      <c r="G749" s="13" t="s">
        <v>139</v>
      </c>
      <c r="H749" s="13" t="s">
        <v>4744</v>
      </c>
      <c r="I749" s="13" t="s">
        <v>4745</v>
      </c>
      <c r="J749" s="13" t="s">
        <v>4746</v>
      </c>
      <c r="K749" s="13" t="s">
        <v>4747</v>
      </c>
      <c r="L749" s="13" t="s">
        <v>774</v>
      </c>
      <c r="M749" s="13" t="n">
        <v>3277.05</v>
      </c>
      <c r="N749" s="13" t="n">
        <v>46.5</v>
      </c>
      <c r="O749" s="13" t="n">
        <v>235</v>
      </c>
      <c r="P749" s="13" t="s">
        <v>775</v>
      </c>
      <c r="Q749" s="13" t="s">
        <v>871</v>
      </c>
      <c r="R749" s="13" t="s">
        <v>452</v>
      </c>
      <c r="S749" s="13" t="s">
        <v>452</v>
      </c>
      <c r="T749" s="13" t="s">
        <v>61</v>
      </c>
      <c r="U749" s="13"/>
    </row>
    <row r="750" customFormat="false" ht="18" hidden="false" customHeight="true" outlineLevel="0" collapsed="false">
      <c r="A750" s="13" t="n">
        <v>749</v>
      </c>
      <c r="B750" s="13" t="s">
        <v>4748</v>
      </c>
      <c r="C750" s="13" t="s">
        <v>173</v>
      </c>
      <c r="D750" s="13" t="s">
        <v>174</v>
      </c>
      <c r="E750" s="13" t="s">
        <v>91</v>
      </c>
      <c r="F750" s="13" t="s">
        <v>780</v>
      </c>
      <c r="G750" s="13" t="s">
        <v>743</v>
      </c>
      <c r="H750" s="13" t="s">
        <v>4749</v>
      </c>
      <c r="I750" s="13" t="s">
        <v>4750</v>
      </c>
      <c r="J750" s="13" t="s">
        <v>4751</v>
      </c>
      <c r="K750" s="13" t="s">
        <v>4752</v>
      </c>
      <c r="L750" s="13" t="s">
        <v>1447</v>
      </c>
      <c r="M750" s="13" t="n">
        <v>499.4</v>
      </c>
      <c r="N750" s="13" t="n">
        <v>36</v>
      </c>
      <c r="O750" s="13" t="n">
        <v>452</v>
      </c>
      <c r="P750" s="13" t="s">
        <v>1448</v>
      </c>
      <c r="Q750" s="13" t="s">
        <v>2868</v>
      </c>
      <c r="R750" s="13" t="s">
        <v>1292</v>
      </c>
      <c r="S750" s="13" t="s">
        <v>1292</v>
      </c>
      <c r="T750" s="13" t="s">
        <v>61</v>
      </c>
      <c r="U750" s="13"/>
    </row>
    <row r="751" customFormat="false" ht="18" hidden="false" customHeight="true" outlineLevel="0" collapsed="false">
      <c r="A751" s="13" t="n">
        <v>750</v>
      </c>
      <c r="B751" s="13" t="s">
        <v>4753</v>
      </c>
      <c r="C751" s="13" t="s">
        <v>48</v>
      </c>
      <c r="D751" s="13" t="s">
        <v>49</v>
      </c>
      <c r="E751" s="13" t="s">
        <v>91</v>
      </c>
      <c r="F751" s="13" t="s">
        <v>138</v>
      </c>
      <c r="G751" s="13" t="s">
        <v>139</v>
      </c>
      <c r="H751" s="13" t="s">
        <v>4754</v>
      </c>
      <c r="I751" s="13" t="s">
        <v>4755</v>
      </c>
      <c r="J751" s="13" t="s">
        <v>4756</v>
      </c>
      <c r="K751" s="13" t="s">
        <v>609</v>
      </c>
      <c r="L751" s="13" t="s">
        <v>144</v>
      </c>
      <c r="M751" s="13" t="n">
        <v>879.78</v>
      </c>
      <c r="N751" s="13" t="n">
        <v>28.12</v>
      </c>
      <c r="O751" s="13" t="n">
        <v>380</v>
      </c>
      <c r="P751" s="13" t="s">
        <v>145</v>
      </c>
      <c r="Q751" s="13" t="s">
        <v>1165</v>
      </c>
      <c r="R751" s="13" t="s">
        <v>2322</v>
      </c>
      <c r="S751" s="13" t="s">
        <v>2322</v>
      </c>
      <c r="T751" s="13" t="s">
        <v>61</v>
      </c>
      <c r="U751" s="13"/>
    </row>
    <row r="752" customFormat="false" ht="18" hidden="false" customHeight="true" outlineLevel="0" collapsed="false">
      <c r="A752" s="16" t="n">
        <v>751</v>
      </c>
      <c r="B752" s="16" t="s">
        <v>4757</v>
      </c>
      <c r="C752" s="16" t="s">
        <v>125</v>
      </c>
      <c r="D752" s="16" t="s">
        <v>126</v>
      </c>
      <c r="E752" s="16" t="s">
        <v>91</v>
      </c>
      <c r="F752" s="16" t="s">
        <v>780</v>
      </c>
      <c r="G752" s="16" t="s">
        <v>139</v>
      </c>
      <c r="H752" s="16" t="s">
        <v>4758</v>
      </c>
      <c r="I752" s="16" t="s">
        <v>4759</v>
      </c>
      <c r="J752" s="16" t="s">
        <v>4760</v>
      </c>
      <c r="K752" s="16" t="s">
        <v>1956</v>
      </c>
      <c r="L752" s="16" t="s">
        <v>785</v>
      </c>
      <c r="M752" s="16" t="n">
        <v>572.95</v>
      </c>
      <c r="N752" s="16" t="n">
        <v>28.1</v>
      </c>
      <c r="O752" s="16" t="n">
        <v>0</v>
      </c>
      <c r="P752" s="16" t="s">
        <v>786</v>
      </c>
      <c r="Q752" s="16" t="s">
        <v>626</v>
      </c>
      <c r="R752" s="16" t="s">
        <v>888</v>
      </c>
      <c r="S752" s="16" t="s">
        <v>4761</v>
      </c>
      <c r="T752" s="16" t="s">
        <v>61</v>
      </c>
      <c r="U752" s="16" t="s">
        <v>325</v>
      </c>
    </row>
    <row r="753" customFormat="false" ht="18" hidden="false" customHeight="true" outlineLevel="0" collapsed="false">
      <c r="A753" s="13" t="n">
        <v>752</v>
      </c>
      <c r="B753" s="13" t="s">
        <v>4762</v>
      </c>
      <c r="C753" s="13" t="s">
        <v>255</v>
      </c>
      <c r="D753" s="13" t="s">
        <v>256</v>
      </c>
      <c r="E753" s="13" t="s">
        <v>91</v>
      </c>
      <c r="F753" s="13" t="s">
        <v>587</v>
      </c>
      <c r="G753" s="13" t="s">
        <v>420</v>
      </c>
      <c r="H753" s="13" t="s">
        <v>4763</v>
      </c>
      <c r="I753" s="13" t="s">
        <v>4764</v>
      </c>
      <c r="J753" s="13" t="s">
        <v>4765</v>
      </c>
      <c r="K753" s="13" t="s">
        <v>591</v>
      </c>
      <c r="L753" s="13" t="s">
        <v>592</v>
      </c>
      <c r="M753" s="13" t="n">
        <v>2505.23</v>
      </c>
      <c r="N753" s="13" t="n">
        <v>20.66</v>
      </c>
      <c r="O753" s="13" t="n">
        <v>82</v>
      </c>
      <c r="P753" s="13" t="s">
        <v>593</v>
      </c>
      <c r="Q753" s="13" t="s">
        <v>2786</v>
      </c>
      <c r="R753" s="13" t="s">
        <v>111</v>
      </c>
      <c r="S753" s="13" t="s">
        <v>111</v>
      </c>
      <c r="T753" s="13" t="s">
        <v>61</v>
      </c>
      <c r="U753" s="13"/>
    </row>
    <row r="754" customFormat="false" ht="18" hidden="false" customHeight="true" outlineLevel="0" collapsed="false">
      <c r="A754" s="15" t="n">
        <v>753</v>
      </c>
      <c r="B754" s="15" t="s">
        <v>4766</v>
      </c>
      <c r="C754" s="15" t="s">
        <v>125</v>
      </c>
      <c r="D754" s="15" t="s">
        <v>126</v>
      </c>
      <c r="E754" s="15" t="s">
        <v>91</v>
      </c>
      <c r="F754" s="15" t="s">
        <v>92</v>
      </c>
      <c r="G754" s="15" t="s">
        <v>743</v>
      </c>
      <c r="H754" s="15" t="s">
        <v>4767</v>
      </c>
      <c r="I754" s="15" t="s">
        <v>4768</v>
      </c>
      <c r="J754" s="15" t="s">
        <v>4769</v>
      </c>
      <c r="K754" s="15" t="s">
        <v>4770</v>
      </c>
      <c r="L754" s="15" t="s">
        <v>1349</v>
      </c>
      <c r="M754" s="15" t="n">
        <v>21061.4</v>
      </c>
      <c r="N754" s="15" t="n">
        <v>9.78</v>
      </c>
      <c r="O754" s="15" t="n">
        <v>389</v>
      </c>
      <c r="P754" s="15" t="s">
        <v>1350</v>
      </c>
      <c r="Q754" s="15" t="s">
        <v>4284</v>
      </c>
      <c r="R754" s="15" t="s">
        <v>1894</v>
      </c>
      <c r="S754" s="15" t="s">
        <v>1894</v>
      </c>
      <c r="T754" s="15" t="s">
        <v>61</v>
      </c>
      <c r="U754" s="15" t="s">
        <v>343</v>
      </c>
    </row>
    <row r="755" customFormat="false" ht="18" hidden="false" customHeight="true" outlineLevel="0" collapsed="false">
      <c r="A755" s="14" t="n">
        <v>754</v>
      </c>
      <c r="B755" s="14" t="s">
        <v>4771</v>
      </c>
      <c r="C755" s="14" t="s">
        <v>255</v>
      </c>
      <c r="D755" s="14" t="s">
        <v>256</v>
      </c>
      <c r="E755" s="14" t="s">
        <v>161</v>
      </c>
      <c r="F755" s="14" t="s">
        <v>429</v>
      </c>
      <c r="G755" s="14" t="s">
        <v>334</v>
      </c>
      <c r="H755" s="14" t="s">
        <v>4772</v>
      </c>
      <c r="I755" s="14" t="s">
        <v>4773</v>
      </c>
      <c r="J755" s="14" t="s">
        <v>4774</v>
      </c>
      <c r="K755" s="14" t="s">
        <v>487</v>
      </c>
      <c r="L755" s="14" t="s">
        <v>488</v>
      </c>
      <c r="M755" s="14" t="n">
        <v>341.07</v>
      </c>
      <c r="N755" s="14" t="n">
        <v>0.36</v>
      </c>
      <c r="O755" s="14" t="n">
        <v>202</v>
      </c>
      <c r="P755" s="14"/>
      <c r="Q755" s="14" t="s">
        <v>1545</v>
      </c>
      <c r="R755" s="14" t="s">
        <v>872</v>
      </c>
      <c r="S755" s="14" t="s">
        <v>872</v>
      </c>
      <c r="T755" s="14" t="s">
        <v>61</v>
      </c>
      <c r="U755" s="14" t="s">
        <v>1014</v>
      </c>
    </row>
    <row r="756" customFormat="false" ht="18" hidden="false" customHeight="true" outlineLevel="0" collapsed="false">
      <c r="A756" s="13" t="n">
        <v>755</v>
      </c>
      <c r="B756" s="13" t="s">
        <v>4775</v>
      </c>
      <c r="C756" s="13" t="s">
        <v>159</v>
      </c>
      <c r="D756" s="13" t="s">
        <v>160</v>
      </c>
      <c r="E756" s="13" t="s">
        <v>50</v>
      </c>
      <c r="F756" s="13" t="s">
        <v>127</v>
      </c>
      <c r="G756" s="13" t="s">
        <v>689</v>
      </c>
      <c r="H756" s="13" t="s">
        <v>4776</v>
      </c>
      <c r="I756" s="13" t="s">
        <v>4777</v>
      </c>
      <c r="J756" s="13" t="s">
        <v>4778</v>
      </c>
      <c r="K756" s="13" t="s">
        <v>4779</v>
      </c>
      <c r="L756" s="13" t="s">
        <v>1970</v>
      </c>
      <c r="M756" s="13" t="n">
        <v>1214.5</v>
      </c>
      <c r="N756" s="13" t="n">
        <v>0.77</v>
      </c>
      <c r="O756" s="13" t="n">
        <v>146</v>
      </c>
      <c r="P756" s="13" t="s">
        <v>1971</v>
      </c>
      <c r="Q756" s="13" t="s">
        <v>1556</v>
      </c>
      <c r="R756" s="13" t="s">
        <v>1539</v>
      </c>
      <c r="S756" s="13" t="s">
        <v>1539</v>
      </c>
      <c r="T756" s="13" t="s">
        <v>61</v>
      </c>
      <c r="U756" s="13"/>
    </row>
    <row r="757" customFormat="false" ht="18" hidden="false" customHeight="true" outlineLevel="0" collapsed="false">
      <c r="A757" s="13" t="n">
        <v>756</v>
      </c>
      <c r="B757" s="13" t="s">
        <v>4780</v>
      </c>
      <c r="C757" s="13" t="s">
        <v>48</v>
      </c>
      <c r="D757" s="13" t="s">
        <v>49</v>
      </c>
      <c r="E757" s="13" t="s">
        <v>91</v>
      </c>
      <c r="F757" s="13" t="s">
        <v>92</v>
      </c>
      <c r="G757" s="13" t="s">
        <v>186</v>
      </c>
      <c r="H757" s="13" t="s">
        <v>4781</v>
      </c>
      <c r="I757" s="13" t="s">
        <v>4782</v>
      </c>
      <c r="J757" s="13" t="s">
        <v>4783</v>
      </c>
      <c r="K757" s="13" t="s">
        <v>4784</v>
      </c>
      <c r="L757" s="13" t="s">
        <v>2004</v>
      </c>
      <c r="M757" s="13" t="n">
        <v>929.95</v>
      </c>
      <c r="N757" s="13" t="n">
        <v>9.15</v>
      </c>
      <c r="O757" s="13" t="n">
        <v>308</v>
      </c>
      <c r="P757" s="13" t="s">
        <v>2005</v>
      </c>
      <c r="Q757" s="13" t="s">
        <v>3747</v>
      </c>
      <c r="R757" s="13" t="s">
        <v>1899</v>
      </c>
      <c r="S757" s="13" t="s">
        <v>1899</v>
      </c>
      <c r="T757" s="13" t="s">
        <v>61</v>
      </c>
      <c r="U757" s="13"/>
    </row>
    <row r="758" customFormat="false" ht="18" hidden="false" customHeight="true" outlineLevel="0" collapsed="false">
      <c r="A758" s="15" t="n">
        <v>757</v>
      </c>
      <c r="B758" s="15" t="s">
        <v>172</v>
      </c>
      <c r="C758" s="15" t="s">
        <v>125</v>
      </c>
      <c r="D758" s="15" t="s">
        <v>126</v>
      </c>
      <c r="E758" s="15" t="s">
        <v>161</v>
      </c>
      <c r="F758" s="15" t="s">
        <v>51</v>
      </c>
      <c r="G758" s="15" t="s">
        <v>175</v>
      </c>
      <c r="H758" s="15" t="s">
        <v>176</v>
      </c>
      <c r="I758" s="15" t="s">
        <v>177</v>
      </c>
      <c r="J758" s="15" t="s">
        <v>178</v>
      </c>
      <c r="K758" s="15" t="s">
        <v>179</v>
      </c>
      <c r="L758" s="15" t="s">
        <v>180</v>
      </c>
      <c r="M758" s="15" t="n">
        <v>307.98</v>
      </c>
      <c r="N758" s="15" t="n">
        <v>0.23</v>
      </c>
      <c r="O758" s="15" t="n">
        <v>387</v>
      </c>
      <c r="P758" s="15" t="s">
        <v>181</v>
      </c>
      <c r="Q758" s="15" t="s">
        <v>182</v>
      </c>
      <c r="R758" s="15" t="s">
        <v>183</v>
      </c>
      <c r="S758" s="15" t="s">
        <v>183</v>
      </c>
      <c r="T758" s="15" t="s">
        <v>61</v>
      </c>
      <c r="U758" s="15" t="s">
        <v>283</v>
      </c>
    </row>
    <row r="759" customFormat="false" ht="18" hidden="false" customHeight="true" outlineLevel="0" collapsed="false">
      <c r="A759" s="13" t="n">
        <v>758</v>
      </c>
      <c r="B759" s="13" t="s">
        <v>4785</v>
      </c>
      <c r="C759" s="13" t="s">
        <v>125</v>
      </c>
      <c r="D759" s="13" t="s">
        <v>126</v>
      </c>
      <c r="E759" s="13" t="s">
        <v>161</v>
      </c>
      <c r="F759" s="13" t="s">
        <v>822</v>
      </c>
      <c r="G759" s="13" t="s">
        <v>285</v>
      </c>
      <c r="H759" s="13" t="s">
        <v>4786</v>
      </c>
      <c r="I759" s="13" t="s">
        <v>4787</v>
      </c>
      <c r="J759" s="13" t="s">
        <v>4788</v>
      </c>
      <c r="K759" s="13" t="s">
        <v>1095</v>
      </c>
      <c r="L759" s="13" t="s">
        <v>1096</v>
      </c>
      <c r="M759" s="13" t="n">
        <v>330.77</v>
      </c>
      <c r="N759" s="13" t="n">
        <v>0.44</v>
      </c>
      <c r="O759" s="13" t="n">
        <v>378</v>
      </c>
      <c r="P759" s="13" t="s">
        <v>1097</v>
      </c>
      <c r="Q759" s="13" t="s">
        <v>1730</v>
      </c>
      <c r="R759" s="13" t="s">
        <v>872</v>
      </c>
      <c r="S759" s="13" t="s">
        <v>872</v>
      </c>
      <c r="T759" s="13" t="s">
        <v>61</v>
      </c>
      <c r="U759" s="13"/>
    </row>
    <row r="760" customFormat="false" ht="18" hidden="false" customHeight="true" outlineLevel="0" collapsed="false">
      <c r="A760" s="13" t="n">
        <v>759</v>
      </c>
      <c r="B760" s="13" t="s">
        <v>4789</v>
      </c>
      <c r="C760" s="13" t="s">
        <v>159</v>
      </c>
      <c r="D760" s="13" t="s">
        <v>160</v>
      </c>
      <c r="E760" s="13" t="s">
        <v>65</v>
      </c>
      <c r="F760" s="13" t="s">
        <v>227</v>
      </c>
      <c r="G760" s="13" t="s">
        <v>391</v>
      </c>
      <c r="H760" s="13" t="s">
        <v>4790</v>
      </c>
      <c r="I760" s="13" t="s">
        <v>4791</v>
      </c>
      <c r="J760" s="13" t="s">
        <v>4792</v>
      </c>
      <c r="K760" s="13" t="s">
        <v>4793</v>
      </c>
      <c r="L760" s="13" t="s">
        <v>4794</v>
      </c>
      <c r="M760" s="13" t="n">
        <v>473.03</v>
      </c>
      <c r="N760" s="13" t="n">
        <v>1.05</v>
      </c>
      <c r="O760" s="13" t="n">
        <v>481</v>
      </c>
      <c r="P760" s="13" t="s">
        <v>4795</v>
      </c>
      <c r="Q760" s="13" t="s">
        <v>652</v>
      </c>
      <c r="R760" s="13" t="s">
        <v>111</v>
      </c>
      <c r="S760" s="13" t="s">
        <v>111</v>
      </c>
      <c r="T760" s="13" t="s">
        <v>61</v>
      </c>
      <c r="U760" s="13"/>
    </row>
    <row r="761" customFormat="false" ht="18" hidden="false" customHeight="true" outlineLevel="0" collapsed="false">
      <c r="A761" s="13" t="n">
        <v>760</v>
      </c>
      <c r="B761" s="13" t="s">
        <v>4796</v>
      </c>
      <c r="C761" s="13" t="s">
        <v>159</v>
      </c>
      <c r="D761" s="13" t="s">
        <v>160</v>
      </c>
      <c r="E761" s="13" t="s">
        <v>161</v>
      </c>
      <c r="F761" s="13" t="s">
        <v>185</v>
      </c>
      <c r="G761" s="13" t="s">
        <v>175</v>
      </c>
      <c r="H761" s="13" t="s">
        <v>4797</v>
      </c>
      <c r="I761" s="13" t="s">
        <v>4798</v>
      </c>
      <c r="J761" s="13" t="s">
        <v>4799</v>
      </c>
      <c r="K761" s="13" t="s">
        <v>4800</v>
      </c>
      <c r="L761" s="13" t="s">
        <v>676</v>
      </c>
      <c r="M761" s="13" t="n">
        <v>527.2</v>
      </c>
      <c r="N761" s="13" t="n">
        <v>0.42</v>
      </c>
      <c r="O761" s="13" t="n">
        <v>376</v>
      </c>
      <c r="P761" s="13" t="s">
        <v>677</v>
      </c>
      <c r="Q761" s="13" t="s">
        <v>2515</v>
      </c>
      <c r="R761" s="13" t="s">
        <v>838</v>
      </c>
      <c r="S761" s="13" t="s">
        <v>838</v>
      </c>
      <c r="T761" s="13" t="s">
        <v>61</v>
      </c>
      <c r="U761" s="13"/>
    </row>
    <row r="762" customFormat="false" ht="18" hidden="false" customHeight="true" outlineLevel="0" collapsed="false">
      <c r="A762" s="13" t="n">
        <v>761</v>
      </c>
      <c r="B762" s="13" t="s">
        <v>4801</v>
      </c>
      <c r="C762" s="13" t="s">
        <v>63</v>
      </c>
      <c r="D762" s="13" t="s">
        <v>64</v>
      </c>
      <c r="E762" s="13" t="s">
        <v>79</v>
      </c>
      <c r="F762" s="13" t="s">
        <v>127</v>
      </c>
      <c r="G762" s="13" t="s">
        <v>733</v>
      </c>
      <c r="H762" s="13" t="s">
        <v>4802</v>
      </c>
      <c r="I762" s="13" t="s">
        <v>4803</v>
      </c>
      <c r="J762" s="13" t="s">
        <v>4804</v>
      </c>
      <c r="K762" s="13" t="s">
        <v>4805</v>
      </c>
      <c r="L762" s="13" t="s">
        <v>738</v>
      </c>
      <c r="M762" s="13" t="n">
        <v>1432.26</v>
      </c>
      <c r="N762" s="13" t="n">
        <v>1.3</v>
      </c>
      <c r="O762" s="13" t="n">
        <v>72</v>
      </c>
      <c r="P762" s="13" t="s">
        <v>739</v>
      </c>
      <c r="Q762" s="13" t="s">
        <v>4806</v>
      </c>
      <c r="R762" s="13" t="s">
        <v>157</v>
      </c>
      <c r="S762" s="13" t="s">
        <v>157</v>
      </c>
      <c r="T762" s="13" t="s">
        <v>61</v>
      </c>
      <c r="U762" s="13"/>
    </row>
    <row r="763" customFormat="false" ht="18" hidden="false" customHeight="true" outlineLevel="0" collapsed="false">
      <c r="A763" s="15" t="n">
        <v>762</v>
      </c>
      <c r="B763" s="15" t="s">
        <v>4807</v>
      </c>
      <c r="C763" s="15" t="s">
        <v>255</v>
      </c>
      <c r="D763" s="15" t="s">
        <v>256</v>
      </c>
      <c r="E763" s="15" t="s">
        <v>79</v>
      </c>
      <c r="F763" s="15" t="s">
        <v>956</v>
      </c>
      <c r="G763" s="15" t="s">
        <v>760</v>
      </c>
      <c r="H763" s="15" t="s">
        <v>4808</v>
      </c>
      <c r="I763" s="15" t="s">
        <v>4809</v>
      </c>
      <c r="J763" s="15" t="s">
        <v>4810</v>
      </c>
      <c r="K763" s="15" t="s">
        <v>4811</v>
      </c>
      <c r="L763" s="15" t="s">
        <v>961</v>
      </c>
      <c r="M763" s="15" t="n">
        <v>1237.94</v>
      </c>
      <c r="N763" s="15" t="n">
        <v>2.28</v>
      </c>
      <c r="O763" s="15" t="n">
        <v>392</v>
      </c>
      <c r="P763" s="15" t="s">
        <v>962</v>
      </c>
      <c r="Q763" s="15" t="s">
        <v>4812</v>
      </c>
      <c r="R763" s="15" t="s">
        <v>4813</v>
      </c>
      <c r="S763" s="15" t="s">
        <v>4813</v>
      </c>
      <c r="T763" s="15" t="s">
        <v>61</v>
      </c>
      <c r="U763" s="15" t="s">
        <v>283</v>
      </c>
    </row>
    <row r="764" customFormat="false" ht="18" hidden="false" customHeight="true" outlineLevel="0" collapsed="false">
      <c r="A764" s="13" t="n">
        <v>763</v>
      </c>
      <c r="B764" s="13" t="s">
        <v>4814</v>
      </c>
      <c r="C764" s="13" t="s">
        <v>173</v>
      </c>
      <c r="D764" s="13" t="s">
        <v>174</v>
      </c>
      <c r="E764" s="13" t="s">
        <v>50</v>
      </c>
      <c r="F764" s="13" t="s">
        <v>115</v>
      </c>
      <c r="G764" s="13" t="s">
        <v>217</v>
      </c>
      <c r="H764" s="13" t="s">
        <v>4815</v>
      </c>
      <c r="I764" s="13" t="s">
        <v>4816</v>
      </c>
      <c r="J764" s="13" t="s">
        <v>4817</v>
      </c>
      <c r="K764" s="13" t="s">
        <v>2011</v>
      </c>
      <c r="L764" s="13" t="s">
        <v>366</v>
      </c>
      <c r="M764" s="13" t="n">
        <v>853.99</v>
      </c>
      <c r="N764" s="13" t="n">
        <v>0.84</v>
      </c>
      <c r="O764" s="13" t="n">
        <v>273</v>
      </c>
      <c r="P764" s="13" t="s">
        <v>367</v>
      </c>
      <c r="Q764" s="13" t="s">
        <v>2675</v>
      </c>
      <c r="R764" s="13" t="s">
        <v>4137</v>
      </c>
      <c r="S764" s="13" t="s">
        <v>4137</v>
      </c>
      <c r="T764" s="13" t="s">
        <v>61</v>
      </c>
      <c r="U764" s="13"/>
    </row>
    <row r="765" customFormat="false" ht="18" hidden="false" customHeight="true" outlineLevel="0" collapsed="false">
      <c r="A765" s="13" t="n">
        <v>764</v>
      </c>
      <c r="B765" s="13" t="s">
        <v>4818</v>
      </c>
      <c r="C765" s="13" t="s">
        <v>63</v>
      </c>
      <c r="D765" s="13" t="s">
        <v>64</v>
      </c>
      <c r="E765" s="13" t="s">
        <v>50</v>
      </c>
      <c r="F765" s="13" t="s">
        <v>115</v>
      </c>
      <c r="G765" s="13" t="s">
        <v>689</v>
      </c>
      <c r="H765" s="13" t="s">
        <v>4819</v>
      </c>
      <c r="I765" s="13" t="s">
        <v>4820</v>
      </c>
      <c r="J765" s="13" t="s">
        <v>4821</v>
      </c>
      <c r="K765" s="13" t="s">
        <v>4822</v>
      </c>
      <c r="L765" s="13" t="s">
        <v>694</v>
      </c>
      <c r="M765" s="13" t="n">
        <v>1253.6</v>
      </c>
      <c r="N765" s="13" t="n">
        <v>0.58</v>
      </c>
      <c r="O765" s="13" t="n">
        <v>282</v>
      </c>
      <c r="P765" s="13" t="s">
        <v>695</v>
      </c>
      <c r="Q765" s="13" t="s">
        <v>1342</v>
      </c>
      <c r="R765" s="13" t="s">
        <v>2182</v>
      </c>
      <c r="S765" s="13" t="s">
        <v>2182</v>
      </c>
      <c r="T765" s="13" t="s">
        <v>61</v>
      </c>
      <c r="U765" s="13"/>
    </row>
    <row r="766" customFormat="false" ht="18" hidden="false" customHeight="true" outlineLevel="0" collapsed="false">
      <c r="A766" s="13" t="n">
        <v>765</v>
      </c>
      <c r="B766" s="13" t="s">
        <v>4823</v>
      </c>
      <c r="C766" s="13" t="s">
        <v>255</v>
      </c>
      <c r="D766" s="13" t="s">
        <v>256</v>
      </c>
      <c r="E766" s="13" t="s">
        <v>79</v>
      </c>
      <c r="F766" s="13" t="s">
        <v>51</v>
      </c>
      <c r="G766" s="13" t="s">
        <v>562</v>
      </c>
      <c r="H766" s="13" t="s">
        <v>4824</v>
      </c>
      <c r="I766" s="13" t="s">
        <v>4825</v>
      </c>
      <c r="J766" s="13" t="s">
        <v>4826</v>
      </c>
      <c r="K766" s="13" t="s">
        <v>4827</v>
      </c>
      <c r="L766" s="13" t="s">
        <v>2754</v>
      </c>
      <c r="M766" s="13" t="n">
        <v>1257.57</v>
      </c>
      <c r="N766" s="13" t="n">
        <v>1.37</v>
      </c>
      <c r="O766" s="13" t="n">
        <v>218</v>
      </c>
      <c r="P766" s="13" t="s">
        <v>2755</v>
      </c>
      <c r="Q766" s="13" t="s">
        <v>4828</v>
      </c>
      <c r="R766" s="13" t="s">
        <v>2392</v>
      </c>
      <c r="S766" s="13" t="s">
        <v>2392</v>
      </c>
      <c r="T766" s="13" t="s">
        <v>61</v>
      </c>
      <c r="U766" s="13"/>
    </row>
    <row r="767" customFormat="false" ht="18" hidden="false" customHeight="true" outlineLevel="0" collapsed="false">
      <c r="A767" s="13" t="n">
        <v>766</v>
      </c>
      <c r="B767" s="13" t="s">
        <v>4829</v>
      </c>
      <c r="C767" s="13" t="s">
        <v>63</v>
      </c>
      <c r="D767" s="13" t="s">
        <v>64</v>
      </c>
      <c r="E767" s="13" t="s">
        <v>91</v>
      </c>
      <c r="F767" s="13" t="s">
        <v>92</v>
      </c>
      <c r="G767" s="13" t="s">
        <v>139</v>
      </c>
      <c r="H767" s="13" t="s">
        <v>4830</v>
      </c>
      <c r="I767" s="13" t="s">
        <v>4831</v>
      </c>
      <c r="J767" s="13" t="s">
        <v>4832</v>
      </c>
      <c r="K767" s="13" t="s">
        <v>4833</v>
      </c>
      <c r="L767" s="13" t="s">
        <v>774</v>
      </c>
      <c r="M767" s="13" t="n">
        <v>2451.93</v>
      </c>
      <c r="N767" s="13" t="n">
        <v>42.08</v>
      </c>
      <c r="O767" s="13" t="n">
        <v>36</v>
      </c>
      <c r="P767" s="13" t="s">
        <v>775</v>
      </c>
      <c r="Q767" s="13" t="s">
        <v>3802</v>
      </c>
      <c r="R767" s="13" t="s">
        <v>687</v>
      </c>
      <c r="S767" s="13" t="s">
        <v>687</v>
      </c>
      <c r="T767" s="13" t="s">
        <v>61</v>
      </c>
      <c r="U767" s="13"/>
    </row>
    <row r="768" customFormat="false" ht="18" hidden="false" customHeight="true" outlineLevel="0" collapsed="false">
      <c r="A768" s="13" t="n">
        <v>767</v>
      </c>
      <c r="B768" s="13" t="s">
        <v>4834</v>
      </c>
      <c r="C768" s="13" t="s">
        <v>173</v>
      </c>
      <c r="D768" s="13" t="s">
        <v>174</v>
      </c>
      <c r="E768" s="13" t="s">
        <v>50</v>
      </c>
      <c r="F768" s="13" t="s">
        <v>51</v>
      </c>
      <c r="G768" s="13" t="s">
        <v>352</v>
      </c>
      <c r="H768" s="13" t="s">
        <v>4835</v>
      </c>
      <c r="I768" s="13" t="s">
        <v>4836</v>
      </c>
      <c r="J768" s="13" t="s">
        <v>4837</v>
      </c>
      <c r="K768" s="13" t="s">
        <v>4838</v>
      </c>
      <c r="L768" s="13" t="s">
        <v>357</v>
      </c>
      <c r="M768" s="13" t="n">
        <v>379.91</v>
      </c>
      <c r="N768" s="13" t="n">
        <v>0.77</v>
      </c>
      <c r="O768" s="13" t="n">
        <v>448</v>
      </c>
      <c r="P768" s="13" t="s">
        <v>358</v>
      </c>
      <c r="Q768" s="13" t="s">
        <v>4839</v>
      </c>
      <c r="R768" s="13" t="s">
        <v>4129</v>
      </c>
      <c r="S768" s="13" t="s">
        <v>4129</v>
      </c>
      <c r="T768" s="13" t="s">
        <v>61</v>
      </c>
      <c r="U768" s="13"/>
    </row>
    <row r="769" customFormat="false" ht="18" hidden="false" customHeight="true" outlineLevel="0" collapsed="false">
      <c r="A769" s="13" t="n">
        <v>768</v>
      </c>
      <c r="B769" s="13" t="s">
        <v>663</v>
      </c>
      <c r="C769" s="13" t="s">
        <v>125</v>
      </c>
      <c r="D769" s="13" t="s">
        <v>126</v>
      </c>
      <c r="E769" s="13" t="s">
        <v>161</v>
      </c>
      <c r="F769" s="13" t="s">
        <v>429</v>
      </c>
      <c r="G769" s="13" t="s">
        <v>163</v>
      </c>
      <c r="H769" s="13" t="s">
        <v>664</v>
      </c>
      <c r="I769" s="13" t="s">
        <v>665</v>
      </c>
      <c r="J769" s="13" t="s">
        <v>666</v>
      </c>
      <c r="K769" s="13" t="s">
        <v>667</v>
      </c>
      <c r="L769" s="13" t="s">
        <v>668</v>
      </c>
      <c r="M769" s="13" t="n">
        <v>368.92</v>
      </c>
      <c r="N769" s="13" t="n">
        <v>0.37</v>
      </c>
      <c r="O769" s="13" t="n">
        <v>31</v>
      </c>
      <c r="P769" s="13" t="s">
        <v>669</v>
      </c>
      <c r="Q769" s="13" t="s">
        <v>322</v>
      </c>
      <c r="R769" s="13" t="s">
        <v>670</v>
      </c>
      <c r="S769" s="13" t="s">
        <v>670</v>
      </c>
      <c r="T769" s="13" t="s">
        <v>61</v>
      </c>
      <c r="U769" s="13"/>
    </row>
    <row r="770" customFormat="false" ht="18" hidden="false" customHeight="true" outlineLevel="0" collapsed="false">
      <c r="A770" s="13" t="n">
        <v>769</v>
      </c>
      <c r="B770" s="13" t="s">
        <v>4840</v>
      </c>
      <c r="C770" s="13" t="s">
        <v>77</v>
      </c>
      <c r="D770" s="13" t="s">
        <v>78</v>
      </c>
      <c r="E770" s="13" t="s">
        <v>65</v>
      </c>
      <c r="F770" s="13" t="s">
        <v>390</v>
      </c>
      <c r="G770" s="13" t="s">
        <v>391</v>
      </c>
      <c r="H770" s="13" t="s">
        <v>4841</v>
      </c>
      <c r="I770" s="13" t="s">
        <v>4842</v>
      </c>
      <c r="J770" s="13" t="s">
        <v>4843</v>
      </c>
      <c r="K770" s="13" t="s">
        <v>395</v>
      </c>
      <c r="L770" s="13" t="s">
        <v>396</v>
      </c>
      <c r="M770" s="13" t="n">
        <v>358.59</v>
      </c>
      <c r="N770" s="13" t="n">
        <v>0.34</v>
      </c>
      <c r="O770" s="13" t="n">
        <v>205</v>
      </c>
      <c r="P770" s="13" t="s">
        <v>397</v>
      </c>
      <c r="Q770" s="13" t="s">
        <v>281</v>
      </c>
      <c r="R770" s="13" t="s">
        <v>2261</v>
      </c>
      <c r="S770" s="13" t="s">
        <v>2261</v>
      </c>
      <c r="T770" s="13" t="s">
        <v>61</v>
      </c>
      <c r="U770" s="13"/>
    </row>
    <row r="771" customFormat="false" ht="18" hidden="false" customHeight="true" outlineLevel="0" collapsed="false">
      <c r="A771" s="13" t="n">
        <v>770</v>
      </c>
      <c r="B771" s="13" t="s">
        <v>4844</v>
      </c>
      <c r="C771" s="13" t="s">
        <v>77</v>
      </c>
      <c r="D771" s="13" t="s">
        <v>78</v>
      </c>
      <c r="E771" s="13" t="s">
        <v>79</v>
      </c>
      <c r="F771" s="13" t="s">
        <v>513</v>
      </c>
      <c r="G771" s="13" t="s">
        <v>760</v>
      </c>
      <c r="H771" s="13" t="s">
        <v>4845</v>
      </c>
      <c r="I771" s="13" t="s">
        <v>4846</v>
      </c>
      <c r="J771" s="13" t="s">
        <v>4847</v>
      </c>
      <c r="K771" s="13" t="s">
        <v>4848</v>
      </c>
      <c r="L771" s="13" t="s">
        <v>1331</v>
      </c>
      <c r="M771" s="13" t="n">
        <v>631.8</v>
      </c>
      <c r="N771" s="13" t="n">
        <v>2.65</v>
      </c>
      <c r="O771" s="13" t="n">
        <v>305</v>
      </c>
      <c r="P771" s="13" t="s">
        <v>1332</v>
      </c>
      <c r="Q771" s="13" t="s">
        <v>4849</v>
      </c>
      <c r="R771" s="13" t="s">
        <v>855</v>
      </c>
      <c r="S771" s="13" t="s">
        <v>855</v>
      </c>
      <c r="T771" s="13" t="s">
        <v>61</v>
      </c>
      <c r="U771" s="13"/>
    </row>
    <row r="772" customFormat="false" ht="18" hidden="false" customHeight="true" outlineLevel="0" collapsed="false">
      <c r="A772" s="13" t="n">
        <v>771</v>
      </c>
      <c r="B772" s="13" t="s">
        <v>4850</v>
      </c>
      <c r="C772" s="13" t="s">
        <v>48</v>
      </c>
      <c r="D772" s="13" t="s">
        <v>49</v>
      </c>
      <c r="E772" s="13" t="s">
        <v>161</v>
      </c>
      <c r="F772" s="13" t="s">
        <v>295</v>
      </c>
      <c r="G772" s="13" t="s">
        <v>257</v>
      </c>
      <c r="H772" s="13" t="s">
        <v>4851</v>
      </c>
      <c r="I772" s="13" t="s">
        <v>4852</v>
      </c>
      <c r="J772" s="13" t="s">
        <v>4853</v>
      </c>
      <c r="K772" s="13" t="s">
        <v>4008</v>
      </c>
      <c r="L772" s="13" t="s">
        <v>844</v>
      </c>
      <c r="M772" s="13" t="n">
        <v>210.79</v>
      </c>
      <c r="N772" s="13" t="n">
        <v>0.25</v>
      </c>
      <c r="O772" s="13" t="n">
        <v>145</v>
      </c>
      <c r="P772" s="13" t="s">
        <v>845</v>
      </c>
      <c r="Q772" s="13" t="s">
        <v>4854</v>
      </c>
      <c r="R772" s="13" t="s">
        <v>2333</v>
      </c>
      <c r="S772" s="13" t="s">
        <v>2333</v>
      </c>
      <c r="T772" s="13" t="s">
        <v>61</v>
      </c>
      <c r="U772" s="13"/>
    </row>
    <row r="773" customFormat="false" ht="18" hidden="false" customHeight="true" outlineLevel="0" collapsed="false">
      <c r="A773" s="15" t="n">
        <v>772</v>
      </c>
      <c r="B773" s="15" t="s">
        <v>698</v>
      </c>
      <c r="C773" s="15" t="s">
        <v>48</v>
      </c>
      <c r="D773" s="15" t="s">
        <v>49</v>
      </c>
      <c r="E773" s="15" t="s">
        <v>50</v>
      </c>
      <c r="F773" s="15" t="s">
        <v>138</v>
      </c>
      <c r="G773" s="15" t="s">
        <v>352</v>
      </c>
      <c r="H773" s="15" t="s">
        <v>699</v>
      </c>
      <c r="I773" s="15" t="s">
        <v>700</v>
      </c>
      <c r="J773" s="15" t="s">
        <v>701</v>
      </c>
      <c r="K773" s="15" t="s">
        <v>702</v>
      </c>
      <c r="L773" s="15" t="s">
        <v>386</v>
      </c>
      <c r="M773" s="15" t="n">
        <v>1127.11</v>
      </c>
      <c r="N773" s="15" t="n">
        <v>0.42</v>
      </c>
      <c r="O773" s="15" t="n">
        <v>409</v>
      </c>
      <c r="P773" s="15" t="s">
        <v>387</v>
      </c>
      <c r="Q773" s="15" t="s">
        <v>703</v>
      </c>
      <c r="R773" s="15" t="s">
        <v>704</v>
      </c>
      <c r="S773" s="15" t="s">
        <v>704</v>
      </c>
      <c r="T773" s="15" t="s">
        <v>61</v>
      </c>
      <c r="U773" s="15" t="s">
        <v>283</v>
      </c>
    </row>
    <row r="774" customFormat="false" ht="18" hidden="false" customHeight="true" outlineLevel="0" collapsed="false">
      <c r="A774" s="13" t="n">
        <v>773</v>
      </c>
      <c r="B774" s="13" t="s">
        <v>4855</v>
      </c>
      <c r="C774" s="13" t="s">
        <v>173</v>
      </c>
      <c r="D774" s="13" t="s">
        <v>174</v>
      </c>
      <c r="E774" s="13" t="s">
        <v>161</v>
      </c>
      <c r="F774" s="13" t="s">
        <v>429</v>
      </c>
      <c r="G774" s="13" t="s">
        <v>163</v>
      </c>
      <c r="H774" s="13" t="s">
        <v>4856</v>
      </c>
      <c r="I774" s="13" t="s">
        <v>4857</v>
      </c>
      <c r="J774" s="13" t="s">
        <v>4858</v>
      </c>
      <c r="K774" s="13" t="s">
        <v>4859</v>
      </c>
      <c r="L774" s="13" t="s">
        <v>668</v>
      </c>
      <c r="M774" s="13" t="n">
        <v>295.58</v>
      </c>
      <c r="N774" s="13" t="n">
        <v>0.3</v>
      </c>
      <c r="O774" s="13" t="n">
        <v>98</v>
      </c>
      <c r="P774" s="13" t="s">
        <v>669</v>
      </c>
      <c r="Q774" s="13" t="s">
        <v>1545</v>
      </c>
      <c r="R774" s="13" t="s">
        <v>491</v>
      </c>
      <c r="S774" s="13" t="s">
        <v>491</v>
      </c>
      <c r="T774" s="13" t="s">
        <v>61</v>
      </c>
      <c r="U774" s="13"/>
    </row>
    <row r="775" customFormat="false" ht="18" hidden="false" customHeight="true" outlineLevel="0" collapsed="false">
      <c r="A775" s="13" t="n">
        <v>774</v>
      </c>
      <c r="B775" s="13" t="s">
        <v>4860</v>
      </c>
      <c r="C775" s="13" t="s">
        <v>77</v>
      </c>
      <c r="D775" s="13" t="s">
        <v>78</v>
      </c>
      <c r="E775" s="13" t="s">
        <v>50</v>
      </c>
      <c r="F775" s="13" t="s">
        <v>127</v>
      </c>
      <c r="G775" s="13" t="s">
        <v>689</v>
      </c>
      <c r="H775" s="13" t="s">
        <v>4861</v>
      </c>
      <c r="I775" s="13" t="s">
        <v>4862</v>
      </c>
      <c r="J775" s="13" t="s">
        <v>4863</v>
      </c>
      <c r="K775" s="13" t="s">
        <v>4864</v>
      </c>
      <c r="L775" s="13" t="s">
        <v>1970</v>
      </c>
      <c r="M775" s="13" t="n">
        <v>1252.76</v>
      </c>
      <c r="N775" s="13" t="n">
        <v>0.82</v>
      </c>
      <c r="O775" s="13" t="n">
        <v>167</v>
      </c>
      <c r="P775" s="13" t="s">
        <v>1971</v>
      </c>
      <c r="Q775" s="13" t="s">
        <v>4865</v>
      </c>
      <c r="R775" s="13" t="s">
        <v>1510</v>
      </c>
      <c r="S775" s="13" t="s">
        <v>1510</v>
      </c>
      <c r="T775" s="13" t="s">
        <v>61</v>
      </c>
      <c r="U775" s="13"/>
    </row>
    <row r="776" customFormat="false" ht="18" hidden="false" customHeight="true" outlineLevel="0" collapsed="false">
      <c r="A776" s="13" t="n">
        <v>775</v>
      </c>
      <c r="B776" s="13" t="s">
        <v>4866</v>
      </c>
      <c r="C776" s="13" t="s">
        <v>159</v>
      </c>
      <c r="D776" s="13" t="s">
        <v>160</v>
      </c>
      <c r="E776" s="13" t="s">
        <v>79</v>
      </c>
      <c r="F776" s="13" t="s">
        <v>51</v>
      </c>
      <c r="G776" s="13" t="s">
        <v>514</v>
      </c>
      <c r="H776" s="13" t="s">
        <v>4867</v>
      </c>
      <c r="I776" s="13" t="s">
        <v>4868</v>
      </c>
      <c r="J776" s="13" t="s">
        <v>4869</v>
      </c>
      <c r="K776" s="13" t="s">
        <v>4870</v>
      </c>
      <c r="L776" s="13" t="s">
        <v>1088</v>
      </c>
      <c r="M776" s="13" t="n">
        <v>1092.34</v>
      </c>
      <c r="N776" s="13" t="n">
        <v>2.44</v>
      </c>
      <c r="O776" s="13" t="n">
        <v>303</v>
      </c>
      <c r="P776" s="13" t="s">
        <v>1089</v>
      </c>
      <c r="Q776" s="13" t="s">
        <v>4871</v>
      </c>
      <c r="R776" s="13" t="s">
        <v>314</v>
      </c>
      <c r="S776" s="13" t="s">
        <v>314</v>
      </c>
      <c r="T776" s="13" t="s">
        <v>61</v>
      </c>
      <c r="U776" s="13"/>
    </row>
    <row r="777" customFormat="false" ht="18" hidden="false" customHeight="true" outlineLevel="0" collapsed="false">
      <c r="A777" s="13" t="n">
        <v>776</v>
      </c>
      <c r="B777" s="13" t="s">
        <v>4872</v>
      </c>
      <c r="C777" s="13" t="s">
        <v>63</v>
      </c>
      <c r="D777" s="13" t="s">
        <v>64</v>
      </c>
      <c r="E777" s="13" t="s">
        <v>79</v>
      </c>
      <c r="F777" s="13" t="s">
        <v>51</v>
      </c>
      <c r="G777" s="13" t="s">
        <v>197</v>
      </c>
      <c r="H777" s="13" t="s">
        <v>4873</v>
      </c>
      <c r="I777" s="13" t="s">
        <v>4874</v>
      </c>
      <c r="J777" s="13" t="s">
        <v>4875</v>
      </c>
      <c r="K777" s="13" t="s">
        <v>4876</v>
      </c>
      <c r="L777" s="13" t="s">
        <v>719</v>
      </c>
      <c r="M777" s="13" t="n">
        <v>1868.47</v>
      </c>
      <c r="N777" s="13" t="n">
        <v>2.1</v>
      </c>
      <c r="O777" s="13" t="n">
        <v>79</v>
      </c>
      <c r="P777" s="13" t="s">
        <v>720</v>
      </c>
      <c r="Q777" s="13" t="s">
        <v>472</v>
      </c>
      <c r="R777" s="13" t="s">
        <v>1450</v>
      </c>
      <c r="S777" s="13" t="s">
        <v>1450</v>
      </c>
      <c r="T777" s="13" t="s">
        <v>61</v>
      </c>
      <c r="U777" s="13"/>
    </row>
    <row r="778" customFormat="false" ht="18" hidden="false" customHeight="true" outlineLevel="0" collapsed="false">
      <c r="A778" s="15" t="n">
        <v>777</v>
      </c>
      <c r="B778" s="15" t="s">
        <v>4877</v>
      </c>
      <c r="C778" s="15" t="s">
        <v>113</v>
      </c>
      <c r="D778" s="15" t="s">
        <v>114</v>
      </c>
      <c r="E778" s="15" t="s">
        <v>79</v>
      </c>
      <c r="F778" s="15" t="s">
        <v>127</v>
      </c>
      <c r="G778" s="15" t="s">
        <v>562</v>
      </c>
      <c r="H778" s="15" t="s">
        <v>4878</v>
      </c>
      <c r="I778" s="15" t="s">
        <v>4879</v>
      </c>
      <c r="J778" s="15" t="s">
        <v>4880</v>
      </c>
      <c r="K778" s="15" t="s">
        <v>4881</v>
      </c>
      <c r="L778" s="15" t="s">
        <v>1208</v>
      </c>
      <c r="M778" s="15" t="n">
        <v>1462.93</v>
      </c>
      <c r="N778" s="15" t="n">
        <v>2.33</v>
      </c>
      <c r="O778" s="15" t="n">
        <v>245</v>
      </c>
      <c r="P778" s="15" t="s">
        <v>1209</v>
      </c>
      <c r="Q778" s="15" t="s">
        <v>1497</v>
      </c>
      <c r="R778" s="15" t="s">
        <v>576</v>
      </c>
      <c r="S778" s="15" t="s">
        <v>576</v>
      </c>
      <c r="T778" s="15" t="s">
        <v>61</v>
      </c>
      <c r="U778" s="15" t="s">
        <v>283</v>
      </c>
    </row>
    <row r="779" customFormat="false" ht="18" hidden="false" customHeight="true" outlineLevel="0" collapsed="false">
      <c r="A779" s="13" t="n">
        <v>778</v>
      </c>
      <c r="B779" s="13" t="s">
        <v>4882</v>
      </c>
      <c r="C779" s="13" t="s">
        <v>48</v>
      </c>
      <c r="D779" s="13" t="s">
        <v>49</v>
      </c>
      <c r="E779" s="13" t="s">
        <v>50</v>
      </c>
      <c r="F779" s="13" t="s">
        <v>127</v>
      </c>
      <c r="G779" s="13" t="s">
        <v>808</v>
      </c>
      <c r="H779" s="13" t="s">
        <v>4883</v>
      </c>
      <c r="I779" s="13" t="s">
        <v>4884</v>
      </c>
      <c r="J779" s="13" t="s">
        <v>4885</v>
      </c>
      <c r="K779" s="13" t="s">
        <v>4886</v>
      </c>
      <c r="L779" s="13" t="s">
        <v>1737</v>
      </c>
      <c r="M779" s="13" t="n">
        <v>387.95</v>
      </c>
      <c r="N779" s="13" t="n">
        <v>0.58</v>
      </c>
      <c r="O779" s="13" t="n">
        <v>444</v>
      </c>
      <c r="P779" s="13" t="s">
        <v>1738</v>
      </c>
      <c r="Q779" s="13" t="s">
        <v>4887</v>
      </c>
      <c r="R779" s="13" t="s">
        <v>611</v>
      </c>
      <c r="S779" s="13" t="s">
        <v>611</v>
      </c>
      <c r="T779" s="13" t="s">
        <v>61</v>
      </c>
      <c r="U779" s="13"/>
    </row>
    <row r="780" customFormat="false" ht="18" hidden="false" customHeight="true" outlineLevel="0" collapsed="false">
      <c r="A780" s="15" t="n">
        <v>779</v>
      </c>
      <c r="B780" s="15" t="s">
        <v>4888</v>
      </c>
      <c r="C780" s="15" t="s">
        <v>77</v>
      </c>
      <c r="D780" s="15" t="s">
        <v>78</v>
      </c>
      <c r="E780" s="15" t="s">
        <v>65</v>
      </c>
      <c r="F780" s="15" t="s">
        <v>138</v>
      </c>
      <c r="G780" s="15" t="s">
        <v>689</v>
      </c>
      <c r="H780" s="15" t="s">
        <v>4889</v>
      </c>
      <c r="I780" s="15" t="s">
        <v>4890</v>
      </c>
      <c r="J780" s="15" t="s">
        <v>4891</v>
      </c>
      <c r="K780" s="15" t="s">
        <v>4732</v>
      </c>
      <c r="L780" s="15" t="s">
        <v>2990</v>
      </c>
      <c r="M780" s="15" t="n">
        <v>499.97</v>
      </c>
      <c r="N780" s="15" t="n">
        <v>0.81</v>
      </c>
      <c r="O780" s="15" t="n">
        <v>485</v>
      </c>
      <c r="P780" s="15" t="s">
        <v>2991</v>
      </c>
      <c r="Q780" s="15" t="s">
        <v>224</v>
      </c>
      <c r="R780" s="15" t="s">
        <v>4892</v>
      </c>
      <c r="S780" s="15" t="s">
        <v>4892</v>
      </c>
      <c r="T780" s="15" t="s">
        <v>61</v>
      </c>
      <c r="U780" s="15" t="s">
        <v>453</v>
      </c>
    </row>
    <row r="781" customFormat="false" ht="18" hidden="false" customHeight="true" outlineLevel="0" collapsed="false">
      <c r="A781" s="13" t="n">
        <v>780</v>
      </c>
      <c r="B781" s="13" t="s">
        <v>4081</v>
      </c>
      <c r="C781" s="13" t="s">
        <v>77</v>
      </c>
      <c r="D781" s="13" t="s">
        <v>78</v>
      </c>
      <c r="E781" s="13" t="s">
        <v>79</v>
      </c>
      <c r="F781" s="13" t="s">
        <v>1531</v>
      </c>
      <c r="G781" s="13" t="s">
        <v>514</v>
      </c>
      <c r="H781" s="13" t="s">
        <v>4082</v>
      </c>
      <c r="I781" s="13" t="s">
        <v>4083</v>
      </c>
      <c r="J781" s="13" t="s">
        <v>4084</v>
      </c>
      <c r="K781" s="13" t="s">
        <v>4085</v>
      </c>
      <c r="L781" s="13" t="s">
        <v>2383</v>
      </c>
      <c r="M781" s="13" t="n">
        <v>537.51</v>
      </c>
      <c r="N781" s="13" t="n">
        <v>2.22</v>
      </c>
      <c r="O781" s="13" t="n">
        <v>185</v>
      </c>
      <c r="P781" s="13" t="s">
        <v>2384</v>
      </c>
      <c r="Q781" s="13" t="s">
        <v>2135</v>
      </c>
      <c r="R781" s="13" t="s">
        <v>3708</v>
      </c>
      <c r="S781" s="13" t="s">
        <v>3708</v>
      </c>
      <c r="T781" s="13" t="s">
        <v>61</v>
      </c>
      <c r="U781" s="13"/>
    </row>
    <row r="782" customFormat="false" ht="18" hidden="false" customHeight="true" outlineLevel="0" collapsed="false">
      <c r="A782" s="13" t="n">
        <v>781</v>
      </c>
      <c r="B782" s="13" t="s">
        <v>4893</v>
      </c>
      <c r="C782" s="13" t="s">
        <v>63</v>
      </c>
      <c r="D782" s="13" t="s">
        <v>64</v>
      </c>
      <c r="E782" s="13" t="s">
        <v>79</v>
      </c>
      <c r="F782" s="13" t="s">
        <v>465</v>
      </c>
      <c r="G782" s="13" t="s">
        <v>760</v>
      </c>
      <c r="H782" s="13" t="s">
        <v>4894</v>
      </c>
      <c r="I782" s="13" t="s">
        <v>4895</v>
      </c>
      <c r="J782" s="13" t="s">
        <v>4896</v>
      </c>
      <c r="K782" s="13" t="s">
        <v>4897</v>
      </c>
      <c r="L782" s="13" t="s">
        <v>765</v>
      </c>
      <c r="M782" s="13" t="n">
        <v>923.04</v>
      </c>
      <c r="N782" s="13" t="n">
        <v>1.31</v>
      </c>
      <c r="O782" s="13" t="n">
        <v>131</v>
      </c>
      <c r="P782" s="13" t="s">
        <v>766</v>
      </c>
      <c r="Q782" s="13" t="s">
        <v>2249</v>
      </c>
      <c r="R782" s="13" t="s">
        <v>2950</v>
      </c>
      <c r="S782" s="13" t="s">
        <v>2950</v>
      </c>
      <c r="T782" s="13" t="s">
        <v>61</v>
      </c>
      <c r="U782" s="13"/>
    </row>
    <row r="783" customFormat="false" ht="18" hidden="false" customHeight="true" outlineLevel="0" collapsed="false">
      <c r="A783" s="14" t="n">
        <v>782</v>
      </c>
      <c r="B783" s="14" t="s">
        <v>4898</v>
      </c>
      <c r="C783" s="14" t="s">
        <v>77</v>
      </c>
      <c r="D783" s="14" t="s">
        <v>78</v>
      </c>
      <c r="E783" s="14" t="s">
        <v>65</v>
      </c>
      <c r="F783" s="14" t="s">
        <v>245</v>
      </c>
      <c r="G783" s="14" t="s">
        <v>274</v>
      </c>
      <c r="H783" s="14" t="s">
        <v>4899</v>
      </c>
      <c r="I783" s="14" t="s">
        <v>4900</v>
      </c>
      <c r="J783" s="14" t="s">
        <v>4901</v>
      </c>
      <c r="K783" s="14" t="s">
        <v>4060</v>
      </c>
      <c r="L783" s="14" t="s">
        <v>4061</v>
      </c>
      <c r="M783" s="14" t="n">
        <v>423.41</v>
      </c>
      <c r="N783" s="14" t="n">
        <v>1.01</v>
      </c>
      <c r="O783" s="14" t="n">
        <v>405</v>
      </c>
      <c r="P783" s="14"/>
      <c r="Q783" s="14" t="s">
        <v>2720</v>
      </c>
      <c r="R783" s="14" t="s">
        <v>3728</v>
      </c>
      <c r="S783" s="14" t="s">
        <v>3728</v>
      </c>
      <c r="T783" s="14" t="s">
        <v>61</v>
      </c>
      <c r="U783" s="14" t="s">
        <v>1014</v>
      </c>
    </row>
    <row r="784" customFormat="false" ht="18" hidden="false" customHeight="true" outlineLevel="0" collapsed="false">
      <c r="A784" s="13" t="n">
        <v>783</v>
      </c>
      <c r="B784" s="13" t="s">
        <v>4902</v>
      </c>
      <c r="C784" s="13" t="s">
        <v>48</v>
      </c>
      <c r="D784" s="13" t="s">
        <v>49</v>
      </c>
      <c r="E784" s="13" t="s">
        <v>79</v>
      </c>
      <c r="F784" s="13" t="s">
        <v>127</v>
      </c>
      <c r="G784" s="13" t="s">
        <v>128</v>
      </c>
      <c r="H784" s="13" t="s">
        <v>4903</v>
      </c>
      <c r="I784" s="13" t="s">
        <v>4904</v>
      </c>
      <c r="J784" s="13" t="s">
        <v>4905</v>
      </c>
      <c r="K784" s="13" t="s">
        <v>1440</v>
      </c>
      <c r="L784" s="13" t="s">
        <v>133</v>
      </c>
      <c r="M784" s="13" t="n">
        <v>597.59</v>
      </c>
      <c r="N784" s="13" t="n">
        <v>2.58</v>
      </c>
      <c r="O784" s="13" t="n">
        <v>175</v>
      </c>
      <c r="P784" s="13" t="s">
        <v>134</v>
      </c>
      <c r="Q784" s="13" t="s">
        <v>3552</v>
      </c>
      <c r="R784" s="13" t="s">
        <v>1510</v>
      </c>
      <c r="S784" s="13" t="s">
        <v>1510</v>
      </c>
      <c r="T784" s="13" t="s">
        <v>61</v>
      </c>
      <c r="U784" s="13"/>
    </row>
    <row r="785" customFormat="false" ht="18" hidden="false" customHeight="true" outlineLevel="0" collapsed="false">
      <c r="A785" s="13" t="n">
        <v>784</v>
      </c>
      <c r="B785" s="13" t="s">
        <v>4906</v>
      </c>
      <c r="C785" s="13" t="s">
        <v>255</v>
      </c>
      <c r="D785" s="13" t="s">
        <v>256</v>
      </c>
      <c r="E785" s="13" t="s">
        <v>161</v>
      </c>
      <c r="F785" s="13" t="s">
        <v>822</v>
      </c>
      <c r="G785" s="13" t="s">
        <v>207</v>
      </c>
      <c r="H785" s="13" t="s">
        <v>4907</v>
      </c>
      <c r="I785" s="13" t="s">
        <v>4908</v>
      </c>
      <c r="J785" s="13" t="s">
        <v>4909</v>
      </c>
      <c r="K785" s="13" t="s">
        <v>4910</v>
      </c>
      <c r="L785" s="13" t="s">
        <v>1489</v>
      </c>
      <c r="M785" s="13" t="n">
        <v>290.13</v>
      </c>
      <c r="N785" s="13" t="n">
        <v>0.39</v>
      </c>
      <c r="O785" s="13" t="n">
        <v>12</v>
      </c>
      <c r="P785" s="13" t="s">
        <v>1490</v>
      </c>
      <c r="Q785" s="13" t="s">
        <v>1963</v>
      </c>
      <c r="R785" s="13" t="s">
        <v>1845</v>
      </c>
      <c r="S785" s="13" t="s">
        <v>1845</v>
      </c>
      <c r="T785" s="13" t="s">
        <v>61</v>
      </c>
      <c r="U785" s="13"/>
    </row>
    <row r="786" customFormat="false" ht="18" hidden="false" customHeight="true" outlineLevel="0" collapsed="false">
      <c r="A786" s="15" t="n">
        <v>785</v>
      </c>
      <c r="B786" s="15" t="s">
        <v>4911</v>
      </c>
      <c r="C786" s="15" t="s">
        <v>159</v>
      </c>
      <c r="D786" s="15" t="s">
        <v>160</v>
      </c>
      <c r="E786" s="15" t="s">
        <v>79</v>
      </c>
      <c r="F786" s="15" t="s">
        <v>306</v>
      </c>
      <c r="G786" s="15" t="s">
        <v>334</v>
      </c>
      <c r="H786" s="15" t="s">
        <v>4912</v>
      </c>
      <c r="I786" s="15" t="s">
        <v>4913</v>
      </c>
      <c r="J786" s="15" t="s">
        <v>4914</v>
      </c>
      <c r="K786" s="15" t="s">
        <v>1121</v>
      </c>
      <c r="L786" s="15" t="s">
        <v>1122</v>
      </c>
      <c r="M786" s="15" t="n">
        <v>485.14</v>
      </c>
      <c r="N786" s="15" t="n">
        <v>0.44</v>
      </c>
      <c r="O786" s="15" t="n">
        <v>157</v>
      </c>
      <c r="P786" s="15" t="s">
        <v>1123</v>
      </c>
      <c r="Q786" s="15" t="s">
        <v>4915</v>
      </c>
      <c r="R786" s="15" t="s">
        <v>1957</v>
      </c>
      <c r="S786" s="15" t="s">
        <v>1957</v>
      </c>
      <c r="T786" s="15" t="s">
        <v>61</v>
      </c>
      <c r="U786" s="15" t="s">
        <v>453</v>
      </c>
    </row>
    <row r="787" customFormat="false" ht="18" hidden="false" customHeight="true" outlineLevel="0" collapsed="false">
      <c r="A787" s="13" t="n">
        <v>786</v>
      </c>
      <c r="B787" s="13" t="s">
        <v>4916</v>
      </c>
      <c r="C787" s="13" t="s">
        <v>113</v>
      </c>
      <c r="D787" s="13" t="s">
        <v>114</v>
      </c>
      <c r="E787" s="13" t="s">
        <v>79</v>
      </c>
      <c r="F787" s="13" t="s">
        <v>127</v>
      </c>
      <c r="G787" s="13" t="s">
        <v>80</v>
      </c>
      <c r="H787" s="13" t="s">
        <v>4917</v>
      </c>
      <c r="I787" s="13" t="s">
        <v>4918</v>
      </c>
      <c r="J787" s="13" t="s">
        <v>4919</v>
      </c>
      <c r="K787" s="13" t="s">
        <v>4920</v>
      </c>
      <c r="L787" s="13" t="s">
        <v>1138</v>
      </c>
      <c r="M787" s="13" t="n">
        <v>654.03</v>
      </c>
      <c r="N787" s="13" t="n">
        <v>2.14</v>
      </c>
      <c r="O787" s="13" t="n">
        <v>261</v>
      </c>
      <c r="P787" s="13" t="s">
        <v>1139</v>
      </c>
      <c r="Q787" s="13" t="s">
        <v>4921</v>
      </c>
      <c r="R787" s="13" t="s">
        <v>452</v>
      </c>
      <c r="S787" s="13" t="s">
        <v>452</v>
      </c>
      <c r="T787" s="13" t="s">
        <v>61</v>
      </c>
      <c r="U787" s="13"/>
    </row>
    <row r="788" customFormat="false" ht="18" hidden="false" customHeight="true" outlineLevel="0" collapsed="false">
      <c r="A788" s="13" t="n">
        <v>787</v>
      </c>
      <c r="B788" s="13" t="s">
        <v>4922</v>
      </c>
      <c r="C788" s="13" t="s">
        <v>159</v>
      </c>
      <c r="D788" s="13" t="s">
        <v>160</v>
      </c>
      <c r="E788" s="13" t="s">
        <v>79</v>
      </c>
      <c r="F788" s="13" t="s">
        <v>196</v>
      </c>
      <c r="G788" s="13" t="s">
        <v>197</v>
      </c>
      <c r="H788" s="13" t="s">
        <v>4923</v>
      </c>
      <c r="I788" s="13" t="s">
        <v>4924</v>
      </c>
      <c r="J788" s="13" t="s">
        <v>4925</v>
      </c>
      <c r="K788" s="13" t="s">
        <v>4926</v>
      </c>
      <c r="L788" s="13" t="s">
        <v>202</v>
      </c>
      <c r="M788" s="13" t="n">
        <v>2102.26</v>
      </c>
      <c r="N788" s="13" t="n">
        <v>1.35</v>
      </c>
      <c r="O788" s="13" t="n">
        <v>204</v>
      </c>
      <c r="P788" s="13" t="s">
        <v>203</v>
      </c>
      <c r="Q788" s="13" t="s">
        <v>1210</v>
      </c>
      <c r="R788" s="13" t="s">
        <v>1116</v>
      </c>
      <c r="S788" s="13" t="s">
        <v>1116</v>
      </c>
      <c r="T788" s="13" t="s">
        <v>61</v>
      </c>
      <c r="U788" s="13"/>
    </row>
    <row r="789" customFormat="false" ht="18" hidden="false" customHeight="true" outlineLevel="0" collapsed="false">
      <c r="A789" s="13" t="n">
        <v>788</v>
      </c>
      <c r="B789" s="13" t="s">
        <v>4927</v>
      </c>
      <c r="C789" s="13" t="s">
        <v>173</v>
      </c>
      <c r="D789" s="13" t="s">
        <v>174</v>
      </c>
      <c r="E789" s="13" t="s">
        <v>65</v>
      </c>
      <c r="F789" s="13" t="s">
        <v>245</v>
      </c>
      <c r="G789" s="13" t="s">
        <v>372</v>
      </c>
      <c r="H789" s="13" t="s">
        <v>4928</v>
      </c>
      <c r="I789" s="13" t="s">
        <v>4929</v>
      </c>
      <c r="J789" s="13" t="s">
        <v>4930</v>
      </c>
      <c r="K789" s="13" t="s">
        <v>2606</v>
      </c>
      <c r="L789" s="13" t="s">
        <v>2607</v>
      </c>
      <c r="M789" s="13" t="n">
        <v>340.73</v>
      </c>
      <c r="N789" s="13" t="n">
        <v>1.04</v>
      </c>
      <c r="O789" s="13" t="n">
        <v>175</v>
      </c>
      <c r="P789" s="13" t="s">
        <v>2608</v>
      </c>
      <c r="Q789" s="13" t="s">
        <v>1699</v>
      </c>
      <c r="R789" s="13" t="s">
        <v>3206</v>
      </c>
      <c r="S789" s="13" t="s">
        <v>3206</v>
      </c>
      <c r="T789" s="13" t="s">
        <v>61</v>
      </c>
      <c r="U789" s="13"/>
    </row>
    <row r="790" customFormat="false" ht="18" hidden="false" customHeight="true" outlineLevel="0" collapsed="false">
      <c r="A790" s="16" t="n">
        <v>789</v>
      </c>
      <c r="B790" s="16" t="s">
        <v>4931</v>
      </c>
      <c r="C790" s="16" t="s">
        <v>173</v>
      </c>
      <c r="D790" s="16" t="s">
        <v>174</v>
      </c>
      <c r="E790" s="16" t="s">
        <v>91</v>
      </c>
      <c r="F790" s="16" t="s">
        <v>138</v>
      </c>
      <c r="G790" s="16" t="s">
        <v>186</v>
      </c>
      <c r="H790" s="16" t="s">
        <v>4932</v>
      </c>
      <c r="I790" s="16" t="s">
        <v>4933</v>
      </c>
      <c r="J790" s="16" t="s">
        <v>4934</v>
      </c>
      <c r="K790" s="16" t="s">
        <v>4935</v>
      </c>
      <c r="L790" s="16" t="s">
        <v>479</v>
      </c>
      <c r="M790" s="16" t="n">
        <v>3124.66</v>
      </c>
      <c r="N790" s="16" t="n">
        <v>51.98</v>
      </c>
      <c r="O790" s="16" t="n">
        <v>0</v>
      </c>
      <c r="P790" s="16" t="s">
        <v>480</v>
      </c>
      <c r="Q790" s="16" t="s">
        <v>4936</v>
      </c>
      <c r="R790" s="16" t="s">
        <v>1393</v>
      </c>
      <c r="S790" s="16" t="s">
        <v>908</v>
      </c>
      <c r="T790" s="16" t="s">
        <v>61</v>
      </c>
      <c r="U790" s="16" t="s">
        <v>325</v>
      </c>
    </row>
    <row r="791" customFormat="false" ht="18" hidden="false" customHeight="true" outlineLevel="0" collapsed="false">
      <c r="A791" s="13" t="n">
        <v>790</v>
      </c>
      <c r="B791" s="13" t="s">
        <v>4937</v>
      </c>
      <c r="C791" s="13" t="s">
        <v>48</v>
      </c>
      <c r="D791" s="13" t="s">
        <v>49</v>
      </c>
      <c r="E791" s="13" t="s">
        <v>65</v>
      </c>
      <c r="F791" s="13" t="s">
        <v>245</v>
      </c>
      <c r="G791" s="13" t="s">
        <v>372</v>
      </c>
      <c r="H791" s="13" t="s">
        <v>4938</v>
      </c>
      <c r="I791" s="13" t="s">
        <v>4939</v>
      </c>
      <c r="J791" s="13" t="s">
        <v>4940</v>
      </c>
      <c r="K791" s="13" t="s">
        <v>2606</v>
      </c>
      <c r="L791" s="13" t="s">
        <v>2607</v>
      </c>
      <c r="M791" s="13" t="n">
        <v>486.63</v>
      </c>
      <c r="N791" s="13" t="n">
        <v>1.16</v>
      </c>
      <c r="O791" s="13" t="n">
        <v>238</v>
      </c>
      <c r="P791" s="13" t="s">
        <v>2608</v>
      </c>
      <c r="Q791" s="13" t="s">
        <v>252</v>
      </c>
      <c r="R791" s="13" t="s">
        <v>3734</v>
      </c>
      <c r="S791" s="13" t="s">
        <v>3734</v>
      </c>
      <c r="T791" s="13" t="s">
        <v>61</v>
      </c>
      <c r="U791" s="13"/>
    </row>
    <row r="792" customFormat="false" ht="18" hidden="false" customHeight="true" outlineLevel="0" collapsed="false">
      <c r="A792" s="13" t="n">
        <v>791</v>
      </c>
      <c r="B792" s="13" t="s">
        <v>4941</v>
      </c>
      <c r="C792" s="13" t="s">
        <v>255</v>
      </c>
      <c r="D792" s="13" t="s">
        <v>256</v>
      </c>
      <c r="E792" s="13" t="s">
        <v>91</v>
      </c>
      <c r="F792" s="13" t="s">
        <v>185</v>
      </c>
      <c r="G792" s="13" t="s">
        <v>420</v>
      </c>
      <c r="H792" s="13" t="s">
        <v>4942</v>
      </c>
      <c r="I792" s="13" t="s">
        <v>4943</v>
      </c>
      <c r="J792" s="13" t="s">
        <v>4944</v>
      </c>
      <c r="K792" s="13" t="s">
        <v>4945</v>
      </c>
      <c r="L792" s="13" t="s">
        <v>1072</v>
      </c>
      <c r="M792" s="13" t="n">
        <v>3098.6</v>
      </c>
      <c r="N792" s="13" t="n">
        <v>13.8</v>
      </c>
      <c r="O792" s="13" t="n">
        <v>216</v>
      </c>
      <c r="P792" s="13" t="s">
        <v>1073</v>
      </c>
      <c r="Q792" s="13" t="s">
        <v>4946</v>
      </c>
      <c r="R792" s="13" t="s">
        <v>806</v>
      </c>
      <c r="S792" s="13" t="s">
        <v>806</v>
      </c>
      <c r="T792" s="13" t="s">
        <v>61</v>
      </c>
      <c r="U792" s="13"/>
    </row>
    <row r="793" customFormat="false" ht="18" hidden="false" customHeight="true" outlineLevel="0" collapsed="false">
      <c r="A793" s="13" t="n">
        <v>792</v>
      </c>
      <c r="B793" s="13" t="s">
        <v>4947</v>
      </c>
      <c r="C793" s="13" t="s">
        <v>159</v>
      </c>
      <c r="D793" s="13" t="s">
        <v>160</v>
      </c>
      <c r="E793" s="13" t="s">
        <v>91</v>
      </c>
      <c r="F793" s="13" t="s">
        <v>780</v>
      </c>
      <c r="G793" s="13" t="s">
        <v>139</v>
      </c>
      <c r="H793" s="13" t="s">
        <v>4948</v>
      </c>
      <c r="I793" s="13" t="s">
        <v>4949</v>
      </c>
      <c r="J793" s="13" t="s">
        <v>4950</v>
      </c>
      <c r="K793" s="13" t="s">
        <v>1066</v>
      </c>
      <c r="L793" s="13" t="s">
        <v>785</v>
      </c>
      <c r="M793" s="13" t="n">
        <v>3996.23</v>
      </c>
      <c r="N793" s="13" t="n">
        <v>23.79</v>
      </c>
      <c r="O793" s="13" t="n">
        <v>133</v>
      </c>
      <c r="P793" s="13" t="s">
        <v>786</v>
      </c>
      <c r="Q793" s="13" t="s">
        <v>540</v>
      </c>
      <c r="R793" s="13" t="s">
        <v>2164</v>
      </c>
      <c r="S793" s="13" t="s">
        <v>2164</v>
      </c>
      <c r="T793" s="13" t="s">
        <v>61</v>
      </c>
      <c r="U793" s="13"/>
    </row>
    <row r="794" customFormat="false" ht="18" hidden="false" customHeight="true" outlineLevel="0" collapsed="false">
      <c r="A794" s="13" t="n">
        <v>793</v>
      </c>
      <c r="B794" s="13" t="s">
        <v>3824</v>
      </c>
      <c r="C794" s="13" t="s">
        <v>63</v>
      </c>
      <c r="D794" s="13" t="s">
        <v>64</v>
      </c>
      <c r="E794" s="13" t="s">
        <v>50</v>
      </c>
      <c r="F794" s="13" t="s">
        <v>138</v>
      </c>
      <c r="G794" s="13" t="s">
        <v>808</v>
      </c>
      <c r="H794" s="13" t="s">
        <v>3825</v>
      </c>
      <c r="I794" s="13" t="s">
        <v>3826</v>
      </c>
      <c r="J794" s="13" t="s">
        <v>3827</v>
      </c>
      <c r="K794" s="13" t="s">
        <v>3828</v>
      </c>
      <c r="L794" s="13" t="s">
        <v>813</v>
      </c>
      <c r="M794" s="13" t="n">
        <v>699.45</v>
      </c>
      <c r="N794" s="13" t="n">
        <v>0.81</v>
      </c>
      <c r="O794" s="13" t="n">
        <v>144</v>
      </c>
      <c r="P794" s="13" t="s">
        <v>814</v>
      </c>
      <c r="Q794" s="13" t="s">
        <v>3829</v>
      </c>
      <c r="R794" s="13" t="s">
        <v>3405</v>
      </c>
      <c r="S794" s="13" t="s">
        <v>3405</v>
      </c>
      <c r="T794" s="13" t="s">
        <v>61</v>
      </c>
      <c r="U794" s="13"/>
    </row>
    <row r="795" customFormat="false" ht="18" hidden="false" customHeight="true" outlineLevel="0" collapsed="false">
      <c r="A795" s="13" t="n">
        <v>794</v>
      </c>
      <c r="B795" s="13" t="s">
        <v>4951</v>
      </c>
      <c r="C795" s="13" t="s">
        <v>113</v>
      </c>
      <c r="D795" s="13" t="s">
        <v>114</v>
      </c>
      <c r="E795" s="13" t="s">
        <v>50</v>
      </c>
      <c r="F795" s="13" t="s">
        <v>51</v>
      </c>
      <c r="G795" s="13" t="s">
        <v>689</v>
      </c>
      <c r="H795" s="13" t="s">
        <v>4952</v>
      </c>
      <c r="I795" s="13" t="s">
        <v>4953</v>
      </c>
      <c r="J795" s="13" t="s">
        <v>4954</v>
      </c>
      <c r="K795" s="13" t="s">
        <v>4955</v>
      </c>
      <c r="L795" s="13" t="s">
        <v>803</v>
      </c>
      <c r="M795" s="13" t="n">
        <v>1026.43</v>
      </c>
      <c r="N795" s="13" t="n">
        <v>0.69</v>
      </c>
      <c r="O795" s="13" t="n">
        <v>64</v>
      </c>
      <c r="P795" s="13" t="s">
        <v>804</v>
      </c>
      <c r="Q795" s="13" t="s">
        <v>4956</v>
      </c>
      <c r="R795" s="13" t="s">
        <v>4572</v>
      </c>
      <c r="S795" s="13" t="s">
        <v>4572</v>
      </c>
      <c r="T795" s="13" t="s">
        <v>61</v>
      </c>
      <c r="U795" s="13"/>
    </row>
    <row r="796" customFormat="false" ht="18" hidden="false" customHeight="true" outlineLevel="0" collapsed="false">
      <c r="A796" s="13" t="n">
        <v>795</v>
      </c>
      <c r="B796" s="13" t="s">
        <v>4957</v>
      </c>
      <c r="C796" s="13" t="s">
        <v>159</v>
      </c>
      <c r="D796" s="13" t="s">
        <v>160</v>
      </c>
      <c r="E796" s="13" t="s">
        <v>65</v>
      </c>
      <c r="F796" s="13" t="s">
        <v>245</v>
      </c>
      <c r="G796" s="13" t="s">
        <v>724</v>
      </c>
      <c r="H796" s="13" t="s">
        <v>4958</v>
      </c>
      <c r="I796" s="13" t="s">
        <v>4959</v>
      </c>
      <c r="J796" s="13" t="s">
        <v>4960</v>
      </c>
      <c r="K796" s="13" t="s">
        <v>3410</v>
      </c>
      <c r="L796" s="13" t="s">
        <v>3411</v>
      </c>
      <c r="M796" s="13" t="n">
        <v>205.38</v>
      </c>
      <c r="N796" s="13" t="n">
        <v>0.85</v>
      </c>
      <c r="O796" s="13" t="n">
        <v>193</v>
      </c>
      <c r="P796" s="13" t="s">
        <v>3412</v>
      </c>
      <c r="Q796" s="13" t="s">
        <v>4478</v>
      </c>
      <c r="R796" s="13" t="s">
        <v>930</v>
      </c>
      <c r="S796" s="13" t="s">
        <v>930</v>
      </c>
      <c r="T796" s="13" t="s">
        <v>61</v>
      </c>
      <c r="U796" s="13"/>
    </row>
    <row r="797" customFormat="false" ht="18" hidden="false" customHeight="true" outlineLevel="0" collapsed="false">
      <c r="A797" s="13" t="n">
        <v>796</v>
      </c>
      <c r="B797" s="13" t="s">
        <v>4961</v>
      </c>
      <c r="C797" s="13" t="s">
        <v>173</v>
      </c>
      <c r="D797" s="13" t="s">
        <v>174</v>
      </c>
      <c r="E797" s="13" t="s">
        <v>79</v>
      </c>
      <c r="F797" s="13" t="s">
        <v>1531</v>
      </c>
      <c r="G797" s="13" t="s">
        <v>733</v>
      </c>
      <c r="H797" s="13" t="s">
        <v>4962</v>
      </c>
      <c r="I797" s="13" t="s">
        <v>4963</v>
      </c>
      <c r="J797" s="13" t="s">
        <v>4964</v>
      </c>
      <c r="K797" s="13" t="s">
        <v>4965</v>
      </c>
      <c r="L797" s="13" t="s">
        <v>1536</v>
      </c>
      <c r="M797" s="13" t="n">
        <v>510.63</v>
      </c>
      <c r="N797" s="13" t="n">
        <v>1.64</v>
      </c>
      <c r="O797" s="13" t="n">
        <v>50</v>
      </c>
      <c r="P797" s="13" t="s">
        <v>1537</v>
      </c>
      <c r="Q797" s="13" t="s">
        <v>4966</v>
      </c>
      <c r="R797" s="13" t="s">
        <v>2998</v>
      </c>
      <c r="S797" s="13" t="s">
        <v>2998</v>
      </c>
      <c r="T797" s="13" t="s">
        <v>61</v>
      </c>
      <c r="U797" s="13"/>
    </row>
    <row r="798" customFormat="false" ht="18" hidden="false" customHeight="true" outlineLevel="0" collapsed="false">
      <c r="A798" s="13" t="n">
        <v>797</v>
      </c>
      <c r="B798" s="13" t="s">
        <v>4967</v>
      </c>
      <c r="C798" s="13" t="s">
        <v>63</v>
      </c>
      <c r="D798" s="13" t="s">
        <v>64</v>
      </c>
      <c r="E798" s="13" t="s">
        <v>50</v>
      </c>
      <c r="F798" s="13" t="s">
        <v>115</v>
      </c>
      <c r="G798" s="13" t="s">
        <v>352</v>
      </c>
      <c r="H798" s="13" t="s">
        <v>4968</v>
      </c>
      <c r="I798" s="13" t="s">
        <v>4969</v>
      </c>
      <c r="J798" s="13" t="s">
        <v>4970</v>
      </c>
      <c r="K798" s="13" t="s">
        <v>4971</v>
      </c>
      <c r="L798" s="13" t="s">
        <v>1280</v>
      </c>
      <c r="M798" s="13" t="n">
        <v>899.97</v>
      </c>
      <c r="N798" s="13" t="n">
        <v>0.73</v>
      </c>
      <c r="O798" s="13" t="n">
        <v>309</v>
      </c>
      <c r="P798" s="13" t="s">
        <v>1281</v>
      </c>
      <c r="Q798" s="13" t="s">
        <v>1866</v>
      </c>
      <c r="R798" s="13" t="s">
        <v>3050</v>
      </c>
      <c r="S798" s="13" t="s">
        <v>3050</v>
      </c>
      <c r="T798" s="13" t="s">
        <v>61</v>
      </c>
      <c r="U798" s="13"/>
    </row>
    <row r="799" customFormat="false" ht="18" hidden="false" customHeight="true" outlineLevel="0" collapsed="false">
      <c r="A799" s="13" t="n">
        <v>798</v>
      </c>
      <c r="B799" s="13" t="s">
        <v>4972</v>
      </c>
      <c r="C799" s="13" t="s">
        <v>63</v>
      </c>
      <c r="D799" s="13" t="s">
        <v>64</v>
      </c>
      <c r="E799" s="13" t="s">
        <v>50</v>
      </c>
      <c r="F799" s="13" t="s">
        <v>115</v>
      </c>
      <c r="G799" s="13" t="s">
        <v>217</v>
      </c>
      <c r="H799" s="13" t="s">
        <v>4973</v>
      </c>
      <c r="I799" s="13" t="s">
        <v>4974</v>
      </c>
      <c r="J799" s="13" t="s">
        <v>4975</v>
      </c>
      <c r="K799" s="13" t="s">
        <v>405</v>
      </c>
      <c r="L799" s="13" t="s">
        <v>366</v>
      </c>
      <c r="M799" s="13" t="n">
        <v>757.88</v>
      </c>
      <c r="N799" s="13" t="n">
        <v>0.54</v>
      </c>
      <c r="O799" s="13" t="n">
        <v>332</v>
      </c>
      <c r="P799" s="13" t="s">
        <v>367</v>
      </c>
      <c r="Q799" s="13" t="s">
        <v>945</v>
      </c>
      <c r="R799" s="13" t="s">
        <v>838</v>
      </c>
      <c r="S799" s="13" t="s">
        <v>838</v>
      </c>
      <c r="T799" s="13" t="s">
        <v>61</v>
      </c>
      <c r="U799" s="13"/>
    </row>
    <row r="800" customFormat="false" ht="18" hidden="false" customHeight="true" outlineLevel="0" collapsed="false">
      <c r="A800" s="13" t="n">
        <v>799</v>
      </c>
      <c r="B800" s="13" t="s">
        <v>4976</v>
      </c>
      <c r="C800" s="13" t="s">
        <v>255</v>
      </c>
      <c r="D800" s="13" t="s">
        <v>256</v>
      </c>
      <c r="E800" s="13" t="s">
        <v>91</v>
      </c>
      <c r="F800" s="13" t="s">
        <v>185</v>
      </c>
      <c r="G800" s="13" t="s">
        <v>743</v>
      </c>
      <c r="H800" s="13" t="s">
        <v>4977</v>
      </c>
      <c r="I800" s="13" t="s">
        <v>4978</v>
      </c>
      <c r="J800" s="13" t="s">
        <v>4979</v>
      </c>
      <c r="K800" s="13" t="s">
        <v>4980</v>
      </c>
      <c r="L800" s="13" t="s">
        <v>2282</v>
      </c>
      <c r="M800" s="13" t="n">
        <v>399.87</v>
      </c>
      <c r="N800" s="13" t="n">
        <v>34.8</v>
      </c>
      <c r="O800" s="13" t="n">
        <v>282</v>
      </c>
      <c r="P800" s="13" t="s">
        <v>2283</v>
      </c>
      <c r="Q800" s="13" t="s">
        <v>3760</v>
      </c>
      <c r="R800" s="13" t="s">
        <v>838</v>
      </c>
      <c r="S800" s="13" t="s">
        <v>838</v>
      </c>
      <c r="T800" s="13" t="s">
        <v>61</v>
      </c>
      <c r="U800" s="13"/>
    </row>
    <row r="801" customFormat="false" ht="18" hidden="false" customHeight="true" outlineLevel="0" collapsed="false">
      <c r="A801" s="13" t="n">
        <v>800</v>
      </c>
      <c r="B801" s="13" t="s">
        <v>4981</v>
      </c>
      <c r="C801" s="13" t="s">
        <v>125</v>
      </c>
      <c r="D801" s="13" t="s">
        <v>126</v>
      </c>
      <c r="E801" s="13" t="s">
        <v>91</v>
      </c>
      <c r="F801" s="13" t="s">
        <v>138</v>
      </c>
      <c r="G801" s="13" t="s">
        <v>186</v>
      </c>
      <c r="H801" s="13" t="s">
        <v>4982</v>
      </c>
      <c r="I801" s="13" t="s">
        <v>4983</v>
      </c>
      <c r="J801" s="13" t="s">
        <v>4984</v>
      </c>
      <c r="K801" s="13" t="s">
        <v>4985</v>
      </c>
      <c r="L801" s="13" t="s">
        <v>479</v>
      </c>
      <c r="M801" s="13" t="n">
        <v>304.22</v>
      </c>
      <c r="N801" s="13" t="n">
        <v>17.56</v>
      </c>
      <c r="O801" s="13" t="n">
        <v>215</v>
      </c>
      <c r="P801" s="13" t="s">
        <v>480</v>
      </c>
      <c r="Q801" s="13" t="s">
        <v>4986</v>
      </c>
      <c r="R801" s="13" t="s">
        <v>4675</v>
      </c>
      <c r="S801" s="13" t="s">
        <v>4675</v>
      </c>
      <c r="T801" s="13" t="s">
        <v>61</v>
      </c>
      <c r="U801" s="13"/>
    </row>
    <row r="802" customFormat="false" ht="18" hidden="false" customHeight="true" outlineLevel="0" collapsed="false">
      <c r="A802" s="13" t="n">
        <v>801</v>
      </c>
      <c r="B802" s="13" t="s">
        <v>4987</v>
      </c>
      <c r="C802" s="13" t="s">
        <v>173</v>
      </c>
      <c r="D802" s="13" t="s">
        <v>174</v>
      </c>
      <c r="E802" s="13" t="s">
        <v>161</v>
      </c>
      <c r="F802" s="13" t="s">
        <v>306</v>
      </c>
      <c r="G802" s="13" t="s">
        <v>207</v>
      </c>
      <c r="H802" s="13" t="s">
        <v>4988</v>
      </c>
      <c r="I802" s="13" t="s">
        <v>4989</v>
      </c>
      <c r="J802" s="13" t="s">
        <v>4990</v>
      </c>
      <c r="K802" s="13" t="s">
        <v>4991</v>
      </c>
      <c r="L802" s="13" t="s">
        <v>1683</v>
      </c>
      <c r="M802" s="13" t="n">
        <v>218.84</v>
      </c>
      <c r="N802" s="13" t="n">
        <v>0.43</v>
      </c>
      <c r="O802" s="13" t="n">
        <v>402</v>
      </c>
      <c r="P802" s="13" t="s">
        <v>1684</v>
      </c>
      <c r="Q802" s="13" t="s">
        <v>490</v>
      </c>
      <c r="R802" s="13" t="s">
        <v>1964</v>
      </c>
      <c r="S802" s="13" t="s">
        <v>1964</v>
      </c>
      <c r="T802" s="13" t="s">
        <v>61</v>
      </c>
      <c r="U802" s="13"/>
    </row>
    <row r="803" customFormat="false" ht="18" hidden="false" customHeight="true" outlineLevel="0" collapsed="false">
      <c r="A803" s="14" t="n">
        <v>802</v>
      </c>
      <c r="B803" s="14" t="s">
        <v>4992</v>
      </c>
      <c r="C803" s="14" t="s">
        <v>113</v>
      </c>
      <c r="D803" s="14" t="s">
        <v>114</v>
      </c>
      <c r="E803" s="14" t="s">
        <v>65</v>
      </c>
      <c r="F803" s="14"/>
      <c r="G803" s="14" t="s">
        <v>274</v>
      </c>
      <c r="H803" s="14" t="s">
        <v>4993</v>
      </c>
      <c r="I803" s="14" t="s">
        <v>4994</v>
      </c>
      <c r="J803" s="14" t="s">
        <v>4995</v>
      </c>
      <c r="K803" s="14" t="s">
        <v>278</v>
      </c>
      <c r="L803" s="14" t="s">
        <v>279</v>
      </c>
      <c r="M803" s="14" t="n">
        <v>415.58</v>
      </c>
      <c r="N803" s="14" t="n">
        <v>1.47</v>
      </c>
      <c r="O803" s="14" t="n">
        <v>309</v>
      </c>
      <c r="P803" s="14" t="s">
        <v>280</v>
      </c>
      <c r="Q803" s="14" t="s">
        <v>1115</v>
      </c>
      <c r="R803" s="14" t="s">
        <v>2215</v>
      </c>
      <c r="S803" s="14" t="s">
        <v>2215</v>
      </c>
      <c r="T803" s="14" t="s">
        <v>61</v>
      </c>
      <c r="U803" s="14" t="s">
        <v>89</v>
      </c>
    </row>
    <row r="804" customFormat="false" ht="18" hidden="false" customHeight="true" outlineLevel="0" collapsed="false">
      <c r="A804" s="16" t="n">
        <v>803</v>
      </c>
      <c r="B804" s="16" t="s">
        <v>4996</v>
      </c>
      <c r="C804" s="16" t="s">
        <v>125</v>
      </c>
      <c r="D804" s="16" t="s">
        <v>126</v>
      </c>
      <c r="E804" s="16" t="s">
        <v>79</v>
      </c>
      <c r="F804" s="16" t="s">
        <v>956</v>
      </c>
      <c r="G804" s="16" t="s">
        <v>197</v>
      </c>
      <c r="H804" s="16" t="s">
        <v>4997</v>
      </c>
      <c r="I804" s="16" t="s">
        <v>4998</v>
      </c>
      <c r="J804" s="16" t="s">
        <v>4999</v>
      </c>
      <c r="K804" s="16" t="s">
        <v>5000</v>
      </c>
      <c r="L804" s="16" t="s">
        <v>1045</v>
      </c>
      <c r="M804" s="16" t="n">
        <v>612</v>
      </c>
      <c r="N804" s="16" t="n">
        <v>1.97</v>
      </c>
      <c r="O804" s="16" t="n">
        <v>0</v>
      </c>
      <c r="P804" s="16" t="s">
        <v>1046</v>
      </c>
      <c r="Q804" s="16" t="s">
        <v>5001</v>
      </c>
      <c r="R804" s="16" t="s">
        <v>541</v>
      </c>
      <c r="S804" s="16" t="s">
        <v>4130</v>
      </c>
      <c r="T804" s="16" t="s">
        <v>61</v>
      </c>
      <c r="U804" s="16" t="s">
        <v>325</v>
      </c>
    </row>
    <row r="805" customFormat="false" ht="18" hidden="false" customHeight="true" outlineLevel="0" collapsed="false">
      <c r="A805" s="13" t="n">
        <v>804</v>
      </c>
      <c r="B805" s="13" t="s">
        <v>5002</v>
      </c>
      <c r="C805" s="13" t="s">
        <v>159</v>
      </c>
      <c r="D805" s="13" t="s">
        <v>160</v>
      </c>
      <c r="E805" s="13" t="s">
        <v>50</v>
      </c>
      <c r="F805" s="13" t="s">
        <v>138</v>
      </c>
      <c r="G805" s="13" t="s">
        <v>52</v>
      </c>
      <c r="H805" s="13" t="s">
        <v>5003</v>
      </c>
      <c r="I805" s="13" t="s">
        <v>5004</v>
      </c>
      <c r="J805" s="13" t="s">
        <v>5005</v>
      </c>
      <c r="K805" s="13" t="s">
        <v>1502</v>
      </c>
      <c r="L805" s="13" t="s">
        <v>878</v>
      </c>
      <c r="M805" s="13" t="n">
        <v>386.25</v>
      </c>
      <c r="N805" s="13" t="n">
        <v>0.35</v>
      </c>
      <c r="O805" s="13" t="n">
        <v>471</v>
      </c>
      <c r="P805" s="13" t="s">
        <v>879</v>
      </c>
      <c r="Q805" s="13" t="s">
        <v>5006</v>
      </c>
      <c r="R805" s="13" t="s">
        <v>293</v>
      </c>
      <c r="S805" s="13" t="s">
        <v>293</v>
      </c>
      <c r="T805" s="13" t="s">
        <v>61</v>
      </c>
      <c r="U805" s="13"/>
    </row>
    <row r="806" customFormat="false" ht="18" hidden="false" customHeight="true" outlineLevel="0" collapsed="false">
      <c r="A806" s="13" t="n">
        <v>805</v>
      </c>
      <c r="B806" s="13" t="s">
        <v>5007</v>
      </c>
      <c r="C806" s="13" t="s">
        <v>173</v>
      </c>
      <c r="D806" s="13" t="s">
        <v>174</v>
      </c>
      <c r="E806" s="13" t="s">
        <v>50</v>
      </c>
      <c r="F806" s="13" t="s">
        <v>127</v>
      </c>
      <c r="G806" s="13" t="s">
        <v>52</v>
      </c>
      <c r="H806" s="13" t="s">
        <v>5008</v>
      </c>
      <c r="I806" s="13" t="s">
        <v>5009</v>
      </c>
      <c r="J806" s="13" t="s">
        <v>5010</v>
      </c>
      <c r="K806" s="13" t="s">
        <v>5011</v>
      </c>
      <c r="L806" s="13" t="s">
        <v>794</v>
      </c>
      <c r="M806" s="13" t="n">
        <v>355.11</v>
      </c>
      <c r="N806" s="13" t="n">
        <v>0.58</v>
      </c>
      <c r="O806" s="13" t="n">
        <v>500</v>
      </c>
      <c r="P806" s="13" t="s">
        <v>795</v>
      </c>
      <c r="Q806" s="13" t="s">
        <v>270</v>
      </c>
      <c r="R806" s="13" t="s">
        <v>5012</v>
      </c>
      <c r="S806" s="13" t="s">
        <v>5012</v>
      </c>
      <c r="T806" s="13" t="s">
        <v>61</v>
      </c>
      <c r="U806" s="13"/>
    </row>
    <row r="807" customFormat="false" ht="18" hidden="false" customHeight="true" outlineLevel="0" collapsed="false">
      <c r="A807" s="13" t="n">
        <v>806</v>
      </c>
      <c r="B807" s="13" t="s">
        <v>5013</v>
      </c>
      <c r="C807" s="13" t="s">
        <v>48</v>
      </c>
      <c r="D807" s="13" t="s">
        <v>49</v>
      </c>
      <c r="E807" s="13" t="s">
        <v>65</v>
      </c>
      <c r="F807" s="13" t="s">
        <v>438</v>
      </c>
      <c r="G807" s="13" t="s">
        <v>103</v>
      </c>
      <c r="H807" s="13" t="s">
        <v>5014</v>
      </c>
      <c r="I807" s="13" t="s">
        <v>5015</v>
      </c>
      <c r="J807" s="13" t="s">
        <v>5016</v>
      </c>
      <c r="K807" s="13" t="s">
        <v>2220</v>
      </c>
      <c r="L807" s="13" t="s">
        <v>2221</v>
      </c>
      <c r="M807" s="13" t="n">
        <v>109.42</v>
      </c>
      <c r="N807" s="13" t="n">
        <v>0.16</v>
      </c>
      <c r="O807" s="13" t="n">
        <v>121</v>
      </c>
      <c r="P807" s="13" t="s">
        <v>2222</v>
      </c>
      <c r="Q807" s="13" t="s">
        <v>921</v>
      </c>
      <c r="R807" s="13" t="s">
        <v>2268</v>
      </c>
      <c r="S807" s="13" t="s">
        <v>2268</v>
      </c>
      <c r="T807" s="13" t="s">
        <v>61</v>
      </c>
      <c r="U807" s="13"/>
    </row>
    <row r="808" customFormat="false" ht="18" hidden="false" customHeight="true" outlineLevel="0" collapsed="false">
      <c r="A808" s="15" t="n">
        <v>807</v>
      </c>
      <c r="B808" s="15" t="s">
        <v>5017</v>
      </c>
      <c r="C808" s="15" t="s">
        <v>48</v>
      </c>
      <c r="D808" s="15" t="s">
        <v>49</v>
      </c>
      <c r="E808" s="15" t="s">
        <v>91</v>
      </c>
      <c r="F808" s="15" t="s">
        <v>245</v>
      </c>
      <c r="G808" s="15" t="s">
        <v>103</v>
      </c>
      <c r="H808" s="15" t="s">
        <v>5018</v>
      </c>
      <c r="I808" s="15" t="s">
        <v>5019</v>
      </c>
      <c r="J808" s="15" t="s">
        <v>5020</v>
      </c>
      <c r="K808" s="15" t="s">
        <v>1832</v>
      </c>
      <c r="L808" s="15" t="s">
        <v>1833</v>
      </c>
      <c r="M808" s="15" t="n">
        <v>498.64</v>
      </c>
      <c r="N808" s="15" t="n">
        <v>1.28</v>
      </c>
      <c r="O808" s="15" t="n">
        <v>108</v>
      </c>
      <c r="P808" s="15" t="s">
        <v>1834</v>
      </c>
      <c r="Q808" s="15" t="s">
        <v>1660</v>
      </c>
      <c r="R808" s="15" t="s">
        <v>2392</v>
      </c>
      <c r="S808" s="15" t="s">
        <v>2392</v>
      </c>
      <c r="T808" s="15" t="s">
        <v>61</v>
      </c>
      <c r="U808" s="15" t="s">
        <v>453</v>
      </c>
    </row>
    <row r="809" customFormat="false" ht="18" hidden="false" customHeight="true" outlineLevel="0" collapsed="false">
      <c r="A809" s="13" t="n">
        <v>808</v>
      </c>
      <c r="B809" s="13" t="s">
        <v>5021</v>
      </c>
      <c r="C809" s="13" t="s">
        <v>125</v>
      </c>
      <c r="D809" s="13" t="s">
        <v>126</v>
      </c>
      <c r="E809" s="13" t="s">
        <v>161</v>
      </c>
      <c r="F809" s="13" t="s">
        <v>51</v>
      </c>
      <c r="G809" s="13" t="s">
        <v>207</v>
      </c>
      <c r="H809" s="13" t="s">
        <v>5022</v>
      </c>
      <c r="I809" s="13" t="s">
        <v>5023</v>
      </c>
      <c r="J809" s="13" t="s">
        <v>5024</v>
      </c>
      <c r="K809" s="13" t="s">
        <v>4577</v>
      </c>
      <c r="L809" s="13" t="s">
        <v>212</v>
      </c>
      <c r="M809" s="13" t="n">
        <v>546.99</v>
      </c>
      <c r="N809" s="13" t="n">
        <v>0.32</v>
      </c>
      <c r="O809" s="13" t="n">
        <v>384</v>
      </c>
      <c r="P809" s="13" t="s">
        <v>213</v>
      </c>
      <c r="Q809" s="13" t="s">
        <v>2515</v>
      </c>
      <c r="R809" s="13" t="s">
        <v>1157</v>
      </c>
      <c r="S809" s="13" t="s">
        <v>1157</v>
      </c>
      <c r="T809" s="13" t="s">
        <v>61</v>
      </c>
      <c r="U809" s="13"/>
    </row>
    <row r="810" customFormat="false" ht="18" hidden="false" customHeight="true" outlineLevel="0" collapsed="false">
      <c r="A810" s="13" t="n">
        <v>809</v>
      </c>
      <c r="B810" s="13" t="s">
        <v>5025</v>
      </c>
      <c r="C810" s="13" t="s">
        <v>77</v>
      </c>
      <c r="D810" s="13" t="s">
        <v>78</v>
      </c>
      <c r="E810" s="13" t="s">
        <v>161</v>
      </c>
      <c r="F810" s="13" t="s">
        <v>429</v>
      </c>
      <c r="G810" s="13" t="s">
        <v>334</v>
      </c>
      <c r="H810" s="13" t="s">
        <v>5026</v>
      </c>
      <c r="I810" s="13" t="s">
        <v>5027</v>
      </c>
      <c r="J810" s="13" t="s">
        <v>5028</v>
      </c>
      <c r="K810" s="13" t="s">
        <v>5029</v>
      </c>
      <c r="L810" s="13" t="s">
        <v>488</v>
      </c>
      <c r="M810" s="13" t="n">
        <v>345.75</v>
      </c>
      <c r="N810" s="13" t="n">
        <v>0.24</v>
      </c>
      <c r="O810" s="13" t="n">
        <v>373</v>
      </c>
      <c r="P810" s="13" t="s">
        <v>489</v>
      </c>
      <c r="Q810" s="13" t="s">
        <v>1873</v>
      </c>
      <c r="R810" s="13" t="s">
        <v>5030</v>
      </c>
      <c r="S810" s="13" t="s">
        <v>5030</v>
      </c>
      <c r="T810" s="13" t="s">
        <v>61</v>
      </c>
      <c r="U810" s="13"/>
    </row>
    <row r="811" customFormat="false" ht="18" hidden="false" customHeight="true" outlineLevel="0" collapsed="false">
      <c r="A811" s="13" t="n">
        <v>810</v>
      </c>
      <c r="B811" s="13" t="s">
        <v>5031</v>
      </c>
      <c r="C811" s="13" t="s">
        <v>125</v>
      </c>
      <c r="D811" s="13" t="s">
        <v>126</v>
      </c>
      <c r="E811" s="13" t="s">
        <v>91</v>
      </c>
      <c r="F811" s="13" t="s">
        <v>780</v>
      </c>
      <c r="G811" s="13" t="s">
        <v>420</v>
      </c>
      <c r="H811" s="13" t="s">
        <v>5032</v>
      </c>
      <c r="I811" s="13" t="s">
        <v>5033</v>
      </c>
      <c r="J811" s="13" t="s">
        <v>5034</v>
      </c>
      <c r="K811" s="13" t="s">
        <v>5035</v>
      </c>
      <c r="L811" s="13" t="s">
        <v>3509</v>
      </c>
      <c r="M811" s="13" t="n">
        <v>3757.12</v>
      </c>
      <c r="N811" s="13" t="n">
        <v>24.46</v>
      </c>
      <c r="O811" s="13" t="n">
        <v>281</v>
      </c>
      <c r="P811" s="13" t="s">
        <v>3510</v>
      </c>
      <c r="Q811" s="13" t="s">
        <v>3802</v>
      </c>
      <c r="R811" s="13" t="s">
        <v>1700</v>
      </c>
      <c r="S811" s="13" t="s">
        <v>1700</v>
      </c>
      <c r="T811" s="13" t="s">
        <v>61</v>
      </c>
      <c r="U811" s="13"/>
    </row>
    <row r="812" customFormat="false" ht="18" hidden="false" customHeight="true" outlineLevel="0" collapsed="false">
      <c r="A812" s="13" t="n">
        <v>811</v>
      </c>
      <c r="B812" s="13" t="s">
        <v>5036</v>
      </c>
      <c r="C812" s="13" t="s">
        <v>173</v>
      </c>
      <c r="D812" s="13" t="s">
        <v>174</v>
      </c>
      <c r="E812" s="13" t="s">
        <v>50</v>
      </c>
      <c r="F812" s="13" t="s">
        <v>115</v>
      </c>
      <c r="G812" s="13" t="s">
        <v>352</v>
      </c>
      <c r="H812" s="13" t="s">
        <v>5037</v>
      </c>
      <c r="I812" s="13" t="s">
        <v>5038</v>
      </c>
      <c r="J812" s="13" t="s">
        <v>5039</v>
      </c>
      <c r="K812" s="13" t="s">
        <v>5040</v>
      </c>
      <c r="L812" s="13" t="s">
        <v>1280</v>
      </c>
      <c r="M812" s="13" t="n">
        <v>786.72</v>
      </c>
      <c r="N812" s="13" t="n">
        <v>0.36</v>
      </c>
      <c r="O812" s="13" t="n">
        <v>433</v>
      </c>
      <c r="P812" s="13" t="s">
        <v>1281</v>
      </c>
      <c r="Q812" s="13" t="s">
        <v>5041</v>
      </c>
      <c r="R812" s="13" t="s">
        <v>1283</v>
      </c>
      <c r="S812" s="13" t="s">
        <v>1283</v>
      </c>
      <c r="T812" s="13" t="s">
        <v>61</v>
      </c>
      <c r="U812" s="13"/>
    </row>
    <row r="813" customFormat="false" ht="18" hidden="false" customHeight="true" outlineLevel="0" collapsed="false">
      <c r="A813" s="13" t="n">
        <v>812</v>
      </c>
      <c r="B813" s="13" t="s">
        <v>5042</v>
      </c>
      <c r="C813" s="13" t="s">
        <v>255</v>
      </c>
      <c r="D813" s="13" t="s">
        <v>256</v>
      </c>
      <c r="E813" s="13" t="s">
        <v>79</v>
      </c>
      <c r="F813" s="13" t="s">
        <v>1531</v>
      </c>
      <c r="G813" s="13" t="s">
        <v>733</v>
      </c>
      <c r="H813" s="13" t="s">
        <v>5043</v>
      </c>
      <c r="I813" s="13" t="s">
        <v>5044</v>
      </c>
      <c r="J813" s="13" t="s">
        <v>5045</v>
      </c>
      <c r="K813" s="13" t="s">
        <v>5046</v>
      </c>
      <c r="L813" s="13" t="s">
        <v>1536</v>
      </c>
      <c r="M813" s="13" t="n">
        <v>644.58</v>
      </c>
      <c r="N813" s="13" t="n">
        <v>2.2</v>
      </c>
      <c r="O813" s="13" t="n">
        <v>330</v>
      </c>
      <c r="P813" s="13" t="s">
        <v>1537</v>
      </c>
      <c r="Q813" s="13" t="s">
        <v>2935</v>
      </c>
      <c r="R813" s="13" t="s">
        <v>5047</v>
      </c>
      <c r="S813" s="13" t="s">
        <v>5047</v>
      </c>
      <c r="T813" s="13" t="s">
        <v>61</v>
      </c>
      <c r="U813" s="13"/>
    </row>
    <row r="814" customFormat="false" ht="18" hidden="false" customHeight="true" outlineLevel="0" collapsed="false">
      <c r="A814" s="13" t="n">
        <v>813</v>
      </c>
      <c r="B814" s="13" t="s">
        <v>5048</v>
      </c>
      <c r="C814" s="13" t="s">
        <v>113</v>
      </c>
      <c r="D814" s="13" t="s">
        <v>114</v>
      </c>
      <c r="E814" s="13" t="s">
        <v>91</v>
      </c>
      <c r="F814" s="13" t="s">
        <v>185</v>
      </c>
      <c r="G814" s="13" t="s">
        <v>93</v>
      </c>
      <c r="H814" s="13" t="s">
        <v>5049</v>
      </c>
      <c r="I814" s="13" t="s">
        <v>5050</v>
      </c>
      <c r="J814" s="13" t="s">
        <v>5051</v>
      </c>
      <c r="K814" s="13" t="s">
        <v>5052</v>
      </c>
      <c r="L814" s="13" t="s">
        <v>528</v>
      </c>
      <c r="M814" s="13" t="n">
        <v>533.99</v>
      </c>
      <c r="N814" s="13" t="n">
        <v>38.39</v>
      </c>
      <c r="O814" s="13" t="n">
        <v>321</v>
      </c>
      <c r="P814" s="13" t="s">
        <v>529</v>
      </c>
      <c r="Q814" s="13" t="s">
        <v>787</v>
      </c>
      <c r="R814" s="13" t="s">
        <v>1867</v>
      </c>
      <c r="S814" s="13" t="s">
        <v>1867</v>
      </c>
      <c r="T814" s="13" t="s">
        <v>61</v>
      </c>
      <c r="U814" s="13"/>
    </row>
    <row r="815" customFormat="false" ht="18" hidden="false" customHeight="true" outlineLevel="0" collapsed="false">
      <c r="A815" s="13" t="n">
        <v>814</v>
      </c>
      <c r="B815" s="13" t="s">
        <v>5053</v>
      </c>
      <c r="C815" s="13" t="s">
        <v>63</v>
      </c>
      <c r="D815" s="13" t="s">
        <v>64</v>
      </c>
      <c r="E815" s="13" t="s">
        <v>161</v>
      </c>
      <c r="F815" s="13" t="s">
        <v>295</v>
      </c>
      <c r="G815" s="13" t="s">
        <v>296</v>
      </c>
      <c r="H815" s="13" t="s">
        <v>5054</v>
      </c>
      <c r="I815" s="13" t="s">
        <v>5055</v>
      </c>
      <c r="J815" s="13" t="s">
        <v>5056</v>
      </c>
      <c r="K815" s="13" t="s">
        <v>5057</v>
      </c>
      <c r="L815" s="13" t="s">
        <v>301</v>
      </c>
      <c r="M815" s="13" t="n">
        <v>475.71</v>
      </c>
      <c r="N815" s="13" t="n">
        <v>0.32</v>
      </c>
      <c r="O815" s="13" t="n">
        <v>237</v>
      </c>
      <c r="P815" s="13" t="s">
        <v>302</v>
      </c>
      <c r="Q815" s="13" t="s">
        <v>1081</v>
      </c>
      <c r="R815" s="13" t="s">
        <v>4100</v>
      </c>
      <c r="S815" s="13" t="s">
        <v>4100</v>
      </c>
      <c r="T815" s="13" t="s">
        <v>61</v>
      </c>
      <c r="U815" s="13"/>
    </row>
    <row r="816" customFormat="false" ht="18" hidden="false" customHeight="true" outlineLevel="0" collapsed="false">
      <c r="A816" s="13" t="n">
        <v>815</v>
      </c>
      <c r="B816" s="13" t="s">
        <v>5058</v>
      </c>
      <c r="C816" s="13" t="s">
        <v>48</v>
      </c>
      <c r="D816" s="13" t="s">
        <v>49</v>
      </c>
      <c r="E816" s="13" t="s">
        <v>91</v>
      </c>
      <c r="F816" s="13" t="s">
        <v>138</v>
      </c>
      <c r="G816" s="13" t="s">
        <v>186</v>
      </c>
      <c r="H816" s="13" t="s">
        <v>5059</v>
      </c>
      <c r="I816" s="13" t="s">
        <v>5060</v>
      </c>
      <c r="J816" s="13" t="s">
        <v>5061</v>
      </c>
      <c r="K816" s="13" t="s">
        <v>5062</v>
      </c>
      <c r="L816" s="13" t="s">
        <v>479</v>
      </c>
      <c r="M816" s="13" t="n">
        <v>3918.44</v>
      </c>
      <c r="N816" s="13" t="n">
        <v>29.97</v>
      </c>
      <c r="O816" s="13" t="n">
        <v>498</v>
      </c>
      <c r="P816" s="13" t="s">
        <v>480</v>
      </c>
      <c r="Q816" s="13" t="s">
        <v>1619</v>
      </c>
      <c r="R816" s="13" t="s">
        <v>157</v>
      </c>
      <c r="S816" s="13" t="s">
        <v>157</v>
      </c>
      <c r="T816" s="13" t="s">
        <v>61</v>
      </c>
      <c r="U816" s="13"/>
    </row>
    <row r="817" customFormat="false" ht="18" hidden="false" customHeight="true" outlineLevel="0" collapsed="false">
      <c r="A817" s="13" t="n">
        <v>816</v>
      </c>
      <c r="B817" s="13" t="s">
        <v>5063</v>
      </c>
      <c r="C817" s="13" t="s">
        <v>113</v>
      </c>
      <c r="D817" s="13" t="s">
        <v>114</v>
      </c>
      <c r="E817" s="13" t="s">
        <v>50</v>
      </c>
      <c r="F817" s="13" t="s">
        <v>51</v>
      </c>
      <c r="G817" s="13" t="s">
        <v>808</v>
      </c>
      <c r="H817" s="13" t="s">
        <v>5064</v>
      </c>
      <c r="I817" s="13" t="s">
        <v>5065</v>
      </c>
      <c r="J817" s="13" t="s">
        <v>5066</v>
      </c>
      <c r="K817" s="13" t="s">
        <v>5067</v>
      </c>
      <c r="L817" s="13" t="s">
        <v>1857</v>
      </c>
      <c r="M817" s="13" t="n">
        <v>440.31</v>
      </c>
      <c r="N817" s="13" t="n">
        <v>0.75</v>
      </c>
      <c r="O817" s="13" t="n">
        <v>97</v>
      </c>
      <c r="P817" s="13" t="s">
        <v>1858</v>
      </c>
      <c r="Q817" s="13" t="s">
        <v>2538</v>
      </c>
      <c r="R817" s="13" t="s">
        <v>4100</v>
      </c>
      <c r="S817" s="13" t="s">
        <v>4100</v>
      </c>
      <c r="T817" s="13" t="s">
        <v>61</v>
      </c>
      <c r="U817" s="13"/>
    </row>
    <row r="818" customFormat="false" ht="18" hidden="false" customHeight="true" outlineLevel="0" collapsed="false">
      <c r="A818" s="13" t="n">
        <v>817</v>
      </c>
      <c r="B818" s="13" t="s">
        <v>5068</v>
      </c>
      <c r="C818" s="13" t="s">
        <v>77</v>
      </c>
      <c r="D818" s="13" t="s">
        <v>78</v>
      </c>
      <c r="E818" s="13" t="s">
        <v>65</v>
      </c>
      <c r="F818" s="13" t="s">
        <v>115</v>
      </c>
      <c r="G818" s="13" t="s">
        <v>724</v>
      </c>
      <c r="H818" s="13" t="s">
        <v>5069</v>
      </c>
      <c r="I818" s="13" t="s">
        <v>5070</v>
      </c>
      <c r="J818" s="13" t="s">
        <v>5071</v>
      </c>
      <c r="K818" s="13" t="s">
        <v>3872</v>
      </c>
      <c r="L818" s="13" t="s">
        <v>3873</v>
      </c>
      <c r="M818" s="13" t="n">
        <v>30.55</v>
      </c>
      <c r="N818" s="13" t="n">
        <v>1.44</v>
      </c>
      <c r="O818" s="13" t="n">
        <v>418</v>
      </c>
      <c r="P818" s="13" t="s">
        <v>3874</v>
      </c>
      <c r="Q818" s="13" t="s">
        <v>954</v>
      </c>
      <c r="R818" s="13" t="s">
        <v>5072</v>
      </c>
      <c r="S818" s="13" t="s">
        <v>5072</v>
      </c>
      <c r="T818" s="13" t="s">
        <v>61</v>
      </c>
      <c r="U818" s="13"/>
    </row>
    <row r="819" customFormat="false" ht="18" hidden="false" customHeight="true" outlineLevel="0" collapsed="false">
      <c r="A819" s="13" t="n">
        <v>818</v>
      </c>
      <c r="B819" s="13" t="s">
        <v>5073</v>
      </c>
      <c r="C819" s="13" t="s">
        <v>77</v>
      </c>
      <c r="D819" s="13" t="s">
        <v>78</v>
      </c>
      <c r="E819" s="13" t="s">
        <v>50</v>
      </c>
      <c r="F819" s="13" t="s">
        <v>51</v>
      </c>
      <c r="G819" s="13" t="s">
        <v>689</v>
      </c>
      <c r="H819" s="13" t="s">
        <v>5074</v>
      </c>
      <c r="I819" s="13" t="s">
        <v>5075</v>
      </c>
      <c r="J819" s="13" t="s">
        <v>5076</v>
      </c>
      <c r="K819" s="13" t="s">
        <v>2909</v>
      </c>
      <c r="L819" s="13" t="s">
        <v>803</v>
      </c>
      <c r="M819" s="13" t="n">
        <v>465.27</v>
      </c>
      <c r="N819" s="13" t="n">
        <v>0.68</v>
      </c>
      <c r="O819" s="13" t="n">
        <v>280</v>
      </c>
      <c r="P819" s="13" t="s">
        <v>804</v>
      </c>
      <c r="Q819" s="13" t="s">
        <v>1972</v>
      </c>
      <c r="R819" s="13" t="s">
        <v>60</v>
      </c>
      <c r="S819" s="13" t="s">
        <v>60</v>
      </c>
      <c r="T819" s="13" t="s">
        <v>61</v>
      </c>
      <c r="U819" s="13"/>
    </row>
    <row r="820" customFormat="false" ht="18" hidden="false" customHeight="true" outlineLevel="0" collapsed="false">
      <c r="A820" s="15" t="n">
        <v>819</v>
      </c>
      <c r="B820" s="15" t="s">
        <v>5077</v>
      </c>
      <c r="C820" s="15" t="s">
        <v>159</v>
      </c>
      <c r="D820" s="15" t="s">
        <v>160</v>
      </c>
      <c r="E820" s="15" t="s">
        <v>161</v>
      </c>
      <c r="F820" s="15" t="s">
        <v>115</v>
      </c>
      <c r="G820" s="15" t="s">
        <v>67</v>
      </c>
      <c r="H820" s="15" t="s">
        <v>5078</v>
      </c>
      <c r="I820" s="15" t="s">
        <v>5079</v>
      </c>
      <c r="J820" s="15" t="s">
        <v>5080</v>
      </c>
      <c r="K820" s="15" t="s">
        <v>4388</v>
      </c>
      <c r="L820" s="15" t="s">
        <v>4389</v>
      </c>
      <c r="M820" s="15" t="n">
        <v>217.38</v>
      </c>
      <c r="N820" s="15" t="n">
        <v>0.68</v>
      </c>
      <c r="O820" s="15" t="n">
        <v>317</v>
      </c>
      <c r="P820" s="15" t="s">
        <v>4390</v>
      </c>
      <c r="Q820" s="15" t="s">
        <v>74</v>
      </c>
      <c r="R820" s="15" t="s">
        <v>1867</v>
      </c>
      <c r="S820" s="15" t="s">
        <v>1867</v>
      </c>
      <c r="T820" s="15" t="s">
        <v>61</v>
      </c>
      <c r="U820" s="15" t="s">
        <v>453</v>
      </c>
    </row>
    <row r="821" customFormat="false" ht="18" hidden="false" customHeight="true" outlineLevel="0" collapsed="false">
      <c r="A821" s="13" t="n">
        <v>820</v>
      </c>
      <c r="B821" s="13" t="s">
        <v>5081</v>
      </c>
      <c r="C821" s="13" t="s">
        <v>48</v>
      </c>
      <c r="D821" s="13" t="s">
        <v>49</v>
      </c>
      <c r="E821" s="13" t="s">
        <v>79</v>
      </c>
      <c r="F821" s="13" t="s">
        <v>127</v>
      </c>
      <c r="G821" s="13" t="s">
        <v>80</v>
      </c>
      <c r="H821" s="13" t="s">
        <v>5082</v>
      </c>
      <c r="I821" s="13" t="s">
        <v>5083</v>
      </c>
      <c r="J821" s="13" t="s">
        <v>5084</v>
      </c>
      <c r="K821" s="13" t="s">
        <v>5085</v>
      </c>
      <c r="L821" s="13" t="s">
        <v>1138</v>
      </c>
      <c r="M821" s="13" t="n">
        <v>1169.14</v>
      </c>
      <c r="N821" s="13" t="n">
        <v>2.55</v>
      </c>
      <c r="O821" s="13" t="n">
        <v>487</v>
      </c>
      <c r="P821" s="13" t="s">
        <v>1139</v>
      </c>
      <c r="Q821" s="13" t="s">
        <v>5086</v>
      </c>
      <c r="R821" s="13" t="s">
        <v>1604</v>
      </c>
      <c r="S821" s="13" t="s">
        <v>1604</v>
      </c>
      <c r="T821" s="13" t="s">
        <v>61</v>
      </c>
      <c r="U821" s="13"/>
    </row>
    <row r="822" customFormat="false" ht="18" hidden="false" customHeight="true" outlineLevel="0" collapsed="false">
      <c r="A822" s="13" t="n">
        <v>821</v>
      </c>
      <c r="B822" s="13" t="s">
        <v>5087</v>
      </c>
      <c r="C822" s="13" t="s">
        <v>159</v>
      </c>
      <c r="D822" s="13" t="s">
        <v>160</v>
      </c>
      <c r="E822" s="13" t="s">
        <v>161</v>
      </c>
      <c r="F822" s="13" t="s">
        <v>162</v>
      </c>
      <c r="G822" s="13" t="s">
        <v>285</v>
      </c>
      <c r="H822" s="13" t="s">
        <v>5088</v>
      </c>
      <c r="I822" s="13" t="s">
        <v>5089</v>
      </c>
      <c r="J822" s="13" t="s">
        <v>5090</v>
      </c>
      <c r="K822" s="13" t="s">
        <v>5091</v>
      </c>
      <c r="L822" s="13" t="s">
        <v>1996</v>
      </c>
      <c r="M822" s="13" t="n">
        <v>475.52</v>
      </c>
      <c r="N822" s="13" t="n">
        <v>0.2</v>
      </c>
      <c r="O822" s="13" t="n">
        <v>23</v>
      </c>
      <c r="P822" s="13" t="s">
        <v>1997</v>
      </c>
      <c r="Q822" s="13" t="s">
        <v>1920</v>
      </c>
      <c r="R822" s="13" t="s">
        <v>1765</v>
      </c>
      <c r="S822" s="13" t="s">
        <v>1765</v>
      </c>
      <c r="T822" s="13" t="s">
        <v>61</v>
      </c>
      <c r="U822" s="13"/>
    </row>
    <row r="823" customFormat="false" ht="18" hidden="false" customHeight="true" outlineLevel="0" collapsed="false">
      <c r="A823" s="13" t="n">
        <v>822</v>
      </c>
      <c r="B823" s="13" t="s">
        <v>5092</v>
      </c>
      <c r="C823" s="13" t="s">
        <v>48</v>
      </c>
      <c r="D823" s="13" t="s">
        <v>49</v>
      </c>
      <c r="E823" s="13" t="s">
        <v>91</v>
      </c>
      <c r="F823" s="13" t="s">
        <v>587</v>
      </c>
      <c r="G823" s="13" t="s">
        <v>743</v>
      </c>
      <c r="H823" s="13" t="s">
        <v>5093</v>
      </c>
      <c r="I823" s="13" t="s">
        <v>5094</v>
      </c>
      <c r="J823" s="13" t="s">
        <v>5095</v>
      </c>
      <c r="K823" s="13" t="s">
        <v>5096</v>
      </c>
      <c r="L823" s="13" t="s">
        <v>2961</v>
      </c>
      <c r="M823" s="13" t="n">
        <v>2262.52</v>
      </c>
      <c r="N823" s="13" t="n">
        <v>15.36</v>
      </c>
      <c r="O823" s="13" t="n">
        <v>378</v>
      </c>
      <c r="P823" s="13" t="s">
        <v>2962</v>
      </c>
      <c r="Q823" s="13" t="s">
        <v>5097</v>
      </c>
      <c r="R823" s="13" t="s">
        <v>2151</v>
      </c>
      <c r="S823" s="13" t="s">
        <v>2151</v>
      </c>
      <c r="T823" s="13" t="s">
        <v>61</v>
      </c>
      <c r="U823" s="13"/>
    </row>
    <row r="824" customFormat="false" ht="18" hidden="false" customHeight="true" outlineLevel="0" collapsed="false">
      <c r="A824" s="13" t="n">
        <v>823</v>
      </c>
      <c r="B824" s="13" t="s">
        <v>5098</v>
      </c>
      <c r="C824" s="13" t="s">
        <v>125</v>
      </c>
      <c r="D824" s="13" t="s">
        <v>126</v>
      </c>
      <c r="E824" s="13" t="s">
        <v>79</v>
      </c>
      <c r="F824" s="13" t="s">
        <v>956</v>
      </c>
      <c r="G824" s="13" t="s">
        <v>760</v>
      </c>
      <c r="H824" s="13" t="s">
        <v>5099</v>
      </c>
      <c r="I824" s="13" t="s">
        <v>5100</v>
      </c>
      <c r="J824" s="13" t="s">
        <v>5101</v>
      </c>
      <c r="K824" s="13" t="s">
        <v>5102</v>
      </c>
      <c r="L824" s="13" t="s">
        <v>961</v>
      </c>
      <c r="M824" s="13" t="n">
        <v>1770.07</v>
      </c>
      <c r="N824" s="13" t="n">
        <v>2.61</v>
      </c>
      <c r="O824" s="13" t="n">
        <v>243</v>
      </c>
      <c r="P824" s="13" t="s">
        <v>962</v>
      </c>
      <c r="Q824" s="13" t="s">
        <v>712</v>
      </c>
      <c r="R824" s="13" t="s">
        <v>1352</v>
      </c>
      <c r="S824" s="13" t="s">
        <v>1352</v>
      </c>
      <c r="T824" s="13" t="s">
        <v>61</v>
      </c>
      <c r="U824" s="13"/>
    </row>
    <row r="825" customFormat="false" ht="18" hidden="false" customHeight="true" outlineLevel="0" collapsed="false">
      <c r="A825" s="13" t="n">
        <v>824</v>
      </c>
      <c r="B825" s="13" t="s">
        <v>5103</v>
      </c>
      <c r="C825" s="13" t="s">
        <v>159</v>
      </c>
      <c r="D825" s="13" t="s">
        <v>160</v>
      </c>
      <c r="E825" s="13" t="s">
        <v>65</v>
      </c>
      <c r="F825" s="13" t="s">
        <v>66</v>
      </c>
      <c r="G825" s="13" t="s">
        <v>67</v>
      </c>
      <c r="H825" s="13" t="s">
        <v>5104</v>
      </c>
      <c r="I825" s="13" t="s">
        <v>5105</v>
      </c>
      <c r="J825" s="13" t="s">
        <v>5106</v>
      </c>
      <c r="K825" s="13" t="s">
        <v>71</v>
      </c>
      <c r="L825" s="13" t="s">
        <v>72</v>
      </c>
      <c r="M825" s="13" t="n">
        <v>268.05</v>
      </c>
      <c r="N825" s="13" t="n">
        <v>1.15</v>
      </c>
      <c r="O825" s="13" t="n">
        <v>330</v>
      </c>
      <c r="P825" s="13" t="s">
        <v>73</v>
      </c>
      <c r="Q825" s="13" t="s">
        <v>3946</v>
      </c>
      <c r="R825" s="13" t="s">
        <v>2676</v>
      </c>
      <c r="S825" s="13" t="s">
        <v>2676</v>
      </c>
      <c r="T825" s="13" t="s">
        <v>61</v>
      </c>
      <c r="U825" s="13"/>
    </row>
    <row r="826" customFormat="false" ht="18" hidden="false" customHeight="true" outlineLevel="0" collapsed="false">
      <c r="A826" s="13" t="n">
        <v>825</v>
      </c>
      <c r="B826" s="13" t="s">
        <v>5107</v>
      </c>
      <c r="C826" s="13" t="s">
        <v>63</v>
      </c>
      <c r="D826" s="13" t="s">
        <v>64</v>
      </c>
      <c r="E826" s="13" t="s">
        <v>79</v>
      </c>
      <c r="F826" s="13" t="s">
        <v>956</v>
      </c>
      <c r="G826" s="13" t="s">
        <v>733</v>
      </c>
      <c r="H826" s="13" t="s">
        <v>5108</v>
      </c>
      <c r="I826" s="13" t="s">
        <v>5109</v>
      </c>
      <c r="J826" s="13" t="s">
        <v>5110</v>
      </c>
      <c r="K826" s="13" t="s">
        <v>5111</v>
      </c>
      <c r="L826" s="13" t="s">
        <v>2915</v>
      </c>
      <c r="M826" s="13" t="n">
        <v>1813.03</v>
      </c>
      <c r="N826" s="13" t="n">
        <v>1.62</v>
      </c>
      <c r="O826" s="13" t="n">
        <v>77</v>
      </c>
      <c r="P826" s="13" t="s">
        <v>2916</v>
      </c>
      <c r="Q826" s="13" t="s">
        <v>5112</v>
      </c>
      <c r="R826" s="13" t="s">
        <v>1099</v>
      </c>
      <c r="S826" s="13" t="s">
        <v>1099</v>
      </c>
      <c r="T826" s="13" t="s">
        <v>61</v>
      </c>
      <c r="U826" s="13"/>
    </row>
    <row r="827" customFormat="false" ht="18" hidden="false" customHeight="true" outlineLevel="0" collapsed="false">
      <c r="A827" s="15" t="n">
        <v>826</v>
      </c>
      <c r="B827" s="15" t="s">
        <v>2855</v>
      </c>
      <c r="C827" s="15" t="s">
        <v>77</v>
      </c>
      <c r="D827" s="15" t="s">
        <v>78</v>
      </c>
      <c r="E827" s="15" t="s">
        <v>91</v>
      </c>
      <c r="F827" s="15" t="s">
        <v>587</v>
      </c>
      <c r="G827" s="15" t="s">
        <v>139</v>
      </c>
      <c r="H827" s="15" t="s">
        <v>2856</v>
      </c>
      <c r="I827" s="15" t="s">
        <v>2857</v>
      </c>
      <c r="J827" s="15" t="s">
        <v>2858</v>
      </c>
      <c r="K827" s="15" t="s">
        <v>2859</v>
      </c>
      <c r="L827" s="15" t="s">
        <v>2860</v>
      </c>
      <c r="M827" s="15" t="n">
        <v>4005.3</v>
      </c>
      <c r="N827" s="15" t="n">
        <v>41.92</v>
      </c>
      <c r="O827" s="15" t="n">
        <v>135</v>
      </c>
      <c r="P827" s="15" t="s">
        <v>2861</v>
      </c>
      <c r="Q827" s="15" t="s">
        <v>2862</v>
      </c>
      <c r="R827" s="15" t="s">
        <v>1274</v>
      </c>
      <c r="S827" s="15" t="s">
        <v>1274</v>
      </c>
      <c r="T827" s="15" t="s">
        <v>61</v>
      </c>
      <c r="U827" s="15" t="s">
        <v>283</v>
      </c>
    </row>
    <row r="828" customFormat="false" ht="18" hidden="false" customHeight="true" outlineLevel="0" collapsed="false">
      <c r="A828" s="13" t="n">
        <v>827</v>
      </c>
      <c r="B828" s="13" t="s">
        <v>5113</v>
      </c>
      <c r="C828" s="13" t="s">
        <v>159</v>
      </c>
      <c r="D828" s="13" t="s">
        <v>160</v>
      </c>
      <c r="E828" s="13" t="s">
        <v>65</v>
      </c>
      <c r="F828" s="13" t="s">
        <v>115</v>
      </c>
      <c r="G828" s="13" t="s">
        <v>67</v>
      </c>
      <c r="H828" s="13" t="s">
        <v>5114</v>
      </c>
      <c r="I828" s="13" t="s">
        <v>5115</v>
      </c>
      <c r="J828" s="13" t="s">
        <v>5116</v>
      </c>
      <c r="K828" s="13" t="s">
        <v>4388</v>
      </c>
      <c r="L828" s="13" t="s">
        <v>4389</v>
      </c>
      <c r="M828" s="13" t="n">
        <v>68.3</v>
      </c>
      <c r="N828" s="13" t="n">
        <v>1.07</v>
      </c>
      <c r="O828" s="13" t="n">
        <v>34</v>
      </c>
      <c r="P828" s="13" t="s">
        <v>4390</v>
      </c>
      <c r="Q828" s="13" t="s">
        <v>1178</v>
      </c>
      <c r="R828" s="13" t="s">
        <v>1529</v>
      </c>
      <c r="S828" s="13" t="s">
        <v>1529</v>
      </c>
      <c r="T828" s="13" t="s">
        <v>61</v>
      </c>
      <c r="U828" s="13"/>
    </row>
    <row r="829" customFormat="false" ht="18" hidden="false" customHeight="true" outlineLevel="0" collapsed="false">
      <c r="A829" s="13" t="n">
        <v>828</v>
      </c>
      <c r="B829" s="13" t="s">
        <v>5117</v>
      </c>
      <c r="C829" s="13" t="s">
        <v>113</v>
      </c>
      <c r="D829" s="13" t="s">
        <v>114</v>
      </c>
      <c r="E829" s="13" t="s">
        <v>50</v>
      </c>
      <c r="F829" s="13" t="s">
        <v>127</v>
      </c>
      <c r="G829" s="13" t="s">
        <v>808</v>
      </c>
      <c r="H829" s="13" t="s">
        <v>5118</v>
      </c>
      <c r="I829" s="13" t="s">
        <v>5119</v>
      </c>
      <c r="J829" s="13" t="s">
        <v>5120</v>
      </c>
      <c r="K829" s="13" t="s">
        <v>4079</v>
      </c>
      <c r="L829" s="13" t="s">
        <v>1737</v>
      </c>
      <c r="M829" s="13" t="n">
        <v>886.62</v>
      </c>
      <c r="N829" s="13" t="n">
        <v>0.85</v>
      </c>
      <c r="O829" s="13" t="n">
        <v>115</v>
      </c>
      <c r="P829" s="13" t="s">
        <v>1738</v>
      </c>
      <c r="Q829" s="13" t="s">
        <v>5121</v>
      </c>
      <c r="R829" s="13" t="s">
        <v>5122</v>
      </c>
      <c r="S829" s="13" t="s">
        <v>5122</v>
      </c>
      <c r="T829" s="13" t="s">
        <v>61</v>
      </c>
      <c r="U829" s="13"/>
    </row>
    <row r="830" customFormat="false" ht="18" hidden="false" customHeight="true" outlineLevel="0" collapsed="false">
      <c r="A830" s="13" t="n">
        <v>829</v>
      </c>
      <c r="B830" s="13" t="s">
        <v>5123</v>
      </c>
      <c r="C830" s="13" t="s">
        <v>125</v>
      </c>
      <c r="D830" s="13" t="s">
        <v>126</v>
      </c>
      <c r="E830" s="13" t="s">
        <v>161</v>
      </c>
      <c r="F830" s="13" t="s">
        <v>306</v>
      </c>
      <c r="G830" s="13" t="s">
        <v>207</v>
      </c>
      <c r="H830" s="13" t="s">
        <v>5124</v>
      </c>
      <c r="I830" s="13" t="s">
        <v>5125</v>
      </c>
      <c r="J830" s="13" t="s">
        <v>5126</v>
      </c>
      <c r="K830" s="13" t="s">
        <v>4991</v>
      </c>
      <c r="L830" s="13" t="s">
        <v>1683</v>
      </c>
      <c r="M830" s="13" t="n">
        <v>502.07</v>
      </c>
      <c r="N830" s="13" t="n">
        <v>0.37</v>
      </c>
      <c r="O830" s="13" t="n">
        <v>139</v>
      </c>
      <c r="P830" s="13" t="s">
        <v>1684</v>
      </c>
      <c r="Q830" s="13" t="s">
        <v>1273</v>
      </c>
      <c r="R830" s="13" t="s">
        <v>5012</v>
      </c>
      <c r="S830" s="13" t="s">
        <v>5012</v>
      </c>
      <c r="T830" s="13" t="s">
        <v>61</v>
      </c>
      <c r="U830" s="13"/>
    </row>
    <row r="831" customFormat="false" ht="18" hidden="false" customHeight="true" outlineLevel="0" collapsed="false">
      <c r="A831" s="14" t="n">
        <v>830</v>
      </c>
      <c r="B831" s="14" t="s">
        <v>5127</v>
      </c>
      <c r="C831" s="14" t="s">
        <v>48</v>
      </c>
      <c r="D831" s="14" t="s">
        <v>49</v>
      </c>
      <c r="E831" s="14" t="s">
        <v>50</v>
      </c>
      <c r="F831" s="14" t="s">
        <v>115</v>
      </c>
      <c r="G831" s="14" t="s">
        <v>808</v>
      </c>
      <c r="H831" s="14" t="s">
        <v>5128</v>
      </c>
      <c r="I831" s="14" t="s">
        <v>5129</v>
      </c>
      <c r="J831" s="14" t="s">
        <v>5130</v>
      </c>
      <c r="K831" s="14"/>
      <c r="L831" s="14" t="s">
        <v>2339</v>
      </c>
      <c r="M831" s="14" t="n">
        <v>1146.81</v>
      </c>
      <c r="N831" s="14" t="n">
        <v>0.66</v>
      </c>
      <c r="O831" s="14" t="n">
        <v>440</v>
      </c>
      <c r="P831" s="14" t="s">
        <v>2340</v>
      </c>
      <c r="Q831" s="14" t="s">
        <v>5041</v>
      </c>
      <c r="R831" s="14" t="s">
        <v>88</v>
      </c>
      <c r="S831" s="14" t="s">
        <v>88</v>
      </c>
      <c r="T831" s="14" t="s">
        <v>61</v>
      </c>
      <c r="U831" s="14" t="s">
        <v>1048</v>
      </c>
    </row>
    <row r="832" customFormat="false" ht="18" hidden="false" customHeight="true" outlineLevel="0" collapsed="false">
      <c r="A832" s="14" t="n">
        <v>831</v>
      </c>
      <c r="B832" s="14" t="s">
        <v>5131</v>
      </c>
      <c r="C832" s="14" t="s">
        <v>159</v>
      </c>
      <c r="D832" s="14" t="s">
        <v>160</v>
      </c>
      <c r="E832" s="14" t="s">
        <v>161</v>
      </c>
      <c r="F832" s="14" t="s">
        <v>162</v>
      </c>
      <c r="G832" s="14" t="s">
        <v>334</v>
      </c>
      <c r="H832" s="14" t="s">
        <v>5132</v>
      </c>
      <c r="I832" s="14" t="s">
        <v>5133</v>
      </c>
      <c r="J832" s="14" t="s">
        <v>5134</v>
      </c>
      <c r="K832" s="14" t="s">
        <v>1978</v>
      </c>
      <c r="L832" s="14" t="s">
        <v>339</v>
      </c>
      <c r="M832" s="14" t="n">
        <v>294.73</v>
      </c>
      <c r="N832" s="14" t="n">
        <v>0.39</v>
      </c>
      <c r="O832" s="14" t="n">
        <v>257</v>
      </c>
      <c r="P832" s="14"/>
      <c r="Q832" s="14" t="s">
        <v>5135</v>
      </c>
      <c r="R832" s="14" t="s">
        <v>1845</v>
      </c>
      <c r="S832" s="14" t="s">
        <v>1845</v>
      </c>
      <c r="T832" s="14" t="s">
        <v>61</v>
      </c>
      <c r="U832" s="14" t="s">
        <v>1014</v>
      </c>
    </row>
    <row r="833" customFormat="false" ht="18" hidden="false" customHeight="true" outlineLevel="0" collapsed="false">
      <c r="A833" s="13" t="n">
        <v>832</v>
      </c>
      <c r="B833" s="13" t="s">
        <v>5136</v>
      </c>
      <c r="C833" s="13" t="s">
        <v>48</v>
      </c>
      <c r="D833" s="13" t="s">
        <v>49</v>
      </c>
      <c r="E833" s="13" t="s">
        <v>161</v>
      </c>
      <c r="F833" s="13" t="s">
        <v>162</v>
      </c>
      <c r="G833" s="13" t="s">
        <v>207</v>
      </c>
      <c r="H833" s="13" t="s">
        <v>5137</v>
      </c>
      <c r="I833" s="13" t="s">
        <v>5138</v>
      </c>
      <c r="J833" s="13" t="s">
        <v>5139</v>
      </c>
      <c r="K833" s="13" t="s">
        <v>5140</v>
      </c>
      <c r="L833" s="13" t="s">
        <v>3212</v>
      </c>
      <c r="M833" s="13" t="n">
        <v>142.95</v>
      </c>
      <c r="N833" s="13" t="n">
        <v>0.23</v>
      </c>
      <c r="O833" s="13" t="n">
        <v>78</v>
      </c>
      <c r="P833" s="13" t="s">
        <v>3213</v>
      </c>
      <c r="Q833" s="13" t="s">
        <v>5141</v>
      </c>
      <c r="R833" s="13" t="s">
        <v>576</v>
      </c>
      <c r="S833" s="13" t="s">
        <v>576</v>
      </c>
      <c r="T833" s="13" t="s">
        <v>61</v>
      </c>
      <c r="U833" s="13"/>
    </row>
    <row r="834" customFormat="false" ht="18" hidden="false" customHeight="true" outlineLevel="0" collapsed="false">
      <c r="A834" s="13" t="n">
        <v>833</v>
      </c>
      <c r="B834" s="13" t="s">
        <v>5142</v>
      </c>
      <c r="C834" s="13" t="s">
        <v>77</v>
      </c>
      <c r="D834" s="13" t="s">
        <v>78</v>
      </c>
      <c r="E834" s="13" t="s">
        <v>79</v>
      </c>
      <c r="F834" s="13" t="s">
        <v>1531</v>
      </c>
      <c r="G834" s="13" t="s">
        <v>80</v>
      </c>
      <c r="H834" s="13" t="s">
        <v>5143</v>
      </c>
      <c r="I834" s="13" t="s">
        <v>5144</v>
      </c>
      <c r="J834" s="13" t="s">
        <v>5145</v>
      </c>
      <c r="K834" s="13" t="s">
        <v>5146</v>
      </c>
      <c r="L834" s="13" t="s">
        <v>3294</v>
      </c>
      <c r="M834" s="13" t="n">
        <v>708.59</v>
      </c>
      <c r="N834" s="13" t="n">
        <v>1.65</v>
      </c>
      <c r="O834" s="13" t="n">
        <v>382</v>
      </c>
      <c r="P834" s="13" t="s">
        <v>3295</v>
      </c>
      <c r="Q834" s="13" t="s">
        <v>1441</v>
      </c>
      <c r="R834" s="13" t="s">
        <v>4627</v>
      </c>
      <c r="S834" s="13" t="s">
        <v>4627</v>
      </c>
      <c r="T834" s="13" t="s">
        <v>61</v>
      </c>
      <c r="U834" s="13"/>
    </row>
    <row r="835" customFormat="false" ht="18" hidden="false" customHeight="true" outlineLevel="0" collapsed="false">
      <c r="A835" s="13" t="n">
        <v>834</v>
      </c>
      <c r="B835" s="13" t="s">
        <v>4877</v>
      </c>
      <c r="C835" s="13" t="s">
        <v>63</v>
      </c>
      <c r="D835" s="13" t="s">
        <v>64</v>
      </c>
      <c r="E835" s="13" t="s">
        <v>79</v>
      </c>
      <c r="F835" s="13" t="s">
        <v>127</v>
      </c>
      <c r="G835" s="13" t="s">
        <v>562</v>
      </c>
      <c r="H835" s="13" t="s">
        <v>4878</v>
      </c>
      <c r="I835" s="13" t="s">
        <v>4879</v>
      </c>
      <c r="J835" s="13" t="s">
        <v>4880</v>
      </c>
      <c r="K835" s="13" t="s">
        <v>4881</v>
      </c>
      <c r="L835" s="13" t="s">
        <v>1208</v>
      </c>
      <c r="M835" s="13" t="n">
        <v>1365.49</v>
      </c>
      <c r="N835" s="13" t="n">
        <v>2.33</v>
      </c>
      <c r="O835" s="13" t="n">
        <v>245</v>
      </c>
      <c r="P835" s="13" t="s">
        <v>1209</v>
      </c>
      <c r="Q835" s="13" t="s">
        <v>1497</v>
      </c>
      <c r="R835" s="13" t="s">
        <v>576</v>
      </c>
      <c r="S835" s="13" t="s">
        <v>576</v>
      </c>
      <c r="T835" s="13" t="s">
        <v>61</v>
      </c>
      <c r="U835" s="13"/>
    </row>
    <row r="836" customFormat="false" ht="18" hidden="false" customHeight="true" outlineLevel="0" collapsed="false">
      <c r="A836" s="13" t="n">
        <v>835</v>
      </c>
      <c r="B836" s="13" t="s">
        <v>5147</v>
      </c>
      <c r="C836" s="13" t="s">
        <v>255</v>
      </c>
      <c r="D836" s="13" t="s">
        <v>256</v>
      </c>
      <c r="E836" s="13" t="s">
        <v>161</v>
      </c>
      <c r="F836" s="13" t="s">
        <v>295</v>
      </c>
      <c r="G836" s="13" t="s">
        <v>296</v>
      </c>
      <c r="H836" s="13" t="s">
        <v>5148</v>
      </c>
      <c r="I836" s="13" t="s">
        <v>5149</v>
      </c>
      <c r="J836" s="13" t="s">
        <v>5150</v>
      </c>
      <c r="K836" s="13" t="s">
        <v>5057</v>
      </c>
      <c r="L836" s="13" t="s">
        <v>301</v>
      </c>
      <c r="M836" s="13" t="n">
        <v>347.78</v>
      </c>
      <c r="N836" s="13" t="n">
        <v>0.28</v>
      </c>
      <c r="O836" s="13" t="n">
        <v>328</v>
      </c>
      <c r="P836" s="13" t="s">
        <v>302</v>
      </c>
      <c r="Q836" s="13" t="s">
        <v>5151</v>
      </c>
      <c r="R836" s="13" t="s">
        <v>1423</v>
      </c>
      <c r="S836" s="13" t="s">
        <v>1423</v>
      </c>
      <c r="T836" s="13" t="s">
        <v>61</v>
      </c>
      <c r="U836" s="13"/>
    </row>
    <row r="837" customFormat="false" ht="18" hidden="false" customHeight="true" outlineLevel="0" collapsed="false">
      <c r="A837" s="16" t="n">
        <v>836</v>
      </c>
      <c r="B837" s="16" t="s">
        <v>5152</v>
      </c>
      <c r="C837" s="16" t="s">
        <v>113</v>
      </c>
      <c r="D837" s="16" t="s">
        <v>114</v>
      </c>
      <c r="E837" s="16" t="s">
        <v>161</v>
      </c>
      <c r="F837" s="16" t="s">
        <v>822</v>
      </c>
      <c r="G837" s="16" t="s">
        <v>334</v>
      </c>
      <c r="H837" s="16" t="s">
        <v>5153</v>
      </c>
      <c r="I837" s="16" t="s">
        <v>5154</v>
      </c>
      <c r="J837" s="16" t="s">
        <v>5155</v>
      </c>
      <c r="K837" s="16" t="s">
        <v>5156</v>
      </c>
      <c r="L837" s="16" t="s">
        <v>4406</v>
      </c>
      <c r="M837" s="16" t="n">
        <v>292.1</v>
      </c>
      <c r="N837" s="16" t="n">
        <v>0.29</v>
      </c>
      <c r="O837" s="16" t="n">
        <v>0</v>
      </c>
      <c r="P837" s="16" t="s">
        <v>4407</v>
      </c>
      <c r="Q837" s="16" t="s">
        <v>2710</v>
      </c>
      <c r="R837" s="16" t="s">
        <v>462</v>
      </c>
      <c r="S837" s="16" t="s">
        <v>1708</v>
      </c>
      <c r="T837" s="16" t="s">
        <v>61</v>
      </c>
      <c r="U837" s="16" t="s">
        <v>325</v>
      </c>
    </row>
    <row r="838" customFormat="false" ht="18" hidden="false" customHeight="true" outlineLevel="0" collapsed="false">
      <c r="A838" s="13" t="n">
        <v>837</v>
      </c>
      <c r="B838" s="13" t="s">
        <v>5157</v>
      </c>
      <c r="C838" s="13" t="s">
        <v>173</v>
      </c>
      <c r="D838" s="13" t="s">
        <v>174</v>
      </c>
      <c r="E838" s="13" t="s">
        <v>50</v>
      </c>
      <c r="F838" s="13" t="s">
        <v>51</v>
      </c>
      <c r="G838" s="13" t="s">
        <v>808</v>
      </c>
      <c r="H838" s="13" t="s">
        <v>5158</v>
      </c>
      <c r="I838" s="13" t="s">
        <v>5159</v>
      </c>
      <c r="J838" s="13" t="s">
        <v>5160</v>
      </c>
      <c r="K838" s="13" t="s">
        <v>3996</v>
      </c>
      <c r="L838" s="13" t="s">
        <v>1857</v>
      </c>
      <c r="M838" s="13" t="n">
        <v>256.53</v>
      </c>
      <c r="N838" s="13" t="n">
        <v>0.53</v>
      </c>
      <c r="O838" s="13" t="n">
        <v>282</v>
      </c>
      <c r="P838" s="13" t="s">
        <v>1858</v>
      </c>
      <c r="Q838" s="13" t="s">
        <v>510</v>
      </c>
      <c r="R838" s="13" t="s">
        <v>1179</v>
      </c>
      <c r="S838" s="13" t="s">
        <v>1179</v>
      </c>
      <c r="T838" s="13" t="s">
        <v>61</v>
      </c>
      <c r="U838" s="13"/>
    </row>
    <row r="839" customFormat="false" ht="18" hidden="false" customHeight="true" outlineLevel="0" collapsed="false">
      <c r="A839" s="13" t="n">
        <v>838</v>
      </c>
      <c r="B839" s="13" t="s">
        <v>5161</v>
      </c>
      <c r="C839" s="13" t="s">
        <v>255</v>
      </c>
      <c r="D839" s="13" t="s">
        <v>256</v>
      </c>
      <c r="E839" s="13" t="s">
        <v>91</v>
      </c>
      <c r="F839" s="13" t="s">
        <v>780</v>
      </c>
      <c r="G839" s="13" t="s">
        <v>93</v>
      </c>
      <c r="H839" s="13" t="s">
        <v>5162</v>
      </c>
      <c r="I839" s="13" t="s">
        <v>5163</v>
      </c>
      <c r="J839" s="13" t="s">
        <v>5164</v>
      </c>
      <c r="K839" s="13" t="s">
        <v>5165</v>
      </c>
      <c r="L839" s="13" t="s">
        <v>1675</v>
      </c>
      <c r="M839" s="13" t="n">
        <v>2859.46</v>
      </c>
      <c r="N839" s="13" t="n">
        <v>26.69</v>
      </c>
      <c r="O839" s="13" t="n">
        <v>27</v>
      </c>
      <c r="P839" s="13" t="s">
        <v>1676</v>
      </c>
      <c r="Q839" s="13" t="s">
        <v>3796</v>
      </c>
      <c r="R839" s="13" t="s">
        <v>644</v>
      </c>
      <c r="S839" s="13" t="s">
        <v>644</v>
      </c>
      <c r="T839" s="13" t="s">
        <v>61</v>
      </c>
      <c r="U839" s="13"/>
    </row>
    <row r="840" customFormat="false" ht="18" hidden="false" customHeight="true" outlineLevel="0" collapsed="false">
      <c r="A840" s="13" t="n">
        <v>839</v>
      </c>
      <c r="B840" s="13" t="s">
        <v>5166</v>
      </c>
      <c r="C840" s="13" t="s">
        <v>173</v>
      </c>
      <c r="D840" s="13" t="s">
        <v>174</v>
      </c>
      <c r="E840" s="13" t="s">
        <v>50</v>
      </c>
      <c r="F840" s="13" t="s">
        <v>51</v>
      </c>
      <c r="G840" s="13" t="s">
        <v>52</v>
      </c>
      <c r="H840" s="13" t="s">
        <v>5167</v>
      </c>
      <c r="I840" s="13" t="s">
        <v>5168</v>
      </c>
      <c r="J840" s="13" t="s">
        <v>5169</v>
      </c>
      <c r="K840" s="13" t="s">
        <v>56</v>
      </c>
      <c r="L840" s="13" t="s">
        <v>57</v>
      </c>
      <c r="M840" s="13" t="n">
        <v>151.4</v>
      </c>
      <c r="N840" s="13" t="n">
        <v>0.63</v>
      </c>
      <c r="O840" s="13" t="n">
        <v>34</v>
      </c>
      <c r="P840" s="13" t="s">
        <v>58</v>
      </c>
      <c r="Q840" s="13" t="s">
        <v>5170</v>
      </c>
      <c r="R840" s="13" t="s">
        <v>1707</v>
      </c>
      <c r="S840" s="13" t="s">
        <v>1707</v>
      </c>
      <c r="T840" s="13" t="s">
        <v>61</v>
      </c>
      <c r="U840" s="13"/>
    </row>
    <row r="841" customFormat="false" ht="18" hidden="false" customHeight="true" outlineLevel="0" collapsed="false">
      <c r="A841" s="13" t="n">
        <v>840</v>
      </c>
      <c r="B841" s="13" t="s">
        <v>5171</v>
      </c>
      <c r="C841" s="13" t="s">
        <v>77</v>
      </c>
      <c r="D841" s="13" t="s">
        <v>78</v>
      </c>
      <c r="E841" s="13" t="s">
        <v>91</v>
      </c>
      <c r="F841" s="13" t="s">
        <v>587</v>
      </c>
      <c r="G841" s="13" t="s">
        <v>93</v>
      </c>
      <c r="H841" s="13" t="s">
        <v>5172</v>
      </c>
      <c r="I841" s="13" t="s">
        <v>5173</v>
      </c>
      <c r="J841" s="13" t="s">
        <v>5174</v>
      </c>
      <c r="K841" s="13" t="s">
        <v>5175</v>
      </c>
      <c r="L841" s="13" t="s">
        <v>1783</v>
      </c>
      <c r="M841" s="13" t="n">
        <v>2034.59</v>
      </c>
      <c r="N841" s="13" t="n">
        <v>20.76</v>
      </c>
      <c r="O841" s="13" t="n">
        <v>341</v>
      </c>
      <c r="P841" s="13" t="s">
        <v>1784</v>
      </c>
      <c r="Q841" s="13" t="s">
        <v>5097</v>
      </c>
      <c r="R841" s="13" t="s">
        <v>253</v>
      </c>
      <c r="S841" s="13" t="s">
        <v>253</v>
      </c>
      <c r="T841" s="13" t="s">
        <v>61</v>
      </c>
      <c r="U841" s="13"/>
    </row>
    <row r="842" customFormat="false" ht="18" hidden="false" customHeight="true" outlineLevel="0" collapsed="false">
      <c r="A842" s="13" t="n">
        <v>841</v>
      </c>
      <c r="B842" s="13" t="s">
        <v>5176</v>
      </c>
      <c r="C842" s="13" t="s">
        <v>159</v>
      </c>
      <c r="D842" s="13" t="s">
        <v>160</v>
      </c>
      <c r="E842" s="13" t="s">
        <v>65</v>
      </c>
      <c r="F842" s="13" t="s">
        <v>115</v>
      </c>
      <c r="G842" s="13" t="s">
        <v>372</v>
      </c>
      <c r="H842" s="13" t="s">
        <v>5177</v>
      </c>
      <c r="I842" s="13" t="s">
        <v>5178</v>
      </c>
      <c r="J842" s="13" t="s">
        <v>5179</v>
      </c>
      <c r="K842" s="13" t="s">
        <v>1257</v>
      </c>
      <c r="L842" s="13" t="s">
        <v>1258</v>
      </c>
      <c r="M842" s="13" t="n">
        <v>72.47</v>
      </c>
      <c r="N842" s="13" t="n">
        <v>0.18</v>
      </c>
      <c r="O842" s="13" t="n">
        <v>328</v>
      </c>
      <c r="P842" s="13" t="s">
        <v>1259</v>
      </c>
      <c r="Q842" s="13" t="s">
        <v>2117</v>
      </c>
      <c r="R842" s="13" t="s">
        <v>3143</v>
      </c>
      <c r="S842" s="13" t="s">
        <v>3143</v>
      </c>
      <c r="T842" s="13" t="s">
        <v>61</v>
      </c>
      <c r="U842" s="13"/>
    </row>
    <row r="843" customFormat="false" ht="18" hidden="false" customHeight="true" outlineLevel="0" collapsed="false">
      <c r="A843" s="13" t="n">
        <v>842</v>
      </c>
      <c r="B843" s="13" t="s">
        <v>5180</v>
      </c>
      <c r="C843" s="13" t="s">
        <v>255</v>
      </c>
      <c r="D843" s="13" t="s">
        <v>256</v>
      </c>
      <c r="E843" s="13" t="s">
        <v>91</v>
      </c>
      <c r="F843" s="13" t="s">
        <v>185</v>
      </c>
      <c r="G843" s="13" t="s">
        <v>420</v>
      </c>
      <c r="H843" s="13" t="s">
        <v>5181</v>
      </c>
      <c r="I843" s="13" t="s">
        <v>5182</v>
      </c>
      <c r="J843" s="13" t="s">
        <v>5183</v>
      </c>
      <c r="K843" s="13" t="s">
        <v>2532</v>
      </c>
      <c r="L843" s="13" t="s">
        <v>1072</v>
      </c>
      <c r="M843" s="13" t="n">
        <v>2867</v>
      </c>
      <c r="N843" s="13" t="n">
        <v>16.15</v>
      </c>
      <c r="O843" s="13" t="n">
        <v>344</v>
      </c>
      <c r="P843" s="13" t="s">
        <v>1073</v>
      </c>
      <c r="Q843" s="13" t="s">
        <v>2142</v>
      </c>
      <c r="R843" s="13" t="s">
        <v>644</v>
      </c>
      <c r="S843" s="13" t="s">
        <v>644</v>
      </c>
      <c r="T843" s="13" t="s">
        <v>61</v>
      </c>
      <c r="U843" s="13"/>
    </row>
    <row r="844" customFormat="false" ht="18" hidden="false" customHeight="true" outlineLevel="0" collapsed="false">
      <c r="A844" s="16" t="n">
        <v>843</v>
      </c>
      <c r="B844" s="16" t="s">
        <v>5184</v>
      </c>
      <c r="C844" s="16" t="s">
        <v>77</v>
      </c>
      <c r="D844" s="16" t="s">
        <v>78</v>
      </c>
      <c r="E844" s="16" t="s">
        <v>161</v>
      </c>
      <c r="F844" s="16" t="s">
        <v>822</v>
      </c>
      <c r="G844" s="16" t="s">
        <v>296</v>
      </c>
      <c r="H844" s="16" t="s">
        <v>5185</v>
      </c>
      <c r="I844" s="16" t="s">
        <v>5186</v>
      </c>
      <c r="J844" s="16" t="s">
        <v>5187</v>
      </c>
      <c r="K844" s="16" t="s">
        <v>5188</v>
      </c>
      <c r="L844" s="16" t="s">
        <v>852</v>
      </c>
      <c r="M844" s="16" t="n">
        <v>72.98</v>
      </c>
      <c r="N844" s="16" t="n">
        <v>0.27</v>
      </c>
      <c r="O844" s="16" t="n">
        <v>0</v>
      </c>
      <c r="P844" s="16" t="s">
        <v>853</v>
      </c>
      <c r="Q844" s="16" t="s">
        <v>863</v>
      </c>
      <c r="R844" s="16" t="s">
        <v>1814</v>
      </c>
      <c r="S844" s="16" t="s">
        <v>3936</v>
      </c>
      <c r="T844" s="16" t="s">
        <v>61</v>
      </c>
      <c r="U844" s="16" t="s">
        <v>325</v>
      </c>
    </row>
    <row r="845" customFormat="false" ht="18" hidden="false" customHeight="true" outlineLevel="0" collapsed="false">
      <c r="A845" s="13" t="n">
        <v>844</v>
      </c>
      <c r="B845" s="13" t="s">
        <v>5189</v>
      </c>
      <c r="C845" s="13" t="s">
        <v>125</v>
      </c>
      <c r="D845" s="13" t="s">
        <v>126</v>
      </c>
      <c r="E845" s="13" t="s">
        <v>161</v>
      </c>
      <c r="F845" s="13" t="s">
        <v>295</v>
      </c>
      <c r="G845" s="13" t="s">
        <v>175</v>
      </c>
      <c r="H845" s="13" t="s">
        <v>5190</v>
      </c>
      <c r="I845" s="13" t="s">
        <v>5191</v>
      </c>
      <c r="J845" s="13" t="s">
        <v>5192</v>
      </c>
      <c r="K845" s="13" t="s">
        <v>5193</v>
      </c>
      <c r="L845" s="13" t="s">
        <v>1842</v>
      </c>
      <c r="M845" s="13" t="n">
        <v>134.98</v>
      </c>
      <c r="N845" s="13" t="n">
        <v>0.33</v>
      </c>
      <c r="O845" s="13" t="n">
        <v>132</v>
      </c>
      <c r="P845" s="13" t="s">
        <v>1843</v>
      </c>
      <c r="Q845" s="13" t="s">
        <v>1545</v>
      </c>
      <c r="R845" s="13" t="s">
        <v>627</v>
      </c>
      <c r="S845" s="13" t="s">
        <v>627</v>
      </c>
      <c r="T845" s="13" t="s">
        <v>61</v>
      </c>
      <c r="U845" s="13"/>
    </row>
    <row r="846" customFormat="false" ht="18" hidden="false" customHeight="true" outlineLevel="0" collapsed="false">
      <c r="A846" s="13" t="n">
        <v>845</v>
      </c>
      <c r="B846" s="13" t="s">
        <v>5194</v>
      </c>
      <c r="C846" s="13" t="s">
        <v>77</v>
      </c>
      <c r="D846" s="13" t="s">
        <v>78</v>
      </c>
      <c r="E846" s="13" t="s">
        <v>50</v>
      </c>
      <c r="F846" s="13" t="s">
        <v>138</v>
      </c>
      <c r="G846" s="13" t="s">
        <v>808</v>
      </c>
      <c r="H846" s="13" t="s">
        <v>5195</v>
      </c>
      <c r="I846" s="13" t="s">
        <v>5196</v>
      </c>
      <c r="J846" s="13" t="s">
        <v>5197</v>
      </c>
      <c r="K846" s="13" t="s">
        <v>3269</v>
      </c>
      <c r="L846" s="13" t="s">
        <v>813</v>
      </c>
      <c r="M846" s="13" t="n">
        <v>894.73</v>
      </c>
      <c r="N846" s="13" t="n">
        <v>0.62</v>
      </c>
      <c r="O846" s="13" t="n">
        <v>137</v>
      </c>
      <c r="P846" s="13" t="s">
        <v>814</v>
      </c>
      <c r="Q846" s="13" t="s">
        <v>5198</v>
      </c>
      <c r="R846" s="13" t="s">
        <v>3553</v>
      </c>
      <c r="S846" s="13" t="s">
        <v>3553</v>
      </c>
      <c r="T846" s="13" t="s">
        <v>61</v>
      </c>
      <c r="U846" s="13"/>
    </row>
    <row r="847" customFormat="false" ht="18" hidden="false" customHeight="true" outlineLevel="0" collapsed="false">
      <c r="A847" s="16" t="n">
        <v>846</v>
      </c>
      <c r="B847" s="16" t="s">
        <v>5199</v>
      </c>
      <c r="C847" s="16" t="s">
        <v>173</v>
      </c>
      <c r="D847" s="16" t="s">
        <v>174</v>
      </c>
      <c r="E847" s="16" t="s">
        <v>79</v>
      </c>
      <c r="F847" s="16" t="s">
        <v>1531</v>
      </c>
      <c r="G847" s="16" t="s">
        <v>562</v>
      </c>
      <c r="H847" s="16" t="s">
        <v>5200</v>
      </c>
      <c r="I847" s="16" t="s">
        <v>5201</v>
      </c>
      <c r="J847" s="16" t="s">
        <v>5202</v>
      </c>
      <c r="K847" s="16" t="s">
        <v>5203</v>
      </c>
      <c r="L847" s="16" t="s">
        <v>3280</v>
      </c>
      <c r="M847" s="16" t="n">
        <v>1126.36</v>
      </c>
      <c r="N847" s="16" t="n">
        <v>1.91</v>
      </c>
      <c r="O847" s="16" t="n">
        <v>0</v>
      </c>
      <c r="P847" s="16" t="s">
        <v>3281</v>
      </c>
      <c r="Q847" s="16" t="s">
        <v>2669</v>
      </c>
      <c r="R847" s="16" t="s">
        <v>2300</v>
      </c>
      <c r="S847" s="16" t="s">
        <v>5204</v>
      </c>
      <c r="T847" s="16" t="s">
        <v>61</v>
      </c>
      <c r="U847" s="16" t="s">
        <v>325</v>
      </c>
    </row>
    <row r="848" customFormat="false" ht="18" hidden="false" customHeight="true" outlineLevel="0" collapsed="false">
      <c r="A848" s="13" t="n">
        <v>847</v>
      </c>
      <c r="B848" s="13" t="s">
        <v>5205</v>
      </c>
      <c r="C848" s="13" t="s">
        <v>63</v>
      </c>
      <c r="D848" s="13" t="s">
        <v>64</v>
      </c>
      <c r="E848" s="13" t="s">
        <v>65</v>
      </c>
      <c r="F848" s="13" t="s">
        <v>390</v>
      </c>
      <c r="G848" s="13" t="s">
        <v>391</v>
      </c>
      <c r="H848" s="13" t="s">
        <v>5206</v>
      </c>
      <c r="I848" s="13" t="s">
        <v>5207</v>
      </c>
      <c r="J848" s="13" t="s">
        <v>5208</v>
      </c>
      <c r="K848" s="13" t="s">
        <v>395</v>
      </c>
      <c r="L848" s="13" t="s">
        <v>396</v>
      </c>
      <c r="M848" s="13" t="n">
        <v>209.27</v>
      </c>
      <c r="N848" s="13" t="n">
        <v>0.92</v>
      </c>
      <c r="O848" s="13" t="n">
        <v>85</v>
      </c>
      <c r="P848" s="13" t="s">
        <v>397</v>
      </c>
      <c r="Q848" s="13" t="s">
        <v>281</v>
      </c>
      <c r="R848" s="13" t="s">
        <v>407</v>
      </c>
      <c r="S848" s="13" t="s">
        <v>407</v>
      </c>
      <c r="T848" s="13" t="s">
        <v>61</v>
      </c>
      <c r="U848" s="13"/>
    </row>
    <row r="849" customFormat="false" ht="18" hidden="false" customHeight="true" outlineLevel="0" collapsed="false">
      <c r="A849" s="13" t="n">
        <v>848</v>
      </c>
      <c r="B849" s="13" t="s">
        <v>5209</v>
      </c>
      <c r="C849" s="13" t="s">
        <v>125</v>
      </c>
      <c r="D849" s="13" t="s">
        <v>126</v>
      </c>
      <c r="E849" s="13" t="s">
        <v>91</v>
      </c>
      <c r="F849" s="13" t="s">
        <v>587</v>
      </c>
      <c r="G849" s="13" t="s">
        <v>186</v>
      </c>
      <c r="H849" s="13" t="s">
        <v>5210</v>
      </c>
      <c r="I849" s="13" t="s">
        <v>5211</v>
      </c>
      <c r="J849" s="13" t="s">
        <v>5212</v>
      </c>
      <c r="K849" s="13" t="s">
        <v>1713</v>
      </c>
      <c r="L849" s="13" t="s">
        <v>1714</v>
      </c>
      <c r="M849" s="13" t="n">
        <v>2529.24</v>
      </c>
      <c r="N849" s="13" t="n">
        <v>24.79</v>
      </c>
      <c r="O849" s="13" t="n">
        <v>164</v>
      </c>
      <c r="P849" s="13" t="s">
        <v>1715</v>
      </c>
      <c r="Q849" s="13" t="s">
        <v>2075</v>
      </c>
      <c r="R849" s="13" t="s">
        <v>183</v>
      </c>
      <c r="S849" s="13" t="s">
        <v>183</v>
      </c>
      <c r="T849" s="13" t="s">
        <v>61</v>
      </c>
      <c r="U849" s="13"/>
    </row>
    <row r="850" customFormat="false" ht="18" hidden="false" customHeight="true" outlineLevel="0" collapsed="false">
      <c r="A850" s="13" t="n">
        <v>849</v>
      </c>
      <c r="B850" s="13" t="s">
        <v>5213</v>
      </c>
      <c r="C850" s="13" t="s">
        <v>48</v>
      </c>
      <c r="D850" s="13" t="s">
        <v>49</v>
      </c>
      <c r="E850" s="13" t="s">
        <v>91</v>
      </c>
      <c r="F850" s="13" t="s">
        <v>92</v>
      </c>
      <c r="G850" s="13" t="s">
        <v>420</v>
      </c>
      <c r="H850" s="13" t="s">
        <v>5214</v>
      </c>
      <c r="I850" s="13" t="s">
        <v>5215</v>
      </c>
      <c r="J850" s="13" t="s">
        <v>5216</v>
      </c>
      <c r="K850" s="13" t="s">
        <v>5217</v>
      </c>
      <c r="L850" s="13" t="s">
        <v>1228</v>
      </c>
      <c r="M850" s="13" t="n">
        <v>2756.64</v>
      </c>
      <c r="N850" s="13" t="n">
        <v>10.88</v>
      </c>
      <c r="O850" s="13" t="n">
        <v>126</v>
      </c>
      <c r="P850" s="13" t="s">
        <v>1229</v>
      </c>
      <c r="Q850" s="13" t="s">
        <v>1785</v>
      </c>
      <c r="R850" s="13" t="s">
        <v>4129</v>
      </c>
      <c r="S850" s="13" t="s">
        <v>4129</v>
      </c>
      <c r="T850" s="13" t="s">
        <v>61</v>
      </c>
      <c r="U850" s="13"/>
    </row>
    <row r="851" customFormat="false" ht="18" hidden="false" customHeight="true" outlineLevel="0" collapsed="false">
      <c r="A851" s="13" t="n">
        <v>850</v>
      </c>
      <c r="B851" s="13" t="s">
        <v>5218</v>
      </c>
      <c r="C851" s="13" t="s">
        <v>125</v>
      </c>
      <c r="D851" s="13" t="s">
        <v>126</v>
      </c>
      <c r="E851" s="13" t="s">
        <v>50</v>
      </c>
      <c r="F851" s="13" t="s">
        <v>138</v>
      </c>
      <c r="G851" s="13" t="s">
        <v>52</v>
      </c>
      <c r="H851" s="13" t="s">
        <v>5219</v>
      </c>
      <c r="I851" s="13" t="s">
        <v>5220</v>
      </c>
      <c r="J851" s="13" t="s">
        <v>5221</v>
      </c>
      <c r="K851" s="13" t="s">
        <v>5222</v>
      </c>
      <c r="L851" s="13" t="s">
        <v>878</v>
      </c>
      <c r="M851" s="13" t="n">
        <v>829.13</v>
      </c>
      <c r="N851" s="13" t="n">
        <v>0.45</v>
      </c>
      <c r="O851" s="13" t="n">
        <v>179</v>
      </c>
      <c r="P851" s="13" t="s">
        <v>879</v>
      </c>
      <c r="Q851" s="13" t="s">
        <v>5223</v>
      </c>
      <c r="R851" s="13" t="s">
        <v>5224</v>
      </c>
      <c r="S851" s="13" t="s">
        <v>5224</v>
      </c>
      <c r="T851" s="13" t="s">
        <v>61</v>
      </c>
      <c r="U851" s="13"/>
    </row>
    <row r="852" customFormat="false" ht="18" hidden="false" customHeight="true" outlineLevel="0" collapsed="false">
      <c r="A852" s="13" t="n">
        <v>851</v>
      </c>
      <c r="B852" s="13" t="s">
        <v>5225</v>
      </c>
      <c r="C852" s="13" t="s">
        <v>48</v>
      </c>
      <c r="D852" s="13" t="s">
        <v>49</v>
      </c>
      <c r="E852" s="13" t="s">
        <v>65</v>
      </c>
      <c r="F852" s="13" t="s">
        <v>438</v>
      </c>
      <c r="G852" s="13" t="s">
        <v>274</v>
      </c>
      <c r="H852" s="13" t="s">
        <v>5226</v>
      </c>
      <c r="I852" s="13" t="s">
        <v>5227</v>
      </c>
      <c r="J852" s="13" t="s">
        <v>5228</v>
      </c>
      <c r="K852" s="13" t="s">
        <v>442</v>
      </c>
      <c r="L852" s="13" t="s">
        <v>443</v>
      </c>
      <c r="M852" s="13" t="n">
        <v>149.06</v>
      </c>
      <c r="N852" s="13" t="n">
        <v>0.18</v>
      </c>
      <c r="O852" s="13" t="n">
        <v>102</v>
      </c>
      <c r="P852" s="13" t="s">
        <v>444</v>
      </c>
      <c r="Q852" s="13" t="s">
        <v>2117</v>
      </c>
      <c r="R852" s="13" t="s">
        <v>2241</v>
      </c>
      <c r="S852" s="13" t="s">
        <v>2241</v>
      </c>
      <c r="T852" s="13" t="s">
        <v>61</v>
      </c>
      <c r="U852" s="13"/>
    </row>
    <row r="853" customFormat="false" ht="18" hidden="false" customHeight="true" outlineLevel="0" collapsed="false">
      <c r="A853" s="13" t="n">
        <v>852</v>
      </c>
      <c r="B853" s="13" t="s">
        <v>5229</v>
      </c>
      <c r="C853" s="13" t="s">
        <v>159</v>
      </c>
      <c r="D853" s="13" t="s">
        <v>160</v>
      </c>
      <c r="E853" s="13" t="s">
        <v>65</v>
      </c>
      <c r="F853" s="13" t="s">
        <v>115</v>
      </c>
      <c r="G853" s="13" t="s">
        <v>103</v>
      </c>
      <c r="H853" s="13" t="s">
        <v>5230</v>
      </c>
      <c r="I853" s="13" t="s">
        <v>5231</v>
      </c>
      <c r="J853" s="13" t="s">
        <v>5232</v>
      </c>
      <c r="K853" s="13" t="s">
        <v>2403</v>
      </c>
      <c r="L853" s="13" t="s">
        <v>2404</v>
      </c>
      <c r="M853" s="13" t="n">
        <v>429.18</v>
      </c>
      <c r="N853" s="13" t="n">
        <v>0.49</v>
      </c>
      <c r="O853" s="13" t="n">
        <v>67</v>
      </c>
      <c r="P853" s="13" t="s">
        <v>5233</v>
      </c>
      <c r="Q853" s="13" t="s">
        <v>2462</v>
      </c>
      <c r="R853" s="13" t="s">
        <v>157</v>
      </c>
      <c r="S853" s="13" t="s">
        <v>157</v>
      </c>
      <c r="T853" s="13" t="s">
        <v>61</v>
      </c>
      <c r="U853" s="13"/>
    </row>
    <row r="854" customFormat="false" ht="18" hidden="false" customHeight="true" outlineLevel="0" collapsed="false">
      <c r="A854" s="13" t="n">
        <v>853</v>
      </c>
      <c r="B854" s="13" t="s">
        <v>3662</v>
      </c>
      <c r="C854" s="13" t="s">
        <v>113</v>
      </c>
      <c r="D854" s="13" t="s">
        <v>114</v>
      </c>
      <c r="E854" s="13" t="s">
        <v>91</v>
      </c>
      <c r="F854" s="13" t="s">
        <v>587</v>
      </c>
      <c r="G854" s="13" t="s">
        <v>93</v>
      </c>
      <c r="H854" s="13" t="s">
        <v>3663</v>
      </c>
      <c r="I854" s="13" t="s">
        <v>3664</v>
      </c>
      <c r="J854" s="13" t="s">
        <v>3665</v>
      </c>
      <c r="K854" s="13" t="s">
        <v>3666</v>
      </c>
      <c r="L854" s="13" t="s">
        <v>1783</v>
      </c>
      <c r="M854" s="13" t="n">
        <v>3830.88</v>
      </c>
      <c r="N854" s="13" t="n">
        <v>31.84</v>
      </c>
      <c r="O854" s="13" t="n">
        <v>387</v>
      </c>
      <c r="P854" s="13" t="s">
        <v>1784</v>
      </c>
      <c r="Q854" s="13" t="s">
        <v>100</v>
      </c>
      <c r="R854" s="13" t="s">
        <v>452</v>
      </c>
      <c r="S854" s="13" t="s">
        <v>452</v>
      </c>
      <c r="T854" s="13" t="s">
        <v>61</v>
      </c>
      <c r="U854" s="13"/>
    </row>
    <row r="855" customFormat="false" ht="18" hidden="false" customHeight="true" outlineLevel="0" collapsed="false">
      <c r="A855" s="13" t="n">
        <v>854</v>
      </c>
      <c r="B855" s="13" t="s">
        <v>5234</v>
      </c>
      <c r="C855" s="13" t="s">
        <v>173</v>
      </c>
      <c r="D855" s="13" t="s">
        <v>174</v>
      </c>
      <c r="E855" s="13" t="s">
        <v>161</v>
      </c>
      <c r="F855" s="13" t="s">
        <v>185</v>
      </c>
      <c r="G855" s="13" t="s">
        <v>285</v>
      </c>
      <c r="H855" s="13" t="s">
        <v>5235</v>
      </c>
      <c r="I855" s="13" t="s">
        <v>5236</v>
      </c>
      <c r="J855" s="13" t="s">
        <v>5237</v>
      </c>
      <c r="K855" s="13" t="s">
        <v>5238</v>
      </c>
      <c r="L855" s="13" t="s">
        <v>5239</v>
      </c>
      <c r="M855" s="13" t="n">
        <v>477.09</v>
      </c>
      <c r="N855" s="13" t="n">
        <v>0.44</v>
      </c>
      <c r="O855" s="13" t="n">
        <v>398</v>
      </c>
      <c r="P855" s="13" t="s">
        <v>5240</v>
      </c>
      <c r="Q855" s="13" t="s">
        <v>5241</v>
      </c>
      <c r="R855" s="13" t="s">
        <v>1125</v>
      </c>
      <c r="S855" s="13" t="s">
        <v>1125</v>
      </c>
      <c r="T855" s="13" t="s">
        <v>61</v>
      </c>
      <c r="U855" s="13"/>
    </row>
    <row r="856" customFormat="false" ht="18" hidden="false" customHeight="true" outlineLevel="0" collapsed="false">
      <c r="A856" s="14" t="n">
        <v>855</v>
      </c>
      <c r="B856" s="14" t="s">
        <v>5242</v>
      </c>
      <c r="C856" s="14" t="s">
        <v>77</v>
      </c>
      <c r="D856" s="14" t="s">
        <v>78</v>
      </c>
      <c r="E856" s="14" t="s">
        <v>161</v>
      </c>
      <c r="F856" s="14" t="s">
        <v>429</v>
      </c>
      <c r="G856" s="14" t="s">
        <v>207</v>
      </c>
      <c r="H856" s="14" t="s">
        <v>5243</v>
      </c>
      <c r="I856" s="14" t="s">
        <v>5244</v>
      </c>
      <c r="J856" s="14" t="s">
        <v>5245</v>
      </c>
      <c r="K856" s="14" t="s">
        <v>5246</v>
      </c>
      <c r="L856" s="14"/>
      <c r="M856" s="14" t="n">
        <v>132.31</v>
      </c>
      <c r="N856" s="14" t="n">
        <v>0.3</v>
      </c>
      <c r="O856" s="14" t="n">
        <v>93</v>
      </c>
      <c r="P856" s="14" t="s">
        <v>435</v>
      </c>
      <c r="Q856" s="14" t="s">
        <v>2556</v>
      </c>
      <c r="R856" s="14" t="s">
        <v>4532</v>
      </c>
      <c r="S856" s="14" t="s">
        <v>4532</v>
      </c>
      <c r="T856" s="14" t="s">
        <v>61</v>
      </c>
      <c r="U856" s="14" t="s">
        <v>1107</v>
      </c>
    </row>
    <row r="857" customFormat="false" ht="18" hidden="false" customHeight="true" outlineLevel="0" collapsed="false">
      <c r="A857" s="13" t="n">
        <v>856</v>
      </c>
      <c r="B857" s="13" t="s">
        <v>5247</v>
      </c>
      <c r="C857" s="13" t="s">
        <v>48</v>
      </c>
      <c r="D857" s="13" t="s">
        <v>49</v>
      </c>
      <c r="E857" s="13" t="s">
        <v>65</v>
      </c>
      <c r="F857" s="13" t="s">
        <v>438</v>
      </c>
      <c r="G857" s="13" t="s">
        <v>274</v>
      </c>
      <c r="H857" s="13" t="s">
        <v>5248</v>
      </c>
      <c r="I857" s="13" t="s">
        <v>5249</v>
      </c>
      <c r="J857" s="13" t="s">
        <v>5250</v>
      </c>
      <c r="K857" s="13" t="s">
        <v>442</v>
      </c>
      <c r="L857" s="13" t="s">
        <v>443</v>
      </c>
      <c r="M857" s="13" t="n">
        <v>145.19</v>
      </c>
      <c r="N857" s="13" t="n">
        <v>0.25</v>
      </c>
      <c r="O857" s="13" t="n">
        <v>12</v>
      </c>
      <c r="P857" s="13" t="s">
        <v>444</v>
      </c>
      <c r="Q857" s="13" t="s">
        <v>3459</v>
      </c>
      <c r="R857" s="13" t="s">
        <v>1936</v>
      </c>
      <c r="S857" s="13" t="s">
        <v>1936</v>
      </c>
      <c r="T857" s="13" t="s">
        <v>61</v>
      </c>
      <c r="U857" s="13"/>
    </row>
    <row r="858" customFormat="false" ht="18" hidden="false" customHeight="true" outlineLevel="0" collapsed="false">
      <c r="A858" s="13" t="n">
        <v>857</v>
      </c>
      <c r="B858" s="13" t="s">
        <v>5251</v>
      </c>
      <c r="C858" s="13" t="s">
        <v>173</v>
      </c>
      <c r="D858" s="13" t="s">
        <v>174</v>
      </c>
      <c r="E858" s="13" t="s">
        <v>65</v>
      </c>
      <c r="F858" s="13" t="s">
        <v>115</v>
      </c>
      <c r="G858" s="13" t="s">
        <v>391</v>
      </c>
      <c r="H858" s="13" t="s">
        <v>5252</v>
      </c>
      <c r="I858" s="13" t="s">
        <v>5253</v>
      </c>
      <c r="J858" s="13" t="s">
        <v>5254</v>
      </c>
      <c r="K858" s="13" t="s">
        <v>2796</v>
      </c>
      <c r="L858" s="13" t="s">
        <v>2797</v>
      </c>
      <c r="M858" s="13" t="n">
        <v>95.66</v>
      </c>
      <c r="N858" s="13" t="n">
        <v>1.38</v>
      </c>
      <c r="O858" s="13" t="n">
        <v>12</v>
      </c>
      <c r="P858" s="13" t="s">
        <v>2798</v>
      </c>
      <c r="Q858" s="13" t="s">
        <v>499</v>
      </c>
      <c r="R858" s="13" t="s">
        <v>2622</v>
      </c>
      <c r="S858" s="13" t="s">
        <v>2622</v>
      </c>
      <c r="T858" s="13" t="s">
        <v>61</v>
      </c>
      <c r="U858" s="13"/>
    </row>
    <row r="859" customFormat="false" ht="18" hidden="false" customHeight="true" outlineLevel="0" collapsed="false">
      <c r="A859" s="16" t="n">
        <v>858</v>
      </c>
      <c r="B859" s="16" t="s">
        <v>5255</v>
      </c>
      <c r="C859" s="16" t="s">
        <v>48</v>
      </c>
      <c r="D859" s="16" t="s">
        <v>49</v>
      </c>
      <c r="E859" s="16" t="s">
        <v>65</v>
      </c>
      <c r="F859" s="16" t="s">
        <v>66</v>
      </c>
      <c r="G859" s="16" t="s">
        <v>149</v>
      </c>
      <c r="H859" s="16" t="s">
        <v>5256</v>
      </c>
      <c r="I859" s="16" t="s">
        <v>5257</v>
      </c>
      <c r="J859" s="16" t="s">
        <v>5258</v>
      </c>
      <c r="K859" s="16" t="s">
        <v>1175</v>
      </c>
      <c r="L859" s="16" t="s">
        <v>1176</v>
      </c>
      <c r="M859" s="16" t="n">
        <v>384.74</v>
      </c>
      <c r="N859" s="16" t="n">
        <v>0.33</v>
      </c>
      <c r="O859" s="16" t="n">
        <v>0</v>
      </c>
      <c r="P859" s="16" t="s">
        <v>1177</v>
      </c>
      <c r="Q859" s="16" t="s">
        <v>4063</v>
      </c>
      <c r="R859" s="16" t="s">
        <v>332</v>
      </c>
      <c r="S859" s="16" t="s">
        <v>2169</v>
      </c>
      <c r="T859" s="16" t="s">
        <v>61</v>
      </c>
      <c r="U859" s="16" t="s">
        <v>325</v>
      </c>
    </row>
    <row r="860" customFormat="false" ht="18" hidden="false" customHeight="true" outlineLevel="0" collapsed="false">
      <c r="A860" s="13" t="n">
        <v>859</v>
      </c>
      <c r="B860" s="13" t="s">
        <v>5259</v>
      </c>
      <c r="C860" s="13" t="s">
        <v>48</v>
      </c>
      <c r="D860" s="13" t="s">
        <v>49</v>
      </c>
      <c r="E860" s="13" t="s">
        <v>91</v>
      </c>
      <c r="F860" s="13" t="s">
        <v>92</v>
      </c>
      <c r="G860" s="13" t="s">
        <v>533</v>
      </c>
      <c r="H860" s="13" t="s">
        <v>5260</v>
      </c>
      <c r="I860" s="13" t="s">
        <v>5261</v>
      </c>
      <c r="J860" s="13" t="s">
        <v>5262</v>
      </c>
      <c r="K860" s="13" t="s">
        <v>5263</v>
      </c>
      <c r="L860" s="13" t="s">
        <v>5264</v>
      </c>
      <c r="M860" s="13" t="n">
        <v>1733.81</v>
      </c>
      <c r="N860" s="13" t="n">
        <v>43.92</v>
      </c>
      <c r="O860" s="13" t="n">
        <v>381</v>
      </c>
      <c r="P860" s="13" t="s">
        <v>5265</v>
      </c>
      <c r="Q860" s="13" t="s">
        <v>4548</v>
      </c>
      <c r="R860" s="13" t="s">
        <v>1417</v>
      </c>
      <c r="S860" s="13" t="s">
        <v>1417</v>
      </c>
      <c r="T860" s="13" t="s">
        <v>61</v>
      </c>
      <c r="U860" s="13"/>
    </row>
    <row r="861" customFormat="false" ht="18" hidden="false" customHeight="true" outlineLevel="0" collapsed="false">
      <c r="A861" s="13" t="n">
        <v>860</v>
      </c>
      <c r="B861" s="13" t="s">
        <v>5266</v>
      </c>
      <c r="C861" s="13" t="s">
        <v>77</v>
      </c>
      <c r="D861" s="13" t="s">
        <v>78</v>
      </c>
      <c r="E861" s="13" t="s">
        <v>161</v>
      </c>
      <c r="F861" s="13" t="s">
        <v>822</v>
      </c>
      <c r="G861" s="13" t="s">
        <v>285</v>
      </c>
      <c r="H861" s="13" t="s">
        <v>5267</v>
      </c>
      <c r="I861" s="13" t="s">
        <v>5268</v>
      </c>
      <c r="J861" s="13" t="s">
        <v>5269</v>
      </c>
      <c r="K861" s="13" t="s">
        <v>1095</v>
      </c>
      <c r="L861" s="13" t="s">
        <v>1096</v>
      </c>
      <c r="M861" s="13" t="n">
        <v>282.23</v>
      </c>
      <c r="N861" s="13" t="n">
        <v>0.23</v>
      </c>
      <c r="O861" s="13" t="n">
        <v>330</v>
      </c>
      <c r="P861" s="13" t="s">
        <v>1097</v>
      </c>
      <c r="Q861" s="13" t="s">
        <v>5270</v>
      </c>
      <c r="R861" s="13" t="s">
        <v>1821</v>
      </c>
      <c r="S861" s="13" t="s">
        <v>1821</v>
      </c>
      <c r="T861" s="13" t="s">
        <v>61</v>
      </c>
      <c r="U861" s="13"/>
    </row>
    <row r="862" customFormat="false" ht="18" hidden="false" customHeight="true" outlineLevel="0" collapsed="false">
      <c r="A862" s="13" t="n">
        <v>861</v>
      </c>
      <c r="B862" s="13" t="s">
        <v>5271</v>
      </c>
      <c r="C862" s="13" t="s">
        <v>125</v>
      </c>
      <c r="D862" s="13" t="s">
        <v>126</v>
      </c>
      <c r="E862" s="13" t="s">
        <v>161</v>
      </c>
      <c r="F862" s="13" t="s">
        <v>185</v>
      </c>
      <c r="G862" s="13" t="s">
        <v>207</v>
      </c>
      <c r="H862" s="13" t="s">
        <v>5272</v>
      </c>
      <c r="I862" s="13" t="s">
        <v>5273</v>
      </c>
      <c r="J862" s="13" t="s">
        <v>5274</v>
      </c>
      <c r="K862" s="13" t="s">
        <v>2194</v>
      </c>
      <c r="L862" s="13" t="s">
        <v>1307</v>
      </c>
      <c r="M862" s="13" t="n">
        <v>47.51</v>
      </c>
      <c r="N862" s="13" t="n">
        <v>0.33</v>
      </c>
      <c r="O862" s="13" t="n">
        <v>332</v>
      </c>
      <c r="P862" s="13" t="s">
        <v>1308</v>
      </c>
      <c r="Q862" s="13" t="s">
        <v>2195</v>
      </c>
      <c r="R862" s="13" t="s">
        <v>2182</v>
      </c>
      <c r="S862" s="13" t="s">
        <v>2182</v>
      </c>
      <c r="T862" s="13" t="s">
        <v>61</v>
      </c>
      <c r="U862" s="13"/>
    </row>
    <row r="863" customFormat="false" ht="18" hidden="false" customHeight="true" outlineLevel="0" collapsed="false">
      <c r="A863" s="16" t="n">
        <v>862</v>
      </c>
      <c r="B863" s="16" t="s">
        <v>5275</v>
      </c>
      <c r="C863" s="16" t="s">
        <v>125</v>
      </c>
      <c r="D863" s="16" t="s">
        <v>126</v>
      </c>
      <c r="E863" s="16" t="s">
        <v>91</v>
      </c>
      <c r="F863" s="16" t="s">
        <v>92</v>
      </c>
      <c r="G863" s="16" t="s">
        <v>186</v>
      </c>
      <c r="H863" s="16" t="s">
        <v>5276</v>
      </c>
      <c r="I863" s="16" t="s">
        <v>5277</v>
      </c>
      <c r="J863" s="16" t="s">
        <v>5278</v>
      </c>
      <c r="K863" s="16" t="s">
        <v>5279</v>
      </c>
      <c r="L863" s="16" t="s">
        <v>2004</v>
      </c>
      <c r="M863" s="16" t="n">
        <v>2037.65</v>
      </c>
      <c r="N863" s="16" t="n">
        <v>47.6</v>
      </c>
      <c r="O863" s="16" t="n">
        <v>0</v>
      </c>
      <c r="P863" s="16" t="s">
        <v>2005</v>
      </c>
      <c r="Q863" s="16" t="s">
        <v>4284</v>
      </c>
      <c r="R863" s="16" t="s">
        <v>3166</v>
      </c>
      <c r="S863" s="16" t="s">
        <v>5280</v>
      </c>
      <c r="T863" s="16" t="s">
        <v>61</v>
      </c>
      <c r="U863" s="16" t="s">
        <v>325</v>
      </c>
    </row>
    <row r="864" customFormat="false" ht="18" hidden="false" customHeight="true" outlineLevel="0" collapsed="false">
      <c r="A864" s="13" t="n">
        <v>863</v>
      </c>
      <c r="B864" s="13" t="s">
        <v>5281</v>
      </c>
      <c r="C864" s="13" t="s">
        <v>159</v>
      </c>
      <c r="D864" s="13" t="s">
        <v>160</v>
      </c>
      <c r="E864" s="13" t="s">
        <v>161</v>
      </c>
      <c r="F864" s="13" t="s">
        <v>429</v>
      </c>
      <c r="G864" s="13" t="s">
        <v>207</v>
      </c>
      <c r="H864" s="13" t="s">
        <v>5282</v>
      </c>
      <c r="I864" s="13" t="s">
        <v>5283</v>
      </c>
      <c r="J864" s="13" t="s">
        <v>5284</v>
      </c>
      <c r="K864" s="13" t="s">
        <v>5285</v>
      </c>
      <c r="L864" s="13" t="s">
        <v>434</v>
      </c>
      <c r="M864" s="13" t="n">
        <v>271.27</v>
      </c>
      <c r="N864" s="13" t="n">
        <v>0.33</v>
      </c>
      <c r="O864" s="13" t="n">
        <v>253</v>
      </c>
      <c r="P864" s="13" t="s">
        <v>435</v>
      </c>
      <c r="Q864" s="13" t="s">
        <v>1098</v>
      </c>
      <c r="R864" s="13" t="s">
        <v>3546</v>
      </c>
      <c r="S864" s="13" t="s">
        <v>3546</v>
      </c>
      <c r="T864" s="13" t="s">
        <v>61</v>
      </c>
      <c r="U864" s="13"/>
    </row>
    <row r="865" customFormat="false" ht="18" hidden="false" customHeight="true" outlineLevel="0" collapsed="false">
      <c r="A865" s="13" t="n">
        <v>864</v>
      </c>
      <c r="B865" s="13" t="s">
        <v>5286</v>
      </c>
      <c r="C865" s="13" t="s">
        <v>63</v>
      </c>
      <c r="D865" s="13" t="s">
        <v>64</v>
      </c>
      <c r="E865" s="13" t="s">
        <v>65</v>
      </c>
      <c r="F865" s="13" t="s">
        <v>115</v>
      </c>
      <c r="G865" s="13" t="s">
        <v>274</v>
      </c>
      <c r="H865" s="13" t="s">
        <v>5287</v>
      </c>
      <c r="I865" s="13" t="s">
        <v>5288</v>
      </c>
      <c r="J865" s="13" t="s">
        <v>5289</v>
      </c>
      <c r="K865" s="13" t="s">
        <v>496</v>
      </c>
      <c r="L865" s="13" t="s">
        <v>497</v>
      </c>
      <c r="M865" s="13" t="n">
        <v>359.95</v>
      </c>
      <c r="N865" s="13" t="n">
        <v>0.38</v>
      </c>
      <c r="O865" s="13" t="n">
        <v>381</v>
      </c>
      <c r="P865" s="13" t="s">
        <v>498</v>
      </c>
      <c r="Q865" s="13" t="s">
        <v>156</v>
      </c>
      <c r="R865" s="13" t="s">
        <v>1821</v>
      </c>
      <c r="S865" s="13" t="s">
        <v>1821</v>
      </c>
      <c r="T865" s="13" t="s">
        <v>61</v>
      </c>
      <c r="U865" s="13"/>
    </row>
    <row r="866" customFormat="false" ht="18" hidden="false" customHeight="true" outlineLevel="0" collapsed="false">
      <c r="A866" s="13" t="n">
        <v>865</v>
      </c>
      <c r="B866" s="13" t="s">
        <v>5290</v>
      </c>
      <c r="C866" s="13" t="s">
        <v>255</v>
      </c>
      <c r="D866" s="13" t="s">
        <v>256</v>
      </c>
      <c r="E866" s="13" t="s">
        <v>91</v>
      </c>
      <c r="F866" s="13" t="s">
        <v>419</v>
      </c>
      <c r="G866" s="13" t="s">
        <v>420</v>
      </c>
      <c r="H866" s="13" t="s">
        <v>5291</v>
      </c>
      <c r="I866" s="13" t="s">
        <v>5292</v>
      </c>
      <c r="J866" s="13" t="s">
        <v>5293</v>
      </c>
      <c r="K866" s="13" t="s">
        <v>5294</v>
      </c>
      <c r="L866" s="13" t="s">
        <v>425</v>
      </c>
      <c r="M866" s="13" t="n">
        <v>3989.46</v>
      </c>
      <c r="N866" s="13" t="n">
        <v>37.48</v>
      </c>
      <c r="O866" s="13" t="n">
        <v>68</v>
      </c>
      <c r="P866" s="13" t="s">
        <v>426</v>
      </c>
      <c r="Q866" s="13" t="s">
        <v>4147</v>
      </c>
      <c r="R866" s="13" t="s">
        <v>4137</v>
      </c>
      <c r="S866" s="13" t="s">
        <v>4137</v>
      </c>
      <c r="T866" s="13" t="s">
        <v>61</v>
      </c>
      <c r="U866" s="13"/>
    </row>
    <row r="867" customFormat="false" ht="18" hidden="false" customHeight="true" outlineLevel="0" collapsed="false">
      <c r="A867" s="13" t="n">
        <v>866</v>
      </c>
      <c r="B867" s="13" t="s">
        <v>5295</v>
      </c>
      <c r="C867" s="13" t="s">
        <v>159</v>
      </c>
      <c r="D867" s="13" t="s">
        <v>160</v>
      </c>
      <c r="E867" s="13" t="s">
        <v>50</v>
      </c>
      <c r="F867" s="13" t="s">
        <v>138</v>
      </c>
      <c r="G867" s="13" t="s">
        <v>52</v>
      </c>
      <c r="H867" s="13" t="s">
        <v>5296</v>
      </c>
      <c r="I867" s="13" t="s">
        <v>5297</v>
      </c>
      <c r="J867" s="13" t="s">
        <v>5298</v>
      </c>
      <c r="K867" s="13" t="s">
        <v>5299</v>
      </c>
      <c r="L867" s="13" t="s">
        <v>878</v>
      </c>
      <c r="M867" s="13" t="n">
        <v>540.76</v>
      </c>
      <c r="N867" s="13" t="n">
        <v>0.35</v>
      </c>
      <c r="O867" s="13" t="n">
        <v>433</v>
      </c>
      <c r="P867" s="13" t="s">
        <v>879</v>
      </c>
      <c r="Q867" s="13" t="s">
        <v>1194</v>
      </c>
      <c r="R867" s="13" t="s">
        <v>1157</v>
      </c>
      <c r="S867" s="13" t="s">
        <v>1157</v>
      </c>
      <c r="T867" s="13" t="s">
        <v>61</v>
      </c>
      <c r="U867" s="13"/>
    </row>
    <row r="868" customFormat="false" ht="18" hidden="false" customHeight="true" outlineLevel="0" collapsed="false">
      <c r="A868" s="14" t="n">
        <v>867</v>
      </c>
      <c r="B868" s="14" t="s">
        <v>5300</v>
      </c>
      <c r="C868" s="14" t="s">
        <v>113</v>
      </c>
      <c r="D868" s="14" t="s">
        <v>114</v>
      </c>
      <c r="E868" s="14" t="s">
        <v>50</v>
      </c>
      <c r="F868" s="14" t="s">
        <v>51</v>
      </c>
      <c r="G868" s="14" t="s">
        <v>689</v>
      </c>
      <c r="H868" s="14" t="s">
        <v>5301</v>
      </c>
      <c r="I868" s="14" t="s">
        <v>5302</v>
      </c>
      <c r="J868" s="14" t="s">
        <v>5303</v>
      </c>
      <c r="K868" s="14" t="s">
        <v>5304</v>
      </c>
      <c r="L868" s="14" t="s">
        <v>803</v>
      </c>
      <c r="M868" s="14" t="n">
        <v>1035.47</v>
      </c>
      <c r="N868" s="14" t="n">
        <v>0.72</v>
      </c>
      <c r="O868" s="14" t="n">
        <v>270</v>
      </c>
      <c r="P868" s="14"/>
      <c r="Q868" s="14" t="s">
        <v>5305</v>
      </c>
      <c r="R868" s="14" t="s">
        <v>872</v>
      </c>
      <c r="S868" s="14" t="s">
        <v>872</v>
      </c>
      <c r="T868" s="14" t="s">
        <v>61</v>
      </c>
      <c r="U868" s="14" t="s">
        <v>1014</v>
      </c>
    </row>
    <row r="869" customFormat="false" ht="18" hidden="false" customHeight="true" outlineLevel="0" collapsed="false">
      <c r="A869" s="13" t="n">
        <v>868</v>
      </c>
      <c r="B869" s="13" t="s">
        <v>5306</v>
      </c>
      <c r="C869" s="13" t="s">
        <v>48</v>
      </c>
      <c r="D869" s="13" t="s">
        <v>49</v>
      </c>
      <c r="E869" s="13" t="s">
        <v>50</v>
      </c>
      <c r="F869" s="13" t="s">
        <v>115</v>
      </c>
      <c r="G869" s="13" t="s">
        <v>689</v>
      </c>
      <c r="H869" s="13" t="s">
        <v>5307</v>
      </c>
      <c r="I869" s="13" t="s">
        <v>5308</v>
      </c>
      <c r="J869" s="13" t="s">
        <v>5309</v>
      </c>
      <c r="K869" s="13" t="s">
        <v>5310</v>
      </c>
      <c r="L869" s="13" t="s">
        <v>694</v>
      </c>
      <c r="M869" s="13" t="n">
        <v>985.02</v>
      </c>
      <c r="N869" s="13" t="n">
        <v>0.64</v>
      </c>
      <c r="O869" s="13" t="n">
        <v>31</v>
      </c>
      <c r="P869" s="13" t="s">
        <v>695</v>
      </c>
      <c r="Q869" s="13" t="s">
        <v>224</v>
      </c>
      <c r="R869" s="13" t="s">
        <v>522</v>
      </c>
      <c r="S869" s="13" t="s">
        <v>522</v>
      </c>
      <c r="T869" s="13" t="s">
        <v>61</v>
      </c>
      <c r="U869" s="13"/>
    </row>
    <row r="870" customFormat="false" ht="18" hidden="false" customHeight="true" outlineLevel="0" collapsed="false">
      <c r="A870" s="13" t="n">
        <v>869</v>
      </c>
      <c r="B870" s="13" t="s">
        <v>5311</v>
      </c>
      <c r="C870" s="13" t="s">
        <v>113</v>
      </c>
      <c r="D870" s="13" t="s">
        <v>114</v>
      </c>
      <c r="E870" s="13" t="s">
        <v>79</v>
      </c>
      <c r="F870" s="13" t="s">
        <v>51</v>
      </c>
      <c r="G870" s="13" t="s">
        <v>514</v>
      </c>
      <c r="H870" s="13" t="s">
        <v>5312</v>
      </c>
      <c r="I870" s="13" t="s">
        <v>5313</v>
      </c>
      <c r="J870" s="13" t="s">
        <v>5314</v>
      </c>
      <c r="K870" s="13" t="s">
        <v>5315</v>
      </c>
      <c r="L870" s="13" t="s">
        <v>1088</v>
      </c>
      <c r="M870" s="13" t="n">
        <v>1965.83</v>
      </c>
      <c r="N870" s="13" t="n">
        <v>2.43</v>
      </c>
      <c r="O870" s="13" t="n">
        <v>295</v>
      </c>
      <c r="P870" s="13" t="s">
        <v>1089</v>
      </c>
      <c r="Q870" s="13" t="s">
        <v>5316</v>
      </c>
      <c r="R870" s="13" t="s">
        <v>1260</v>
      </c>
      <c r="S870" s="13" t="s">
        <v>1260</v>
      </c>
      <c r="T870" s="13" t="s">
        <v>61</v>
      </c>
      <c r="U870" s="13"/>
    </row>
    <row r="871" customFormat="false" ht="18" hidden="false" customHeight="true" outlineLevel="0" collapsed="false">
      <c r="A871" s="13" t="n">
        <v>870</v>
      </c>
      <c r="B871" s="13" t="s">
        <v>5317</v>
      </c>
      <c r="C871" s="13" t="s">
        <v>255</v>
      </c>
      <c r="D871" s="13" t="s">
        <v>256</v>
      </c>
      <c r="E871" s="13" t="s">
        <v>79</v>
      </c>
      <c r="F871" s="13" t="s">
        <v>51</v>
      </c>
      <c r="G871" s="13" t="s">
        <v>562</v>
      </c>
      <c r="H871" s="13" t="s">
        <v>5318</v>
      </c>
      <c r="I871" s="13" t="s">
        <v>5319</v>
      </c>
      <c r="J871" s="13" t="s">
        <v>5320</v>
      </c>
      <c r="K871" s="13" t="s">
        <v>5321</v>
      </c>
      <c r="L871" s="13" t="s">
        <v>2754</v>
      </c>
      <c r="M871" s="13" t="n">
        <v>1280.34</v>
      </c>
      <c r="N871" s="13" t="n">
        <v>1.45</v>
      </c>
      <c r="O871" s="13" t="n">
        <v>403</v>
      </c>
      <c r="P871" s="13" t="s">
        <v>2755</v>
      </c>
      <c r="Q871" s="13" t="s">
        <v>5322</v>
      </c>
      <c r="R871" s="13" t="s">
        <v>2757</v>
      </c>
      <c r="S871" s="13" t="s">
        <v>2757</v>
      </c>
      <c r="T871" s="13" t="s">
        <v>61</v>
      </c>
      <c r="U871" s="13"/>
    </row>
    <row r="872" customFormat="false" ht="18" hidden="false" customHeight="true" outlineLevel="0" collapsed="false">
      <c r="A872" s="13" t="n">
        <v>871</v>
      </c>
      <c r="B872" s="13" t="s">
        <v>5323</v>
      </c>
      <c r="C872" s="13" t="s">
        <v>48</v>
      </c>
      <c r="D872" s="13" t="s">
        <v>49</v>
      </c>
      <c r="E872" s="13" t="s">
        <v>91</v>
      </c>
      <c r="F872" s="13" t="s">
        <v>780</v>
      </c>
      <c r="G872" s="13" t="s">
        <v>420</v>
      </c>
      <c r="H872" s="13" t="s">
        <v>5324</v>
      </c>
      <c r="I872" s="13" t="s">
        <v>5325</v>
      </c>
      <c r="J872" s="13" t="s">
        <v>5326</v>
      </c>
      <c r="K872" s="13" t="s">
        <v>3520</v>
      </c>
      <c r="L872" s="13" t="s">
        <v>3509</v>
      </c>
      <c r="M872" s="13" t="n">
        <v>943.05</v>
      </c>
      <c r="N872" s="13" t="n">
        <v>47.94</v>
      </c>
      <c r="O872" s="13" t="n">
        <v>318</v>
      </c>
      <c r="P872" s="13" t="s">
        <v>3510</v>
      </c>
      <c r="Q872" s="13" t="s">
        <v>2997</v>
      </c>
      <c r="R872" s="13" t="s">
        <v>1352</v>
      </c>
      <c r="S872" s="13" t="s">
        <v>1352</v>
      </c>
      <c r="T872" s="13" t="s">
        <v>61</v>
      </c>
      <c r="U872" s="13"/>
    </row>
    <row r="873" customFormat="false" ht="18" hidden="false" customHeight="true" outlineLevel="0" collapsed="false">
      <c r="A873" s="13" t="n">
        <v>872</v>
      </c>
      <c r="B873" s="13" t="s">
        <v>5327</v>
      </c>
      <c r="C873" s="13" t="s">
        <v>173</v>
      </c>
      <c r="D873" s="13" t="s">
        <v>174</v>
      </c>
      <c r="E873" s="13" t="s">
        <v>91</v>
      </c>
      <c r="F873" s="13" t="s">
        <v>185</v>
      </c>
      <c r="G873" s="13" t="s">
        <v>533</v>
      </c>
      <c r="H873" s="13" t="s">
        <v>5328</v>
      </c>
      <c r="I873" s="13" t="s">
        <v>5329</v>
      </c>
      <c r="J873" s="13" t="s">
        <v>5330</v>
      </c>
      <c r="K873" s="13" t="s">
        <v>5331</v>
      </c>
      <c r="L873" s="13" t="s">
        <v>1617</v>
      </c>
      <c r="M873" s="13" t="n">
        <v>2876.67</v>
      </c>
      <c r="N873" s="13" t="n">
        <v>24.38</v>
      </c>
      <c r="O873" s="13" t="n">
        <v>437</v>
      </c>
      <c r="P873" s="13" t="s">
        <v>1618</v>
      </c>
      <c r="Q873" s="13" t="s">
        <v>3835</v>
      </c>
      <c r="R873" s="13" t="s">
        <v>1366</v>
      </c>
      <c r="S873" s="13" t="s">
        <v>1366</v>
      </c>
      <c r="T873" s="13" t="s">
        <v>61</v>
      </c>
      <c r="U873" s="13"/>
    </row>
    <row r="874" customFormat="false" ht="18" hidden="false" customHeight="true" outlineLevel="0" collapsed="false">
      <c r="A874" s="15" t="n">
        <v>873</v>
      </c>
      <c r="B874" s="15" t="s">
        <v>5332</v>
      </c>
      <c r="C874" s="15" t="s">
        <v>63</v>
      </c>
      <c r="D874" s="15" t="s">
        <v>64</v>
      </c>
      <c r="E874" s="15" t="s">
        <v>50</v>
      </c>
      <c r="F874" s="15" t="s">
        <v>115</v>
      </c>
      <c r="G874" s="15" t="s">
        <v>689</v>
      </c>
      <c r="H874" s="15" t="s">
        <v>5333</v>
      </c>
      <c r="I874" s="15" t="s">
        <v>5334</v>
      </c>
      <c r="J874" s="15" t="s">
        <v>5335</v>
      </c>
      <c r="K874" s="15" t="s">
        <v>5336</v>
      </c>
      <c r="L874" s="15" t="s">
        <v>694</v>
      </c>
      <c r="M874" s="15" t="n">
        <v>9213.72</v>
      </c>
      <c r="N874" s="15" t="n">
        <v>0.37</v>
      </c>
      <c r="O874" s="15" t="n">
        <v>424</v>
      </c>
      <c r="P874" s="15" t="s">
        <v>695</v>
      </c>
      <c r="Q874" s="15" t="s">
        <v>5337</v>
      </c>
      <c r="R874" s="15" t="s">
        <v>627</v>
      </c>
      <c r="S874" s="15" t="s">
        <v>627</v>
      </c>
      <c r="T874" s="15" t="s">
        <v>61</v>
      </c>
      <c r="U874" s="15" t="s">
        <v>343</v>
      </c>
    </row>
    <row r="875" customFormat="false" ht="18" hidden="false" customHeight="true" outlineLevel="0" collapsed="false">
      <c r="A875" s="13" t="n">
        <v>874</v>
      </c>
      <c r="B875" s="13" t="s">
        <v>5338</v>
      </c>
      <c r="C875" s="13" t="s">
        <v>77</v>
      </c>
      <c r="D875" s="13" t="s">
        <v>78</v>
      </c>
      <c r="E875" s="13" t="s">
        <v>50</v>
      </c>
      <c r="F875" s="13" t="s">
        <v>115</v>
      </c>
      <c r="G875" s="13" t="s">
        <v>808</v>
      </c>
      <c r="H875" s="13" t="s">
        <v>5339</v>
      </c>
      <c r="I875" s="13" t="s">
        <v>5340</v>
      </c>
      <c r="J875" s="13" t="s">
        <v>5341</v>
      </c>
      <c r="K875" s="13" t="s">
        <v>5342</v>
      </c>
      <c r="L875" s="13" t="s">
        <v>2339</v>
      </c>
      <c r="M875" s="13" t="n">
        <v>729.48</v>
      </c>
      <c r="N875" s="13" t="n">
        <v>0.58</v>
      </c>
      <c r="O875" s="13" t="n">
        <v>230</v>
      </c>
      <c r="P875" s="13" t="s">
        <v>2340</v>
      </c>
      <c r="Q875" s="13" t="s">
        <v>388</v>
      </c>
      <c r="R875" s="13" t="s">
        <v>5343</v>
      </c>
      <c r="S875" s="13" t="s">
        <v>5343</v>
      </c>
      <c r="T875" s="13" t="s">
        <v>61</v>
      </c>
      <c r="U875" s="13"/>
    </row>
    <row r="876" customFormat="false" ht="18" hidden="false" customHeight="true" outlineLevel="0" collapsed="false">
      <c r="A876" s="13" t="n">
        <v>875</v>
      </c>
      <c r="B876" s="13" t="s">
        <v>5344</v>
      </c>
      <c r="C876" s="13" t="s">
        <v>173</v>
      </c>
      <c r="D876" s="13" t="s">
        <v>174</v>
      </c>
      <c r="E876" s="13" t="s">
        <v>79</v>
      </c>
      <c r="F876" s="13" t="s">
        <v>465</v>
      </c>
      <c r="G876" s="13" t="s">
        <v>562</v>
      </c>
      <c r="H876" s="13" t="s">
        <v>5345</v>
      </c>
      <c r="I876" s="13" t="s">
        <v>5346</v>
      </c>
      <c r="J876" s="13" t="s">
        <v>5347</v>
      </c>
      <c r="K876" s="13" t="s">
        <v>5348</v>
      </c>
      <c r="L876" s="13" t="s">
        <v>1584</v>
      </c>
      <c r="M876" s="13" t="n">
        <v>2243.39</v>
      </c>
      <c r="N876" s="13" t="n">
        <v>1.54</v>
      </c>
      <c r="O876" s="13" t="n">
        <v>258</v>
      </c>
      <c r="P876" s="13" t="s">
        <v>1585</v>
      </c>
      <c r="Q876" s="13" t="s">
        <v>993</v>
      </c>
      <c r="R876" s="13" t="s">
        <v>2030</v>
      </c>
      <c r="S876" s="13" t="s">
        <v>2030</v>
      </c>
      <c r="T876" s="13" t="s">
        <v>61</v>
      </c>
      <c r="U876" s="13"/>
    </row>
    <row r="877" customFormat="false" ht="18" hidden="false" customHeight="true" outlineLevel="0" collapsed="false">
      <c r="A877" s="13" t="n">
        <v>876</v>
      </c>
      <c r="B877" s="13" t="s">
        <v>5349</v>
      </c>
      <c r="C877" s="13" t="s">
        <v>125</v>
      </c>
      <c r="D877" s="13" t="s">
        <v>126</v>
      </c>
      <c r="E877" s="13" t="s">
        <v>79</v>
      </c>
      <c r="F877" s="13" t="s">
        <v>127</v>
      </c>
      <c r="G877" s="13" t="s">
        <v>80</v>
      </c>
      <c r="H877" s="13" t="s">
        <v>5350</v>
      </c>
      <c r="I877" s="13" t="s">
        <v>5351</v>
      </c>
      <c r="J877" s="13" t="s">
        <v>5352</v>
      </c>
      <c r="K877" s="13" t="s">
        <v>4189</v>
      </c>
      <c r="L877" s="13" t="s">
        <v>1138</v>
      </c>
      <c r="M877" s="13" t="n">
        <v>965.82</v>
      </c>
      <c r="N877" s="13" t="n">
        <v>1.47</v>
      </c>
      <c r="O877" s="13" t="n">
        <v>70</v>
      </c>
      <c r="P877" s="13" t="s">
        <v>1139</v>
      </c>
      <c r="Q877" s="13" t="s">
        <v>5353</v>
      </c>
      <c r="R877" s="13" t="s">
        <v>2899</v>
      </c>
      <c r="S877" s="13" t="s">
        <v>2899</v>
      </c>
      <c r="T877" s="13" t="s">
        <v>61</v>
      </c>
      <c r="U877" s="13"/>
    </row>
    <row r="878" customFormat="false" ht="18" hidden="false" customHeight="true" outlineLevel="0" collapsed="false">
      <c r="A878" s="13" t="n">
        <v>877</v>
      </c>
      <c r="B878" s="13" t="s">
        <v>5354</v>
      </c>
      <c r="C878" s="13" t="s">
        <v>125</v>
      </c>
      <c r="D878" s="13" t="s">
        <v>126</v>
      </c>
      <c r="E878" s="13" t="s">
        <v>91</v>
      </c>
      <c r="F878" s="13" t="s">
        <v>185</v>
      </c>
      <c r="G878" s="13" t="s">
        <v>533</v>
      </c>
      <c r="H878" s="13" t="s">
        <v>5355</v>
      </c>
      <c r="I878" s="13" t="s">
        <v>5356</v>
      </c>
      <c r="J878" s="13" t="s">
        <v>5357</v>
      </c>
      <c r="K878" s="13" t="s">
        <v>5358</v>
      </c>
      <c r="L878" s="13" t="s">
        <v>1617</v>
      </c>
      <c r="M878" s="13" t="n">
        <v>2836.32</v>
      </c>
      <c r="N878" s="13" t="n">
        <v>47.76</v>
      </c>
      <c r="O878" s="13" t="n">
        <v>237</v>
      </c>
      <c r="P878" s="13" t="s">
        <v>1618</v>
      </c>
      <c r="Q878" s="13" t="s">
        <v>1951</v>
      </c>
      <c r="R878" s="13" t="s">
        <v>5359</v>
      </c>
      <c r="S878" s="13" t="s">
        <v>5359</v>
      </c>
      <c r="T878" s="13" t="s">
        <v>61</v>
      </c>
      <c r="U878" s="13"/>
    </row>
    <row r="879" customFormat="false" ht="18" hidden="false" customHeight="true" outlineLevel="0" collapsed="false">
      <c r="A879" s="13" t="n">
        <v>878</v>
      </c>
      <c r="B879" s="13" t="s">
        <v>5360</v>
      </c>
      <c r="C879" s="13" t="s">
        <v>63</v>
      </c>
      <c r="D879" s="13" t="s">
        <v>64</v>
      </c>
      <c r="E879" s="13" t="s">
        <v>91</v>
      </c>
      <c r="F879" s="13" t="s">
        <v>185</v>
      </c>
      <c r="G879" s="13" t="s">
        <v>533</v>
      </c>
      <c r="H879" s="13" t="s">
        <v>5361</v>
      </c>
      <c r="I879" s="13" t="s">
        <v>5362</v>
      </c>
      <c r="J879" s="13" t="s">
        <v>5363</v>
      </c>
      <c r="K879" s="13" t="s">
        <v>3655</v>
      </c>
      <c r="L879" s="13" t="s">
        <v>1617</v>
      </c>
      <c r="M879" s="13" t="n">
        <v>1502.56</v>
      </c>
      <c r="N879" s="13" t="n">
        <v>12.91</v>
      </c>
      <c r="O879" s="13" t="n">
        <v>342</v>
      </c>
      <c r="P879" s="13" t="s">
        <v>1618</v>
      </c>
      <c r="Q879" s="13" t="s">
        <v>3234</v>
      </c>
      <c r="R879" s="13" t="s">
        <v>369</v>
      </c>
      <c r="S879" s="13" t="s">
        <v>369</v>
      </c>
      <c r="T879" s="13" t="s">
        <v>61</v>
      </c>
      <c r="U879" s="13"/>
    </row>
    <row r="880" customFormat="false" ht="18" hidden="false" customHeight="true" outlineLevel="0" collapsed="false">
      <c r="A880" s="14" t="n">
        <v>879</v>
      </c>
      <c r="B880" s="14" t="s">
        <v>5364</v>
      </c>
      <c r="C880" s="14" t="s">
        <v>48</v>
      </c>
      <c r="D880" s="14" t="s">
        <v>49</v>
      </c>
      <c r="E880" s="14" t="s">
        <v>79</v>
      </c>
      <c r="F880" s="14" t="s">
        <v>127</v>
      </c>
      <c r="G880" s="14" t="s">
        <v>760</v>
      </c>
      <c r="H880" s="14" t="s">
        <v>5365</v>
      </c>
      <c r="I880" s="14" t="s">
        <v>5366</v>
      </c>
      <c r="J880" s="14" t="s">
        <v>5367</v>
      </c>
      <c r="K880" s="14" t="s">
        <v>5368</v>
      </c>
      <c r="L880" s="14" t="s">
        <v>1649</v>
      </c>
      <c r="M880" s="14" t="n">
        <v>578.14</v>
      </c>
      <c r="N880" s="14" t="n">
        <v>2.33</v>
      </c>
      <c r="O880" s="14" t="n">
        <v>372</v>
      </c>
      <c r="P880" s="14"/>
      <c r="Q880" s="14" t="s">
        <v>1252</v>
      </c>
      <c r="R880" s="14" t="s">
        <v>2377</v>
      </c>
      <c r="S880" s="14" t="s">
        <v>2377</v>
      </c>
      <c r="T880" s="14" t="s">
        <v>61</v>
      </c>
      <c r="U880" s="14" t="s">
        <v>1014</v>
      </c>
    </row>
    <row r="881" customFormat="false" ht="18" hidden="false" customHeight="true" outlineLevel="0" collapsed="false">
      <c r="A881" s="13" t="n">
        <v>880</v>
      </c>
      <c r="B881" s="13" t="s">
        <v>5369</v>
      </c>
      <c r="C881" s="13" t="s">
        <v>125</v>
      </c>
      <c r="D881" s="13" t="s">
        <v>126</v>
      </c>
      <c r="E881" s="13" t="s">
        <v>65</v>
      </c>
      <c r="F881" s="13" t="s">
        <v>371</v>
      </c>
      <c r="G881" s="13" t="s">
        <v>103</v>
      </c>
      <c r="H881" s="13" t="s">
        <v>5370</v>
      </c>
      <c r="I881" s="13" t="s">
        <v>5371</v>
      </c>
      <c r="J881" s="13" t="s">
        <v>5372</v>
      </c>
      <c r="K881" s="13" t="s">
        <v>2147</v>
      </c>
      <c r="L881" s="13" t="s">
        <v>2148</v>
      </c>
      <c r="M881" s="13" t="n">
        <v>142.26</v>
      </c>
      <c r="N881" s="13" t="n">
        <v>0.97</v>
      </c>
      <c r="O881" s="13" t="n">
        <v>129</v>
      </c>
      <c r="P881" s="13" t="s">
        <v>2149</v>
      </c>
      <c r="Q881" s="13" t="s">
        <v>686</v>
      </c>
      <c r="R881" s="13" t="s">
        <v>2634</v>
      </c>
      <c r="S881" s="13" t="s">
        <v>2634</v>
      </c>
      <c r="T881" s="13" t="s">
        <v>61</v>
      </c>
      <c r="U881" s="13"/>
    </row>
    <row r="882" customFormat="false" ht="18" hidden="false" customHeight="true" outlineLevel="0" collapsed="false">
      <c r="A882" s="13" t="n">
        <v>881</v>
      </c>
      <c r="B882" s="13" t="s">
        <v>5373</v>
      </c>
      <c r="C882" s="13" t="s">
        <v>113</v>
      </c>
      <c r="D882" s="13" t="s">
        <v>114</v>
      </c>
      <c r="E882" s="13" t="s">
        <v>65</v>
      </c>
      <c r="F882" s="13" t="s">
        <v>66</v>
      </c>
      <c r="G882" s="13" t="s">
        <v>372</v>
      </c>
      <c r="H882" s="13" t="s">
        <v>5374</v>
      </c>
      <c r="I882" s="13" t="s">
        <v>5375</v>
      </c>
      <c r="J882" s="13" t="s">
        <v>5376</v>
      </c>
      <c r="K882" s="13" t="s">
        <v>649</v>
      </c>
      <c r="L882" s="13" t="s">
        <v>650</v>
      </c>
      <c r="M882" s="13" t="n">
        <v>224.02</v>
      </c>
      <c r="N882" s="13" t="n">
        <v>1.3</v>
      </c>
      <c r="O882" s="13" t="n">
        <v>162</v>
      </c>
      <c r="P882" s="13" t="s">
        <v>651</v>
      </c>
      <c r="Q882" s="13" t="s">
        <v>2720</v>
      </c>
      <c r="R882" s="13" t="s">
        <v>2224</v>
      </c>
      <c r="S882" s="13" t="s">
        <v>2224</v>
      </c>
      <c r="T882" s="13" t="s">
        <v>61</v>
      </c>
      <c r="U882" s="13"/>
    </row>
    <row r="883" customFormat="false" ht="18" hidden="false" customHeight="true" outlineLevel="0" collapsed="false">
      <c r="A883" s="13" t="n">
        <v>882</v>
      </c>
      <c r="B883" s="13" t="s">
        <v>5377</v>
      </c>
      <c r="C883" s="13" t="s">
        <v>48</v>
      </c>
      <c r="D883" s="13" t="s">
        <v>49</v>
      </c>
      <c r="E883" s="13" t="s">
        <v>65</v>
      </c>
      <c r="F883" s="13" t="s">
        <v>245</v>
      </c>
      <c r="G883" s="13" t="s">
        <v>274</v>
      </c>
      <c r="H883" s="13" t="s">
        <v>5378</v>
      </c>
      <c r="I883" s="13" t="s">
        <v>5379</v>
      </c>
      <c r="J883" s="13" t="s">
        <v>5380</v>
      </c>
      <c r="K883" s="13" t="s">
        <v>4060</v>
      </c>
      <c r="L883" s="13" t="s">
        <v>4061</v>
      </c>
      <c r="M883" s="13" t="n">
        <v>324.33</v>
      </c>
      <c r="N883" s="13" t="n">
        <v>0.29</v>
      </c>
      <c r="O883" s="13" t="n">
        <v>50</v>
      </c>
      <c r="P883" s="13" t="s">
        <v>4062</v>
      </c>
      <c r="Q883" s="13" t="s">
        <v>1178</v>
      </c>
      <c r="R883" s="13" t="s">
        <v>452</v>
      </c>
      <c r="S883" s="13" t="s">
        <v>452</v>
      </c>
      <c r="T883" s="13" t="s">
        <v>61</v>
      </c>
      <c r="U883" s="13"/>
    </row>
    <row r="884" customFormat="false" ht="18" hidden="false" customHeight="true" outlineLevel="0" collapsed="false">
      <c r="A884" s="13" t="n">
        <v>883</v>
      </c>
      <c r="B884" s="13" t="s">
        <v>5381</v>
      </c>
      <c r="C884" s="13" t="s">
        <v>48</v>
      </c>
      <c r="D884" s="13" t="s">
        <v>49</v>
      </c>
      <c r="E884" s="13" t="s">
        <v>91</v>
      </c>
      <c r="F884" s="13" t="s">
        <v>780</v>
      </c>
      <c r="G884" s="13" t="s">
        <v>93</v>
      </c>
      <c r="H884" s="13" t="s">
        <v>5382</v>
      </c>
      <c r="I884" s="13" t="s">
        <v>5383</v>
      </c>
      <c r="J884" s="13" t="s">
        <v>5384</v>
      </c>
      <c r="K884" s="13" t="s">
        <v>2748</v>
      </c>
      <c r="L884" s="13" t="s">
        <v>1675</v>
      </c>
      <c r="M884" s="13" t="n">
        <v>3528.8</v>
      </c>
      <c r="N884" s="13" t="n">
        <v>22.23</v>
      </c>
      <c r="O884" s="13" t="n">
        <v>458</v>
      </c>
      <c r="P884" s="13" t="s">
        <v>1676</v>
      </c>
      <c r="Q884" s="13" t="s">
        <v>1358</v>
      </c>
      <c r="R884" s="13" t="s">
        <v>741</v>
      </c>
      <c r="S884" s="13" t="s">
        <v>741</v>
      </c>
      <c r="T884" s="13" t="s">
        <v>61</v>
      </c>
      <c r="U884" s="13"/>
    </row>
    <row r="885" customFormat="false" ht="18" hidden="false" customHeight="true" outlineLevel="0" collapsed="false">
      <c r="A885" s="15" t="n">
        <v>884</v>
      </c>
      <c r="B885" s="15" t="s">
        <v>2577</v>
      </c>
      <c r="C885" s="15" t="s">
        <v>48</v>
      </c>
      <c r="D885" s="15" t="s">
        <v>49</v>
      </c>
      <c r="E885" s="15" t="s">
        <v>65</v>
      </c>
      <c r="F885" s="15" t="s">
        <v>390</v>
      </c>
      <c r="G885" s="15" t="s">
        <v>103</v>
      </c>
      <c r="H885" s="15" t="s">
        <v>2578</v>
      </c>
      <c r="I885" s="15" t="s">
        <v>2579</v>
      </c>
      <c r="J885" s="15" t="s">
        <v>2580</v>
      </c>
      <c r="K885" s="15" t="s">
        <v>2114</v>
      </c>
      <c r="L885" s="15" t="s">
        <v>2115</v>
      </c>
      <c r="M885" s="15" t="n">
        <v>180.21</v>
      </c>
      <c r="N885" s="15" t="n">
        <v>0.89</v>
      </c>
      <c r="O885" s="15" t="n">
        <v>164</v>
      </c>
      <c r="P885" s="15" t="s">
        <v>2116</v>
      </c>
      <c r="Q885" s="15" t="s">
        <v>2117</v>
      </c>
      <c r="R885" s="15" t="s">
        <v>2581</v>
      </c>
      <c r="S885" s="15" t="s">
        <v>2581</v>
      </c>
      <c r="T885" s="15" t="s">
        <v>61</v>
      </c>
      <c r="U885" s="15" t="s">
        <v>283</v>
      </c>
    </row>
    <row r="886" customFormat="false" ht="18" hidden="false" customHeight="true" outlineLevel="0" collapsed="false">
      <c r="A886" s="15" t="n">
        <v>885</v>
      </c>
      <c r="B886" s="15" t="s">
        <v>2357</v>
      </c>
      <c r="C886" s="15" t="s">
        <v>48</v>
      </c>
      <c r="D886" s="15" t="s">
        <v>49</v>
      </c>
      <c r="E886" s="15" t="s">
        <v>79</v>
      </c>
      <c r="F886" s="15" t="s">
        <v>513</v>
      </c>
      <c r="G886" s="15" t="s">
        <v>514</v>
      </c>
      <c r="H886" s="15" t="s">
        <v>2358</v>
      </c>
      <c r="I886" s="15" t="s">
        <v>2359</v>
      </c>
      <c r="J886" s="15" t="s">
        <v>2360</v>
      </c>
      <c r="K886" s="15" t="s">
        <v>2361</v>
      </c>
      <c r="L886" s="15" t="s">
        <v>519</v>
      </c>
      <c r="M886" s="15" t="n">
        <v>1991.97</v>
      </c>
      <c r="N886" s="15" t="n">
        <v>2.58</v>
      </c>
      <c r="O886" s="15" t="n">
        <v>4</v>
      </c>
      <c r="P886" s="15" t="s">
        <v>520</v>
      </c>
      <c r="Q886" s="15" t="s">
        <v>837</v>
      </c>
      <c r="R886" s="15" t="s">
        <v>369</v>
      </c>
      <c r="S886" s="15" t="s">
        <v>369</v>
      </c>
      <c r="T886" s="15" t="s">
        <v>61</v>
      </c>
      <c r="U886" s="15" t="s">
        <v>283</v>
      </c>
    </row>
    <row r="887" customFormat="false" ht="18" hidden="false" customHeight="true" outlineLevel="0" collapsed="false">
      <c r="A887" s="13" t="n">
        <v>886</v>
      </c>
      <c r="B887" s="13" t="s">
        <v>5385</v>
      </c>
      <c r="C887" s="13" t="s">
        <v>125</v>
      </c>
      <c r="D887" s="13" t="s">
        <v>126</v>
      </c>
      <c r="E887" s="13" t="s">
        <v>79</v>
      </c>
      <c r="F887" s="13" t="s">
        <v>465</v>
      </c>
      <c r="G887" s="13" t="s">
        <v>197</v>
      </c>
      <c r="H887" s="13" t="s">
        <v>5386</v>
      </c>
      <c r="I887" s="13" t="s">
        <v>5387</v>
      </c>
      <c r="J887" s="13" t="s">
        <v>5388</v>
      </c>
      <c r="K887" s="13" t="s">
        <v>5389</v>
      </c>
      <c r="L887" s="13" t="s">
        <v>991</v>
      </c>
      <c r="M887" s="13" t="n">
        <v>2412.97</v>
      </c>
      <c r="N887" s="13" t="n">
        <v>2.16</v>
      </c>
      <c r="O887" s="13" t="n">
        <v>323</v>
      </c>
      <c r="P887" s="13" t="s">
        <v>992</v>
      </c>
      <c r="Q887" s="13" t="s">
        <v>5390</v>
      </c>
      <c r="R887" s="13" t="s">
        <v>2581</v>
      </c>
      <c r="S887" s="13" t="s">
        <v>2581</v>
      </c>
      <c r="T887" s="13" t="s">
        <v>61</v>
      </c>
      <c r="U887" s="13"/>
    </row>
    <row r="888" customFormat="false" ht="18" hidden="false" customHeight="true" outlineLevel="0" collapsed="false">
      <c r="A888" s="13" t="n">
        <v>887</v>
      </c>
      <c r="B888" s="13" t="s">
        <v>5391</v>
      </c>
      <c r="C888" s="13" t="s">
        <v>113</v>
      </c>
      <c r="D888" s="13" t="s">
        <v>114</v>
      </c>
      <c r="E888" s="13" t="s">
        <v>79</v>
      </c>
      <c r="F888" s="13" t="s">
        <v>465</v>
      </c>
      <c r="G888" s="13" t="s">
        <v>514</v>
      </c>
      <c r="H888" s="13" t="s">
        <v>5392</v>
      </c>
      <c r="I888" s="13" t="s">
        <v>5393</v>
      </c>
      <c r="J888" s="13" t="s">
        <v>5394</v>
      </c>
      <c r="K888" s="13" t="s">
        <v>5395</v>
      </c>
      <c r="L888" s="13" t="s">
        <v>936</v>
      </c>
      <c r="M888" s="13" t="n">
        <v>1673.86</v>
      </c>
      <c r="N888" s="13" t="n">
        <v>1.86</v>
      </c>
      <c r="O888" s="13" t="n">
        <v>110</v>
      </c>
      <c r="P888" s="13" t="s">
        <v>937</v>
      </c>
      <c r="Q888" s="13" t="s">
        <v>5396</v>
      </c>
      <c r="R888" s="13" t="s">
        <v>4333</v>
      </c>
      <c r="S888" s="13" t="s">
        <v>4333</v>
      </c>
      <c r="T888" s="13" t="s">
        <v>61</v>
      </c>
      <c r="U888" s="13"/>
    </row>
    <row r="889" customFormat="false" ht="18" hidden="false" customHeight="true" outlineLevel="0" collapsed="false">
      <c r="A889" s="13" t="n">
        <v>888</v>
      </c>
      <c r="B889" s="13" t="s">
        <v>5397</v>
      </c>
      <c r="C889" s="13" t="s">
        <v>125</v>
      </c>
      <c r="D889" s="13" t="s">
        <v>126</v>
      </c>
      <c r="E889" s="13" t="s">
        <v>65</v>
      </c>
      <c r="F889" s="13" t="s">
        <v>245</v>
      </c>
      <c r="G889" s="13" t="s">
        <v>274</v>
      </c>
      <c r="H889" s="13" t="s">
        <v>5398</v>
      </c>
      <c r="I889" s="13" t="s">
        <v>5399</v>
      </c>
      <c r="J889" s="13" t="s">
        <v>5400</v>
      </c>
      <c r="K889" s="13" t="s">
        <v>4060</v>
      </c>
      <c r="L889" s="13" t="s">
        <v>4061</v>
      </c>
      <c r="M889" s="13" t="n">
        <v>273.74</v>
      </c>
      <c r="N889" s="13" t="n">
        <v>1.05</v>
      </c>
      <c r="O889" s="13" t="n">
        <v>446</v>
      </c>
      <c r="P889" s="13" t="s">
        <v>4062</v>
      </c>
      <c r="Q889" s="13" t="s">
        <v>1699</v>
      </c>
      <c r="R889" s="13" t="s">
        <v>2622</v>
      </c>
      <c r="S889" s="13" t="s">
        <v>2622</v>
      </c>
      <c r="T889" s="13" t="s">
        <v>61</v>
      </c>
      <c r="U889" s="13"/>
    </row>
    <row r="890" customFormat="false" ht="18" hidden="false" customHeight="true" outlineLevel="0" collapsed="false">
      <c r="A890" s="13" t="n">
        <v>889</v>
      </c>
      <c r="B890" s="13" t="s">
        <v>5401</v>
      </c>
      <c r="C890" s="13" t="s">
        <v>125</v>
      </c>
      <c r="D890" s="13" t="s">
        <v>126</v>
      </c>
      <c r="E890" s="13" t="s">
        <v>79</v>
      </c>
      <c r="F890" s="13" t="s">
        <v>127</v>
      </c>
      <c r="G890" s="13" t="s">
        <v>128</v>
      </c>
      <c r="H890" s="13" t="s">
        <v>5402</v>
      </c>
      <c r="I890" s="13" t="s">
        <v>5403</v>
      </c>
      <c r="J890" s="13" t="s">
        <v>5404</v>
      </c>
      <c r="K890" s="13" t="s">
        <v>1428</v>
      </c>
      <c r="L890" s="13" t="s">
        <v>133</v>
      </c>
      <c r="M890" s="13" t="n">
        <v>1228.74</v>
      </c>
      <c r="N890" s="13" t="n">
        <v>2.26</v>
      </c>
      <c r="O890" s="13" t="n">
        <v>242</v>
      </c>
      <c r="P890" s="13" t="s">
        <v>134</v>
      </c>
      <c r="Q890" s="13" t="s">
        <v>1497</v>
      </c>
      <c r="R890" s="13" t="s">
        <v>194</v>
      </c>
      <c r="S890" s="13" t="s">
        <v>194</v>
      </c>
      <c r="T890" s="13" t="s">
        <v>61</v>
      </c>
      <c r="U890" s="13"/>
    </row>
    <row r="891" customFormat="false" ht="18" hidden="false" customHeight="true" outlineLevel="0" collapsed="false">
      <c r="A891" s="13" t="n">
        <v>890</v>
      </c>
      <c r="B891" s="13" t="s">
        <v>5405</v>
      </c>
      <c r="C891" s="13" t="s">
        <v>63</v>
      </c>
      <c r="D891" s="13" t="s">
        <v>64</v>
      </c>
      <c r="E891" s="13" t="s">
        <v>50</v>
      </c>
      <c r="F891" s="13" t="s">
        <v>115</v>
      </c>
      <c r="G891" s="13" t="s">
        <v>352</v>
      </c>
      <c r="H891" s="13" t="s">
        <v>5406</v>
      </c>
      <c r="I891" s="13" t="s">
        <v>5407</v>
      </c>
      <c r="J891" s="13" t="s">
        <v>5408</v>
      </c>
      <c r="K891" s="13" t="s">
        <v>5409</v>
      </c>
      <c r="L891" s="13" t="s">
        <v>1280</v>
      </c>
      <c r="M891" s="13" t="n">
        <v>438.11</v>
      </c>
      <c r="N891" s="13" t="n">
        <v>0.37</v>
      </c>
      <c r="O891" s="13" t="n">
        <v>98</v>
      </c>
      <c r="P891" s="13" t="s">
        <v>1281</v>
      </c>
      <c r="Q891" s="13" t="s">
        <v>224</v>
      </c>
      <c r="R891" s="13" t="s">
        <v>5410</v>
      </c>
      <c r="S891" s="13" t="s">
        <v>5410</v>
      </c>
      <c r="T891" s="13" t="s">
        <v>61</v>
      </c>
      <c r="U891" s="13"/>
    </row>
    <row r="892" customFormat="false" ht="18" hidden="false" customHeight="true" outlineLevel="0" collapsed="false">
      <c r="A892" s="13" t="n">
        <v>891</v>
      </c>
      <c r="B892" s="13" t="s">
        <v>5411</v>
      </c>
      <c r="C892" s="13" t="s">
        <v>48</v>
      </c>
      <c r="D892" s="13" t="s">
        <v>49</v>
      </c>
      <c r="E892" s="13" t="s">
        <v>91</v>
      </c>
      <c r="F892" s="13" t="s">
        <v>92</v>
      </c>
      <c r="G892" s="13" t="s">
        <v>186</v>
      </c>
      <c r="H892" s="13" t="s">
        <v>5412</v>
      </c>
      <c r="I892" s="13" t="s">
        <v>5413</v>
      </c>
      <c r="J892" s="13" t="s">
        <v>5414</v>
      </c>
      <c r="K892" s="13" t="s">
        <v>2656</v>
      </c>
      <c r="L892" s="13" t="s">
        <v>2004</v>
      </c>
      <c r="M892" s="13" t="n">
        <v>307.47</v>
      </c>
      <c r="N892" s="13" t="n">
        <v>9.8</v>
      </c>
      <c r="O892" s="13" t="n">
        <v>144</v>
      </c>
      <c r="P892" s="13" t="s">
        <v>2005</v>
      </c>
      <c r="Q892" s="13" t="s">
        <v>5415</v>
      </c>
      <c r="R892" s="13" t="s">
        <v>2064</v>
      </c>
      <c r="S892" s="13" t="s">
        <v>2064</v>
      </c>
      <c r="T892" s="13" t="s">
        <v>61</v>
      </c>
      <c r="U892" s="13"/>
    </row>
    <row r="893" customFormat="false" ht="18" hidden="false" customHeight="true" outlineLevel="0" collapsed="false">
      <c r="A893" s="13" t="n">
        <v>892</v>
      </c>
      <c r="B893" s="13" t="s">
        <v>4807</v>
      </c>
      <c r="C893" s="13" t="s">
        <v>77</v>
      </c>
      <c r="D893" s="13" t="s">
        <v>78</v>
      </c>
      <c r="E893" s="13" t="s">
        <v>79</v>
      </c>
      <c r="F893" s="13" t="s">
        <v>956</v>
      </c>
      <c r="G893" s="13" t="s">
        <v>760</v>
      </c>
      <c r="H893" s="13" t="s">
        <v>4808</v>
      </c>
      <c r="I893" s="13" t="s">
        <v>4809</v>
      </c>
      <c r="J893" s="13" t="s">
        <v>4810</v>
      </c>
      <c r="K893" s="13" t="s">
        <v>4811</v>
      </c>
      <c r="L893" s="13" t="s">
        <v>961</v>
      </c>
      <c r="M893" s="13" t="n">
        <v>1292.98</v>
      </c>
      <c r="N893" s="13" t="n">
        <v>2.28</v>
      </c>
      <c r="O893" s="13" t="n">
        <v>392</v>
      </c>
      <c r="P893" s="13" t="s">
        <v>962</v>
      </c>
      <c r="Q893" s="13" t="s">
        <v>4812</v>
      </c>
      <c r="R893" s="13" t="s">
        <v>4813</v>
      </c>
      <c r="S893" s="13" t="s">
        <v>4813</v>
      </c>
      <c r="T893" s="13" t="s">
        <v>61</v>
      </c>
      <c r="U893" s="13"/>
    </row>
    <row r="894" customFormat="false" ht="18" hidden="false" customHeight="true" outlineLevel="0" collapsed="false">
      <c r="A894" s="13" t="n">
        <v>893</v>
      </c>
      <c r="B894" s="13" t="s">
        <v>5416</v>
      </c>
      <c r="C894" s="13" t="s">
        <v>255</v>
      </c>
      <c r="D894" s="13" t="s">
        <v>256</v>
      </c>
      <c r="E894" s="13" t="s">
        <v>65</v>
      </c>
      <c r="F894" s="13" t="s">
        <v>115</v>
      </c>
      <c r="G894" s="13" t="s">
        <v>724</v>
      </c>
      <c r="H894" s="13" t="s">
        <v>5417</v>
      </c>
      <c r="I894" s="13" t="s">
        <v>5418</v>
      </c>
      <c r="J894" s="13" t="s">
        <v>5419</v>
      </c>
      <c r="K894" s="13" t="s">
        <v>3872</v>
      </c>
      <c r="L894" s="13" t="s">
        <v>3873</v>
      </c>
      <c r="M894" s="13" t="n">
        <v>42.86</v>
      </c>
      <c r="N894" s="13" t="n">
        <v>0.29</v>
      </c>
      <c r="O894" s="13" t="n">
        <v>42</v>
      </c>
      <c r="P894" s="13" t="s">
        <v>3874</v>
      </c>
      <c r="Q894" s="13" t="s">
        <v>281</v>
      </c>
      <c r="R894" s="13" t="s">
        <v>3766</v>
      </c>
      <c r="S894" s="13" t="s">
        <v>3766</v>
      </c>
      <c r="T894" s="13" t="s">
        <v>61</v>
      </c>
      <c r="U894" s="13"/>
    </row>
    <row r="895" customFormat="false" ht="18" hidden="false" customHeight="true" outlineLevel="0" collapsed="false">
      <c r="A895" s="13" t="n">
        <v>894</v>
      </c>
      <c r="B895" s="13" t="s">
        <v>5420</v>
      </c>
      <c r="C895" s="13" t="s">
        <v>173</v>
      </c>
      <c r="D895" s="13" t="s">
        <v>174</v>
      </c>
      <c r="E895" s="13" t="s">
        <v>50</v>
      </c>
      <c r="F895" s="13" t="s">
        <v>127</v>
      </c>
      <c r="G895" s="13" t="s">
        <v>689</v>
      </c>
      <c r="H895" s="13" t="s">
        <v>5421</v>
      </c>
      <c r="I895" s="13" t="s">
        <v>5422</v>
      </c>
      <c r="J895" s="13" t="s">
        <v>5423</v>
      </c>
      <c r="K895" s="13" t="s">
        <v>5424</v>
      </c>
      <c r="L895" s="13" t="s">
        <v>1970</v>
      </c>
      <c r="M895" s="13" t="n">
        <v>200.31</v>
      </c>
      <c r="N895" s="13" t="n">
        <v>0.56</v>
      </c>
      <c r="O895" s="13" t="n">
        <v>134</v>
      </c>
      <c r="P895" s="13" t="s">
        <v>1971</v>
      </c>
      <c r="Q895" s="13" t="s">
        <v>3885</v>
      </c>
      <c r="R895" s="13" t="s">
        <v>1292</v>
      </c>
      <c r="S895" s="13" t="s">
        <v>1292</v>
      </c>
      <c r="T895" s="13" t="s">
        <v>61</v>
      </c>
      <c r="U895" s="13"/>
    </row>
    <row r="896" customFormat="false" ht="18" hidden="false" customHeight="true" outlineLevel="0" collapsed="false">
      <c r="A896" s="13" t="n">
        <v>895</v>
      </c>
      <c r="B896" s="13" t="s">
        <v>5425</v>
      </c>
      <c r="C896" s="13" t="s">
        <v>48</v>
      </c>
      <c r="D896" s="13" t="s">
        <v>49</v>
      </c>
      <c r="E896" s="13" t="s">
        <v>50</v>
      </c>
      <c r="F896" s="13" t="s">
        <v>127</v>
      </c>
      <c r="G896" s="13" t="s">
        <v>689</v>
      </c>
      <c r="H896" s="13" t="s">
        <v>5426</v>
      </c>
      <c r="I896" s="13" t="s">
        <v>5427</v>
      </c>
      <c r="J896" s="13" t="s">
        <v>5428</v>
      </c>
      <c r="K896" s="13" t="s">
        <v>5429</v>
      </c>
      <c r="L896" s="13" t="s">
        <v>1970</v>
      </c>
      <c r="M896" s="13" t="n">
        <v>324.09</v>
      </c>
      <c r="N896" s="13" t="n">
        <v>0.3</v>
      </c>
      <c r="O896" s="13" t="n">
        <v>303</v>
      </c>
      <c r="P896" s="13" t="s">
        <v>1971</v>
      </c>
      <c r="Q896" s="13" t="s">
        <v>5006</v>
      </c>
      <c r="R896" s="13" t="s">
        <v>417</v>
      </c>
      <c r="S896" s="13" t="s">
        <v>417</v>
      </c>
      <c r="T896" s="13" t="s">
        <v>61</v>
      </c>
      <c r="U896" s="13"/>
    </row>
    <row r="897" customFormat="false" ht="18" hidden="false" customHeight="true" outlineLevel="0" collapsed="false">
      <c r="A897" s="13" t="n">
        <v>896</v>
      </c>
      <c r="B897" s="13" t="s">
        <v>5430</v>
      </c>
      <c r="C897" s="13" t="s">
        <v>77</v>
      </c>
      <c r="D897" s="13" t="s">
        <v>78</v>
      </c>
      <c r="E897" s="13" t="s">
        <v>91</v>
      </c>
      <c r="F897" s="13" t="s">
        <v>419</v>
      </c>
      <c r="G897" s="13" t="s">
        <v>420</v>
      </c>
      <c r="H897" s="13" t="s">
        <v>5431</v>
      </c>
      <c r="I897" s="13" t="s">
        <v>5432</v>
      </c>
      <c r="J897" s="13" t="s">
        <v>5433</v>
      </c>
      <c r="K897" s="13" t="s">
        <v>5434</v>
      </c>
      <c r="L897" s="13" t="s">
        <v>425</v>
      </c>
      <c r="M897" s="13" t="n">
        <v>1202.65</v>
      </c>
      <c r="N897" s="13" t="n">
        <v>33.94</v>
      </c>
      <c r="O897" s="13" t="n">
        <v>251</v>
      </c>
      <c r="P897" s="13" t="s">
        <v>426</v>
      </c>
      <c r="Q897" s="13" t="s">
        <v>5097</v>
      </c>
      <c r="R897" s="13" t="s">
        <v>939</v>
      </c>
      <c r="S897" s="13" t="s">
        <v>939</v>
      </c>
      <c r="T897" s="13" t="s">
        <v>61</v>
      </c>
      <c r="U897" s="13"/>
    </row>
    <row r="898" customFormat="false" ht="18" hidden="false" customHeight="true" outlineLevel="0" collapsed="false">
      <c r="A898" s="13" t="n">
        <v>897</v>
      </c>
      <c r="B898" s="13" t="s">
        <v>5435</v>
      </c>
      <c r="C898" s="13" t="s">
        <v>48</v>
      </c>
      <c r="D898" s="13" t="s">
        <v>49</v>
      </c>
      <c r="E898" s="13" t="s">
        <v>50</v>
      </c>
      <c r="F898" s="13" t="s">
        <v>115</v>
      </c>
      <c r="G898" s="13" t="s">
        <v>352</v>
      </c>
      <c r="H898" s="13" t="s">
        <v>5436</v>
      </c>
      <c r="I898" s="13" t="s">
        <v>5437</v>
      </c>
      <c r="J898" s="13" t="s">
        <v>5438</v>
      </c>
      <c r="K898" s="13" t="s">
        <v>5439</v>
      </c>
      <c r="L898" s="13" t="s">
        <v>1280</v>
      </c>
      <c r="M898" s="13" t="n">
        <v>961.76</v>
      </c>
      <c r="N898" s="13" t="n">
        <v>0.89</v>
      </c>
      <c r="O898" s="13" t="n">
        <v>411</v>
      </c>
      <c r="P898" s="13" t="s">
        <v>1281</v>
      </c>
      <c r="Q898" s="13" t="s">
        <v>1194</v>
      </c>
      <c r="R898" s="13" t="s">
        <v>2305</v>
      </c>
      <c r="S898" s="13" t="s">
        <v>2305</v>
      </c>
      <c r="T898" s="13" t="s">
        <v>61</v>
      </c>
      <c r="U898" s="13"/>
    </row>
    <row r="899" customFormat="false" ht="18" hidden="false" customHeight="true" outlineLevel="0" collapsed="false">
      <c r="A899" s="13" t="n">
        <v>898</v>
      </c>
      <c r="B899" s="13" t="s">
        <v>5440</v>
      </c>
      <c r="C899" s="13" t="s">
        <v>48</v>
      </c>
      <c r="D899" s="13" t="s">
        <v>49</v>
      </c>
      <c r="E899" s="13" t="s">
        <v>161</v>
      </c>
      <c r="F899" s="13" t="s">
        <v>185</v>
      </c>
      <c r="G899" s="13" t="s">
        <v>207</v>
      </c>
      <c r="H899" s="13" t="s">
        <v>3652</v>
      </c>
      <c r="I899" s="13" t="s">
        <v>5441</v>
      </c>
      <c r="J899" s="13" t="s">
        <v>5442</v>
      </c>
      <c r="K899" s="13" t="s">
        <v>5443</v>
      </c>
      <c r="L899" s="13" t="s">
        <v>1307</v>
      </c>
      <c r="M899" s="13" t="n">
        <v>527.04</v>
      </c>
      <c r="N899" s="13" t="n">
        <v>0.43</v>
      </c>
      <c r="O899" s="13" t="n">
        <v>100</v>
      </c>
      <c r="P899" s="13" t="s">
        <v>1308</v>
      </c>
      <c r="Q899" s="13" t="s">
        <v>2810</v>
      </c>
      <c r="R899" s="13" t="s">
        <v>2876</v>
      </c>
      <c r="S899" s="13" t="s">
        <v>2876</v>
      </c>
      <c r="T899" s="13" t="s">
        <v>61</v>
      </c>
      <c r="U899" s="13"/>
    </row>
    <row r="900" customFormat="false" ht="18" hidden="false" customHeight="true" outlineLevel="0" collapsed="false">
      <c r="A900" s="14" t="n">
        <v>899</v>
      </c>
      <c r="B900" s="14" t="s">
        <v>5444</v>
      </c>
      <c r="C900" s="14" t="s">
        <v>159</v>
      </c>
      <c r="D900" s="14" t="s">
        <v>160</v>
      </c>
      <c r="E900" s="14" t="s">
        <v>161</v>
      </c>
      <c r="F900" s="14" t="s">
        <v>162</v>
      </c>
      <c r="G900" s="14" t="s">
        <v>285</v>
      </c>
      <c r="H900" s="14" t="s">
        <v>5445</v>
      </c>
      <c r="I900" s="14" t="s">
        <v>5446</v>
      </c>
      <c r="J900" s="14" t="s">
        <v>5447</v>
      </c>
      <c r="K900" s="14"/>
      <c r="L900" s="14" t="s">
        <v>1996</v>
      </c>
      <c r="M900" s="14" t="n">
        <v>243.08</v>
      </c>
      <c r="N900" s="14" t="n">
        <v>0.33</v>
      </c>
      <c r="O900" s="14" t="n">
        <v>441</v>
      </c>
      <c r="P900" s="14" t="s">
        <v>1997</v>
      </c>
      <c r="Q900" s="14" t="s">
        <v>303</v>
      </c>
      <c r="R900" s="14" t="s">
        <v>4733</v>
      </c>
      <c r="S900" s="14" t="s">
        <v>4733</v>
      </c>
      <c r="T900" s="14" t="s">
        <v>61</v>
      </c>
      <c r="U900" s="14" t="s">
        <v>1048</v>
      </c>
    </row>
    <row r="901" customFormat="false" ht="18" hidden="false" customHeight="true" outlineLevel="0" collapsed="false">
      <c r="A901" s="15" t="n">
        <v>900</v>
      </c>
      <c r="B901" s="15" t="s">
        <v>4633</v>
      </c>
      <c r="C901" s="15" t="s">
        <v>63</v>
      </c>
      <c r="D901" s="15" t="s">
        <v>64</v>
      </c>
      <c r="E901" s="15" t="s">
        <v>161</v>
      </c>
      <c r="F901" s="15" t="s">
        <v>185</v>
      </c>
      <c r="G901" s="15" t="s">
        <v>296</v>
      </c>
      <c r="H901" s="15" t="s">
        <v>4634</v>
      </c>
      <c r="I901" s="15" t="s">
        <v>4635</v>
      </c>
      <c r="J901" s="15" t="s">
        <v>4636</v>
      </c>
      <c r="K901" s="15" t="s">
        <v>4637</v>
      </c>
      <c r="L901" s="15" t="s">
        <v>1390</v>
      </c>
      <c r="M901" s="15" t="n">
        <v>69.78</v>
      </c>
      <c r="N901" s="15" t="n">
        <v>0.23</v>
      </c>
      <c r="O901" s="15" t="n">
        <v>152</v>
      </c>
      <c r="P901" s="15" t="s">
        <v>1391</v>
      </c>
      <c r="Q901" s="15" t="s">
        <v>1920</v>
      </c>
      <c r="R901" s="15" t="s">
        <v>1611</v>
      </c>
      <c r="S901" s="15" t="s">
        <v>1611</v>
      </c>
      <c r="T901" s="15" t="s">
        <v>61</v>
      </c>
      <c r="U901" s="15" t="s">
        <v>283</v>
      </c>
    </row>
    <row r="902" customFormat="false" ht="18" hidden="false" customHeight="true" outlineLevel="0" collapsed="false">
      <c r="A902" s="13" t="n">
        <v>901</v>
      </c>
      <c r="B902" s="13" t="s">
        <v>5448</v>
      </c>
      <c r="C902" s="13" t="s">
        <v>113</v>
      </c>
      <c r="D902" s="13" t="s">
        <v>114</v>
      </c>
      <c r="E902" s="13" t="s">
        <v>65</v>
      </c>
      <c r="F902" s="13" t="s">
        <v>371</v>
      </c>
      <c r="G902" s="13" t="s">
        <v>274</v>
      </c>
      <c r="H902" s="13" t="s">
        <v>5449</v>
      </c>
      <c r="I902" s="13" t="s">
        <v>5450</v>
      </c>
      <c r="J902" s="13" t="s">
        <v>5451</v>
      </c>
      <c r="K902" s="13" t="s">
        <v>1398</v>
      </c>
      <c r="L902" s="13" t="s">
        <v>1399</v>
      </c>
      <c r="M902" s="13" t="n">
        <v>252.35</v>
      </c>
      <c r="N902" s="13" t="n">
        <v>0.75</v>
      </c>
      <c r="O902" s="13" t="n">
        <v>165</v>
      </c>
      <c r="P902" s="13" t="s">
        <v>1400</v>
      </c>
      <c r="Q902" s="13" t="s">
        <v>1060</v>
      </c>
      <c r="R902" s="13" t="s">
        <v>2576</v>
      </c>
      <c r="S902" s="13" t="s">
        <v>2576</v>
      </c>
      <c r="T902" s="13" t="s">
        <v>61</v>
      </c>
      <c r="U902" s="13"/>
    </row>
    <row r="903" customFormat="false" ht="18" hidden="false" customHeight="true" outlineLevel="0" collapsed="false">
      <c r="A903" s="13" t="n">
        <v>902</v>
      </c>
      <c r="B903" s="13" t="s">
        <v>5452</v>
      </c>
      <c r="C903" s="13" t="s">
        <v>48</v>
      </c>
      <c r="D903" s="13" t="s">
        <v>49</v>
      </c>
      <c r="E903" s="13" t="s">
        <v>91</v>
      </c>
      <c r="F903" s="13" t="s">
        <v>587</v>
      </c>
      <c r="G903" s="13" t="s">
        <v>420</v>
      </c>
      <c r="H903" s="13" t="s">
        <v>5453</v>
      </c>
      <c r="I903" s="13" t="s">
        <v>5454</v>
      </c>
      <c r="J903" s="13" t="s">
        <v>5455</v>
      </c>
      <c r="K903" s="13" t="s">
        <v>5456</v>
      </c>
      <c r="L903" s="13" t="s">
        <v>592</v>
      </c>
      <c r="M903" s="13" t="n">
        <v>1361.97</v>
      </c>
      <c r="N903" s="13" t="n">
        <v>50.44</v>
      </c>
      <c r="O903" s="13" t="n">
        <v>439</v>
      </c>
      <c r="P903" s="13" t="s">
        <v>593</v>
      </c>
      <c r="Q903" s="13" t="s">
        <v>3481</v>
      </c>
      <c r="R903" s="13" t="s">
        <v>722</v>
      </c>
      <c r="S903" s="13" t="s">
        <v>722</v>
      </c>
      <c r="T903" s="13" t="s">
        <v>61</v>
      </c>
      <c r="U903" s="13"/>
    </row>
    <row r="904" customFormat="false" ht="18" hidden="false" customHeight="true" outlineLevel="0" collapsed="false">
      <c r="A904" s="13" t="n">
        <v>903</v>
      </c>
      <c r="B904" s="13" t="s">
        <v>5457</v>
      </c>
      <c r="C904" s="13" t="s">
        <v>255</v>
      </c>
      <c r="D904" s="13" t="s">
        <v>256</v>
      </c>
      <c r="E904" s="13" t="s">
        <v>91</v>
      </c>
      <c r="F904" s="13" t="s">
        <v>185</v>
      </c>
      <c r="G904" s="13" t="s">
        <v>743</v>
      </c>
      <c r="H904" s="13" t="s">
        <v>5458</v>
      </c>
      <c r="I904" s="13" t="s">
        <v>5459</v>
      </c>
      <c r="J904" s="13" t="s">
        <v>5460</v>
      </c>
      <c r="K904" s="13" t="s">
        <v>5461</v>
      </c>
      <c r="L904" s="13" t="s">
        <v>2282</v>
      </c>
      <c r="M904" s="13" t="n">
        <v>3888.14</v>
      </c>
      <c r="N904" s="13" t="n">
        <v>10.46</v>
      </c>
      <c r="O904" s="13" t="n">
        <v>290</v>
      </c>
      <c r="P904" s="13" t="s">
        <v>2283</v>
      </c>
      <c r="Q904" s="13" t="s">
        <v>626</v>
      </c>
      <c r="R904" s="13" t="s">
        <v>5462</v>
      </c>
      <c r="S904" s="13" t="s">
        <v>5462</v>
      </c>
      <c r="T904" s="13" t="s">
        <v>61</v>
      </c>
      <c r="U904" s="13"/>
    </row>
    <row r="905" customFormat="false" ht="18" hidden="false" customHeight="true" outlineLevel="0" collapsed="false">
      <c r="A905" s="13" t="n">
        <v>904</v>
      </c>
      <c r="B905" s="13" t="s">
        <v>5463</v>
      </c>
      <c r="C905" s="13" t="s">
        <v>159</v>
      </c>
      <c r="D905" s="13" t="s">
        <v>160</v>
      </c>
      <c r="E905" s="13" t="s">
        <v>65</v>
      </c>
      <c r="F905" s="13" t="s">
        <v>438</v>
      </c>
      <c r="G905" s="13" t="s">
        <v>149</v>
      </c>
      <c r="H905" s="13" t="s">
        <v>5464</v>
      </c>
      <c r="I905" s="13" t="s">
        <v>5465</v>
      </c>
      <c r="J905" s="13" t="s">
        <v>5466</v>
      </c>
      <c r="K905" s="13" t="s">
        <v>885</v>
      </c>
      <c r="L905" s="13" t="s">
        <v>886</v>
      </c>
      <c r="M905" s="13" t="n">
        <v>35.73</v>
      </c>
      <c r="N905" s="13" t="n">
        <v>0.99</v>
      </c>
      <c r="O905" s="13" t="n">
        <v>427</v>
      </c>
      <c r="P905" s="13" t="s">
        <v>887</v>
      </c>
      <c r="Q905" s="13" t="s">
        <v>2117</v>
      </c>
      <c r="R905" s="13" t="s">
        <v>585</v>
      </c>
      <c r="S905" s="13" t="s">
        <v>585</v>
      </c>
      <c r="T905" s="13" t="s">
        <v>61</v>
      </c>
      <c r="U905" s="13"/>
    </row>
    <row r="906" customFormat="false" ht="18" hidden="false" customHeight="true" outlineLevel="0" collapsed="false">
      <c r="A906" s="13" t="n">
        <v>905</v>
      </c>
      <c r="B906" s="13" t="s">
        <v>5467</v>
      </c>
      <c r="C906" s="13" t="s">
        <v>63</v>
      </c>
      <c r="D906" s="13" t="s">
        <v>64</v>
      </c>
      <c r="E906" s="13" t="s">
        <v>79</v>
      </c>
      <c r="F906" s="13" t="s">
        <v>196</v>
      </c>
      <c r="G906" s="13" t="s">
        <v>760</v>
      </c>
      <c r="H906" s="13" t="s">
        <v>5468</v>
      </c>
      <c r="I906" s="13" t="s">
        <v>5469</v>
      </c>
      <c r="J906" s="13" t="s">
        <v>5470</v>
      </c>
      <c r="K906" s="13" t="s">
        <v>5471</v>
      </c>
      <c r="L906" s="13" t="s">
        <v>3596</v>
      </c>
      <c r="M906" s="13" t="n">
        <v>576.96</v>
      </c>
      <c r="N906" s="13" t="n">
        <v>2.02</v>
      </c>
      <c r="O906" s="13" t="n">
        <v>78</v>
      </c>
      <c r="P906" s="13" t="s">
        <v>3597</v>
      </c>
      <c r="Q906" s="13" t="s">
        <v>5472</v>
      </c>
      <c r="R906" s="13" t="s">
        <v>1236</v>
      </c>
      <c r="S906" s="13" t="s">
        <v>1236</v>
      </c>
      <c r="T906" s="13" t="s">
        <v>61</v>
      </c>
      <c r="U906" s="13"/>
    </row>
    <row r="907" customFormat="false" ht="18" hidden="false" customHeight="true" outlineLevel="0" collapsed="false">
      <c r="A907" s="13" t="n">
        <v>906</v>
      </c>
      <c r="B907" s="13" t="s">
        <v>5473</v>
      </c>
      <c r="C907" s="13" t="s">
        <v>255</v>
      </c>
      <c r="D907" s="13" t="s">
        <v>256</v>
      </c>
      <c r="E907" s="13" t="s">
        <v>65</v>
      </c>
      <c r="F907" s="13" t="s">
        <v>66</v>
      </c>
      <c r="G907" s="13" t="s">
        <v>391</v>
      </c>
      <c r="H907" s="13" t="s">
        <v>5474</v>
      </c>
      <c r="I907" s="13" t="s">
        <v>5475</v>
      </c>
      <c r="J907" s="13" t="s">
        <v>5476</v>
      </c>
      <c r="K907" s="13" t="s">
        <v>1145</v>
      </c>
      <c r="L907" s="13" t="s">
        <v>1146</v>
      </c>
      <c r="M907" s="13" t="n">
        <v>385.64</v>
      </c>
      <c r="N907" s="13" t="n">
        <v>0.32</v>
      </c>
      <c r="O907" s="13" t="n">
        <v>216</v>
      </c>
      <c r="P907" s="13" t="s">
        <v>1147</v>
      </c>
      <c r="Q907" s="13" t="s">
        <v>3875</v>
      </c>
      <c r="R907" s="13" t="s">
        <v>2366</v>
      </c>
      <c r="S907" s="13" t="s">
        <v>2366</v>
      </c>
      <c r="T907" s="13" t="s">
        <v>61</v>
      </c>
      <c r="U907" s="13"/>
    </row>
    <row r="908" customFormat="false" ht="18" hidden="false" customHeight="true" outlineLevel="0" collapsed="false">
      <c r="A908" s="13" t="n">
        <v>907</v>
      </c>
      <c r="B908" s="13" t="s">
        <v>5477</v>
      </c>
      <c r="C908" s="13" t="s">
        <v>173</v>
      </c>
      <c r="D908" s="13" t="s">
        <v>174</v>
      </c>
      <c r="E908" s="13" t="s">
        <v>50</v>
      </c>
      <c r="F908" s="13" t="s">
        <v>503</v>
      </c>
      <c r="G908" s="13" t="s">
        <v>352</v>
      </c>
      <c r="H908" s="13" t="s">
        <v>5478</v>
      </c>
      <c r="I908" s="13" t="s">
        <v>5479</v>
      </c>
      <c r="J908" s="13" t="s">
        <v>5480</v>
      </c>
      <c r="K908" s="13" t="s">
        <v>5481</v>
      </c>
      <c r="L908" s="13" t="s">
        <v>508</v>
      </c>
      <c r="M908" s="13" t="n">
        <v>669.11</v>
      </c>
      <c r="N908" s="13" t="n">
        <v>0.65</v>
      </c>
      <c r="O908" s="13" t="n">
        <v>12</v>
      </c>
      <c r="P908" s="13" t="s">
        <v>509</v>
      </c>
      <c r="Q908" s="13" t="s">
        <v>406</v>
      </c>
      <c r="R908" s="13" t="s">
        <v>3246</v>
      </c>
      <c r="S908" s="13" t="s">
        <v>3246</v>
      </c>
      <c r="T908" s="13" t="s">
        <v>61</v>
      </c>
      <c r="U908" s="13"/>
    </row>
    <row r="909" customFormat="false" ht="18" hidden="false" customHeight="true" outlineLevel="0" collapsed="false">
      <c r="A909" s="13" t="n">
        <v>908</v>
      </c>
      <c r="B909" s="13" t="s">
        <v>5482</v>
      </c>
      <c r="C909" s="13" t="s">
        <v>159</v>
      </c>
      <c r="D909" s="13" t="s">
        <v>160</v>
      </c>
      <c r="E909" s="13" t="s">
        <v>91</v>
      </c>
      <c r="F909" s="13" t="s">
        <v>138</v>
      </c>
      <c r="G909" s="13" t="s">
        <v>93</v>
      </c>
      <c r="H909" s="13" t="s">
        <v>5483</v>
      </c>
      <c r="I909" s="13" t="s">
        <v>5484</v>
      </c>
      <c r="J909" s="13" t="s">
        <v>5485</v>
      </c>
      <c r="K909" s="13" t="s">
        <v>5486</v>
      </c>
      <c r="L909" s="13" t="s">
        <v>3772</v>
      </c>
      <c r="M909" s="13" t="n">
        <v>2358.33</v>
      </c>
      <c r="N909" s="13" t="n">
        <v>9.53</v>
      </c>
      <c r="O909" s="13" t="n">
        <v>162</v>
      </c>
      <c r="P909" s="13" t="s">
        <v>3773</v>
      </c>
      <c r="Q909" s="13" t="s">
        <v>3234</v>
      </c>
      <c r="R909" s="13" t="s">
        <v>3166</v>
      </c>
      <c r="S909" s="13" t="s">
        <v>3166</v>
      </c>
      <c r="T909" s="13" t="s">
        <v>61</v>
      </c>
      <c r="U909" s="13"/>
    </row>
    <row r="910" customFormat="false" ht="18" hidden="false" customHeight="true" outlineLevel="0" collapsed="false">
      <c r="A910" s="13" t="n">
        <v>909</v>
      </c>
      <c r="B910" s="13" t="s">
        <v>5487</v>
      </c>
      <c r="C910" s="13" t="s">
        <v>63</v>
      </c>
      <c r="D910" s="13" t="s">
        <v>64</v>
      </c>
      <c r="E910" s="13" t="s">
        <v>50</v>
      </c>
      <c r="F910" s="13" t="s">
        <v>138</v>
      </c>
      <c r="G910" s="13" t="s">
        <v>808</v>
      </c>
      <c r="H910" s="13" t="s">
        <v>5488</v>
      </c>
      <c r="I910" s="13" t="s">
        <v>5489</v>
      </c>
      <c r="J910" s="13" t="s">
        <v>5490</v>
      </c>
      <c r="K910" s="13" t="s">
        <v>5491</v>
      </c>
      <c r="L910" s="13" t="s">
        <v>813</v>
      </c>
      <c r="M910" s="13" t="n">
        <v>389.14</v>
      </c>
      <c r="N910" s="13" t="n">
        <v>0.67</v>
      </c>
      <c r="O910" s="13" t="n">
        <v>38</v>
      </c>
      <c r="P910" s="13" t="s">
        <v>814</v>
      </c>
      <c r="Q910" s="13" t="s">
        <v>2596</v>
      </c>
      <c r="R910" s="13" t="s">
        <v>768</v>
      </c>
      <c r="S910" s="13" t="s">
        <v>768</v>
      </c>
      <c r="T910" s="13" t="s">
        <v>61</v>
      </c>
      <c r="U910" s="13"/>
    </row>
    <row r="911" customFormat="false" ht="18" hidden="false" customHeight="true" outlineLevel="0" collapsed="false">
      <c r="A911" s="13" t="n">
        <v>910</v>
      </c>
      <c r="B911" s="13" t="s">
        <v>5492</v>
      </c>
      <c r="C911" s="13" t="s">
        <v>159</v>
      </c>
      <c r="D911" s="13" t="s">
        <v>160</v>
      </c>
      <c r="E911" s="13" t="s">
        <v>65</v>
      </c>
      <c r="F911" s="13" t="s">
        <v>390</v>
      </c>
      <c r="G911" s="13" t="s">
        <v>372</v>
      </c>
      <c r="H911" s="13" t="s">
        <v>5493</v>
      </c>
      <c r="I911" s="13" t="s">
        <v>5494</v>
      </c>
      <c r="J911" s="13" t="s">
        <v>5495</v>
      </c>
      <c r="K911" s="13" t="s">
        <v>683</v>
      </c>
      <c r="L911" s="13" t="s">
        <v>684</v>
      </c>
      <c r="M911" s="13" t="n">
        <v>360.99</v>
      </c>
      <c r="N911" s="13" t="n">
        <v>1.33</v>
      </c>
      <c r="O911" s="13" t="n">
        <v>90</v>
      </c>
      <c r="P911" s="13" t="s">
        <v>685</v>
      </c>
      <c r="Q911" s="13" t="s">
        <v>1148</v>
      </c>
      <c r="R911" s="13" t="s">
        <v>5496</v>
      </c>
      <c r="S911" s="13" t="s">
        <v>5496</v>
      </c>
      <c r="T911" s="13" t="s">
        <v>61</v>
      </c>
      <c r="U911" s="13"/>
    </row>
    <row r="912" customFormat="false" ht="18" hidden="false" customHeight="true" outlineLevel="0" collapsed="false">
      <c r="A912" s="15" t="n">
        <v>911</v>
      </c>
      <c r="B912" s="15" t="s">
        <v>2256</v>
      </c>
      <c r="C912" s="15" t="s">
        <v>173</v>
      </c>
      <c r="D912" s="15" t="s">
        <v>174</v>
      </c>
      <c r="E912" s="15" t="s">
        <v>79</v>
      </c>
      <c r="F912" s="15" t="s">
        <v>956</v>
      </c>
      <c r="G912" s="15" t="s">
        <v>760</v>
      </c>
      <c r="H912" s="15" t="s">
        <v>2257</v>
      </c>
      <c r="I912" s="15" t="s">
        <v>2258</v>
      </c>
      <c r="J912" s="15" t="s">
        <v>2259</v>
      </c>
      <c r="K912" s="15" t="s">
        <v>2260</v>
      </c>
      <c r="L912" s="15" t="s">
        <v>961</v>
      </c>
      <c r="M912" s="15" t="n">
        <v>16973.98</v>
      </c>
      <c r="N912" s="15" t="n">
        <v>2.14</v>
      </c>
      <c r="O912" s="15" t="n">
        <v>179</v>
      </c>
      <c r="P912" s="15" t="s">
        <v>962</v>
      </c>
      <c r="Q912" s="15" t="s">
        <v>1002</v>
      </c>
      <c r="R912" s="15" t="s">
        <v>2261</v>
      </c>
      <c r="S912" s="15" t="s">
        <v>2261</v>
      </c>
      <c r="T912" s="15" t="s">
        <v>61</v>
      </c>
      <c r="U912" s="15" t="s">
        <v>343</v>
      </c>
    </row>
    <row r="913" customFormat="false" ht="18" hidden="false" customHeight="true" outlineLevel="0" collapsed="false">
      <c r="A913" s="13" t="n">
        <v>912</v>
      </c>
      <c r="B913" s="13" t="s">
        <v>5497</v>
      </c>
      <c r="C913" s="13" t="s">
        <v>159</v>
      </c>
      <c r="D913" s="13" t="s">
        <v>160</v>
      </c>
      <c r="E913" s="13" t="s">
        <v>65</v>
      </c>
      <c r="F913" s="13" t="s">
        <v>371</v>
      </c>
      <c r="G913" s="13" t="s">
        <v>724</v>
      </c>
      <c r="H913" s="13" t="s">
        <v>5498</v>
      </c>
      <c r="I913" s="13" t="s">
        <v>5499</v>
      </c>
      <c r="J913" s="13" t="s">
        <v>5500</v>
      </c>
      <c r="K913" s="13" t="s">
        <v>1153</v>
      </c>
      <c r="L913" s="13" t="s">
        <v>1154</v>
      </c>
      <c r="M913" s="13" t="n">
        <v>111.43</v>
      </c>
      <c r="N913" s="13" t="n">
        <v>1.36</v>
      </c>
      <c r="O913" s="13" t="n">
        <v>7</v>
      </c>
      <c r="P913" s="13" t="s">
        <v>1155</v>
      </c>
      <c r="Q913" s="13" t="s">
        <v>652</v>
      </c>
      <c r="R913" s="13" t="s">
        <v>407</v>
      </c>
      <c r="S913" s="13" t="s">
        <v>407</v>
      </c>
      <c r="T913" s="13" t="s">
        <v>61</v>
      </c>
      <c r="U913" s="13"/>
    </row>
    <row r="914" customFormat="false" ht="18" hidden="false" customHeight="true" outlineLevel="0" collapsed="false">
      <c r="A914" s="13" t="n">
        <v>913</v>
      </c>
      <c r="B914" s="13" t="s">
        <v>5501</v>
      </c>
      <c r="C914" s="13" t="s">
        <v>159</v>
      </c>
      <c r="D914" s="13" t="s">
        <v>160</v>
      </c>
      <c r="E914" s="13" t="s">
        <v>91</v>
      </c>
      <c r="F914" s="13" t="s">
        <v>138</v>
      </c>
      <c r="G914" s="13" t="s">
        <v>533</v>
      </c>
      <c r="H914" s="13" t="s">
        <v>5502</v>
      </c>
      <c r="I914" s="13" t="s">
        <v>5503</v>
      </c>
      <c r="J914" s="13" t="s">
        <v>5504</v>
      </c>
      <c r="K914" s="13" t="s">
        <v>5505</v>
      </c>
      <c r="L914" s="13" t="s">
        <v>538</v>
      </c>
      <c r="M914" s="13" t="n">
        <v>1274.98</v>
      </c>
      <c r="N914" s="13" t="n">
        <v>50.4</v>
      </c>
      <c r="O914" s="13" t="n">
        <v>496</v>
      </c>
      <c r="P914" s="13" t="s">
        <v>539</v>
      </c>
      <c r="Q914" s="13" t="s">
        <v>2862</v>
      </c>
      <c r="R914" s="13" t="s">
        <v>2699</v>
      </c>
      <c r="S914" s="13" t="s">
        <v>2699</v>
      </c>
      <c r="T914" s="13" t="s">
        <v>61</v>
      </c>
      <c r="U914" s="13"/>
    </row>
    <row r="915" customFormat="false" ht="18" hidden="false" customHeight="true" outlineLevel="0" collapsed="false">
      <c r="A915" s="13" t="n">
        <v>914</v>
      </c>
      <c r="B915" s="13" t="s">
        <v>5506</v>
      </c>
      <c r="C915" s="13" t="s">
        <v>113</v>
      </c>
      <c r="D915" s="13" t="s">
        <v>114</v>
      </c>
      <c r="E915" s="13" t="s">
        <v>65</v>
      </c>
      <c r="F915" s="13" t="s">
        <v>438</v>
      </c>
      <c r="G915" s="13" t="s">
        <v>149</v>
      </c>
      <c r="H915" s="13" t="s">
        <v>5507</v>
      </c>
      <c r="I915" s="13" t="s">
        <v>5508</v>
      </c>
      <c r="J915" s="13" t="s">
        <v>5509</v>
      </c>
      <c r="K915" s="13" t="s">
        <v>885</v>
      </c>
      <c r="L915" s="13" t="s">
        <v>886</v>
      </c>
      <c r="M915" s="13" t="n">
        <v>173.47</v>
      </c>
      <c r="N915" s="13" t="n">
        <v>0.77</v>
      </c>
      <c r="O915" s="13" t="n">
        <v>124</v>
      </c>
      <c r="P915" s="13" t="s">
        <v>887</v>
      </c>
      <c r="Q915" s="13" t="s">
        <v>3608</v>
      </c>
      <c r="R915" s="13" t="s">
        <v>3451</v>
      </c>
      <c r="S915" s="13" t="s">
        <v>3451</v>
      </c>
      <c r="T915" s="13" t="s">
        <v>61</v>
      </c>
      <c r="U915" s="13"/>
    </row>
    <row r="916" customFormat="false" ht="18" hidden="false" customHeight="true" outlineLevel="0" collapsed="false">
      <c r="A916" s="15" t="n">
        <v>915</v>
      </c>
      <c r="B916" s="15" t="s">
        <v>5510</v>
      </c>
      <c r="C916" s="15" t="s">
        <v>125</v>
      </c>
      <c r="D916" s="15" t="s">
        <v>126</v>
      </c>
      <c r="E916" s="15" t="s">
        <v>161</v>
      </c>
      <c r="F916" s="15" t="s">
        <v>306</v>
      </c>
      <c r="G916" s="15" t="s">
        <v>257</v>
      </c>
      <c r="H916" s="15" t="s">
        <v>5511</v>
      </c>
      <c r="I916" s="15" t="s">
        <v>5512</v>
      </c>
      <c r="J916" s="15" t="s">
        <v>5513</v>
      </c>
      <c r="K916" s="15" t="s">
        <v>5514</v>
      </c>
      <c r="L916" s="15" t="s">
        <v>320</v>
      </c>
      <c r="M916" s="15" t="n">
        <v>138.24</v>
      </c>
      <c r="N916" s="15" t="n">
        <v>0.26</v>
      </c>
      <c r="O916" s="15" t="n">
        <v>0</v>
      </c>
      <c r="P916" s="15" t="s">
        <v>321</v>
      </c>
      <c r="Q916" s="15" t="s">
        <v>2020</v>
      </c>
      <c r="R916" s="15" t="s">
        <v>2634</v>
      </c>
      <c r="S916" s="15" t="s">
        <v>5515</v>
      </c>
      <c r="T916" s="15" t="s">
        <v>61</v>
      </c>
      <c r="U916" s="15" t="s">
        <v>778</v>
      </c>
    </row>
    <row r="917" customFormat="false" ht="18" hidden="false" customHeight="true" outlineLevel="0" collapsed="false">
      <c r="A917" s="13" t="n">
        <v>916</v>
      </c>
      <c r="B917" s="13" t="s">
        <v>5516</v>
      </c>
      <c r="C917" s="13" t="s">
        <v>125</v>
      </c>
      <c r="D917" s="13" t="s">
        <v>126</v>
      </c>
      <c r="E917" s="13" t="s">
        <v>79</v>
      </c>
      <c r="F917" s="13" t="s">
        <v>956</v>
      </c>
      <c r="G917" s="13" t="s">
        <v>197</v>
      </c>
      <c r="H917" s="13" t="s">
        <v>5517</v>
      </c>
      <c r="I917" s="13" t="s">
        <v>5518</v>
      </c>
      <c r="J917" s="13" t="s">
        <v>5519</v>
      </c>
      <c r="K917" s="13" t="s">
        <v>5520</v>
      </c>
      <c r="L917" s="13" t="s">
        <v>1045</v>
      </c>
      <c r="M917" s="13" t="n">
        <v>1773.65</v>
      </c>
      <c r="N917" s="13" t="n">
        <v>1.93</v>
      </c>
      <c r="O917" s="13" t="n">
        <v>174</v>
      </c>
      <c r="P917" s="13" t="s">
        <v>1046</v>
      </c>
      <c r="Q917" s="13" t="s">
        <v>963</v>
      </c>
      <c r="R917" s="13" t="s">
        <v>1611</v>
      </c>
      <c r="S917" s="13" t="s">
        <v>1611</v>
      </c>
      <c r="T917" s="13" t="s">
        <v>61</v>
      </c>
      <c r="U917" s="13"/>
    </row>
    <row r="918" customFormat="false" ht="18" hidden="false" customHeight="true" outlineLevel="0" collapsed="false">
      <c r="A918" s="13" t="n">
        <v>917</v>
      </c>
      <c r="B918" s="13" t="s">
        <v>5521</v>
      </c>
      <c r="C918" s="13" t="s">
        <v>63</v>
      </c>
      <c r="D918" s="13" t="s">
        <v>64</v>
      </c>
      <c r="E918" s="13" t="s">
        <v>50</v>
      </c>
      <c r="F918" s="13" t="s">
        <v>138</v>
      </c>
      <c r="G918" s="13" t="s">
        <v>689</v>
      </c>
      <c r="H918" s="13" t="s">
        <v>5522</v>
      </c>
      <c r="I918" s="13" t="s">
        <v>5523</v>
      </c>
      <c r="J918" s="13" t="s">
        <v>5524</v>
      </c>
      <c r="K918" s="13" t="s">
        <v>2989</v>
      </c>
      <c r="L918" s="13" t="s">
        <v>2990</v>
      </c>
      <c r="M918" s="13" t="n">
        <v>1172.28</v>
      </c>
      <c r="N918" s="13" t="n">
        <v>0.77</v>
      </c>
      <c r="O918" s="13" t="n">
        <v>31</v>
      </c>
      <c r="P918" s="13" t="s">
        <v>2991</v>
      </c>
      <c r="Q918" s="13" t="s">
        <v>4582</v>
      </c>
      <c r="R918" s="13" t="s">
        <v>1202</v>
      </c>
      <c r="S918" s="13" t="s">
        <v>1202</v>
      </c>
      <c r="T918" s="13" t="s">
        <v>61</v>
      </c>
      <c r="U918" s="13"/>
    </row>
    <row r="919" customFormat="false" ht="18" hidden="false" customHeight="true" outlineLevel="0" collapsed="false">
      <c r="A919" s="13" t="n">
        <v>918</v>
      </c>
      <c r="B919" s="13" t="s">
        <v>5525</v>
      </c>
      <c r="C919" s="13" t="s">
        <v>173</v>
      </c>
      <c r="D919" s="13" t="s">
        <v>174</v>
      </c>
      <c r="E919" s="13" t="s">
        <v>50</v>
      </c>
      <c r="F919" s="13" t="s">
        <v>138</v>
      </c>
      <c r="G919" s="13" t="s">
        <v>217</v>
      </c>
      <c r="H919" s="13" t="s">
        <v>5526</v>
      </c>
      <c r="I919" s="13" t="s">
        <v>5527</v>
      </c>
      <c r="J919" s="13" t="s">
        <v>5528</v>
      </c>
      <c r="K919" s="13" t="s">
        <v>4694</v>
      </c>
      <c r="L919" s="13" t="s">
        <v>3077</v>
      </c>
      <c r="M919" s="13" t="n">
        <v>914.99</v>
      </c>
      <c r="N919" s="13" t="n">
        <v>0.69</v>
      </c>
      <c r="O919" s="13" t="n">
        <v>89</v>
      </c>
      <c r="P919" s="13" t="s">
        <v>3078</v>
      </c>
      <c r="Q919" s="13" t="s">
        <v>584</v>
      </c>
      <c r="R919" s="13" t="s">
        <v>829</v>
      </c>
      <c r="S919" s="13" t="s">
        <v>829</v>
      </c>
      <c r="T919" s="13" t="s">
        <v>61</v>
      </c>
      <c r="U919" s="13"/>
    </row>
    <row r="920" customFormat="false" ht="18" hidden="false" customHeight="true" outlineLevel="0" collapsed="false">
      <c r="A920" s="16" t="n">
        <v>919</v>
      </c>
      <c r="B920" s="16" t="s">
        <v>5529</v>
      </c>
      <c r="C920" s="16" t="s">
        <v>48</v>
      </c>
      <c r="D920" s="16" t="s">
        <v>49</v>
      </c>
      <c r="E920" s="16" t="s">
        <v>50</v>
      </c>
      <c r="F920" s="16" t="s">
        <v>115</v>
      </c>
      <c r="G920" s="16" t="s">
        <v>352</v>
      </c>
      <c r="H920" s="16" t="s">
        <v>5530</v>
      </c>
      <c r="I920" s="16" t="s">
        <v>5531</v>
      </c>
      <c r="J920" s="16" t="s">
        <v>5532</v>
      </c>
      <c r="K920" s="16" t="s">
        <v>5533</v>
      </c>
      <c r="L920" s="16" t="s">
        <v>1280</v>
      </c>
      <c r="M920" s="16" t="n">
        <v>804.91</v>
      </c>
      <c r="N920" s="16" t="n">
        <v>0.49</v>
      </c>
      <c r="O920" s="16" t="n">
        <v>0</v>
      </c>
      <c r="P920" s="16" t="s">
        <v>1281</v>
      </c>
      <c r="Q920" s="16" t="s">
        <v>2391</v>
      </c>
      <c r="R920" s="16" t="s">
        <v>2527</v>
      </c>
      <c r="S920" s="16" t="s">
        <v>5534</v>
      </c>
      <c r="T920" s="16" t="s">
        <v>61</v>
      </c>
      <c r="U920" s="16" t="s">
        <v>325</v>
      </c>
    </row>
    <row r="921" customFormat="false" ht="18" hidden="false" customHeight="true" outlineLevel="0" collapsed="false">
      <c r="A921" s="13" t="n">
        <v>920</v>
      </c>
      <c r="B921" s="13" t="s">
        <v>5535</v>
      </c>
      <c r="C921" s="13" t="s">
        <v>159</v>
      </c>
      <c r="D921" s="13" t="s">
        <v>160</v>
      </c>
      <c r="E921" s="13" t="s">
        <v>79</v>
      </c>
      <c r="F921" s="13" t="s">
        <v>1531</v>
      </c>
      <c r="G921" s="13" t="s">
        <v>760</v>
      </c>
      <c r="H921" s="13" t="s">
        <v>5536</v>
      </c>
      <c r="I921" s="13" t="s">
        <v>5537</v>
      </c>
      <c r="J921" s="13" t="s">
        <v>5538</v>
      </c>
      <c r="K921" s="13" t="s">
        <v>5539</v>
      </c>
      <c r="L921" s="13" t="s">
        <v>5540</v>
      </c>
      <c r="M921" s="13" t="n">
        <v>1300.71</v>
      </c>
      <c r="N921" s="13" t="n">
        <v>1.5</v>
      </c>
      <c r="O921" s="13" t="n">
        <v>125</v>
      </c>
      <c r="P921" s="13" t="s">
        <v>5541</v>
      </c>
      <c r="Q921" s="13" t="s">
        <v>5542</v>
      </c>
      <c r="R921" s="13" t="s">
        <v>3288</v>
      </c>
      <c r="S921" s="13" t="s">
        <v>3288</v>
      </c>
      <c r="T921" s="13" t="s">
        <v>61</v>
      </c>
      <c r="U921" s="13"/>
    </row>
    <row r="922" customFormat="false" ht="18" hidden="false" customHeight="true" outlineLevel="0" collapsed="false">
      <c r="A922" s="15" t="n">
        <v>921</v>
      </c>
      <c r="B922" s="15" t="s">
        <v>5543</v>
      </c>
      <c r="C922" s="15" t="s">
        <v>48</v>
      </c>
      <c r="D922" s="15" t="s">
        <v>49</v>
      </c>
      <c r="E922" s="15" t="s">
        <v>65</v>
      </c>
      <c r="F922" s="15" t="s">
        <v>371</v>
      </c>
      <c r="G922" s="15" t="s">
        <v>149</v>
      </c>
      <c r="H922" s="15" t="s">
        <v>5544</v>
      </c>
      <c r="I922" s="15" t="s">
        <v>5545</v>
      </c>
      <c r="J922" s="15" t="s">
        <v>5546</v>
      </c>
      <c r="K922" s="15"/>
      <c r="L922" s="15" t="s">
        <v>5547</v>
      </c>
      <c r="M922" s="15" t="n">
        <v>479.68</v>
      </c>
      <c r="N922" s="15" t="n">
        <v>1.06</v>
      </c>
      <c r="O922" s="15" t="n">
        <v>164</v>
      </c>
      <c r="P922" s="15" t="s">
        <v>5548</v>
      </c>
      <c r="Q922" s="15" t="s">
        <v>499</v>
      </c>
      <c r="R922" s="15" t="s">
        <v>2224</v>
      </c>
      <c r="S922" s="15" t="s">
        <v>2224</v>
      </c>
      <c r="T922" s="15" t="s">
        <v>61</v>
      </c>
      <c r="U922" s="15" t="s">
        <v>243</v>
      </c>
    </row>
    <row r="923" customFormat="false" ht="18" hidden="false" customHeight="true" outlineLevel="0" collapsed="false">
      <c r="A923" s="13" t="n">
        <v>922</v>
      </c>
      <c r="B923" s="13" t="s">
        <v>5549</v>
      </c>
      <c r="C923" s="13" t="s">
        <v>255</v>
      </c>
      <c r="D923" s="13" t="s">
        <v>256</v>
      </c>
      <c r="E923" s="13" t="s">
        <v>79</v>
      </c>
      <c r="F923" s="13" t="s">
        <v>51</v>
      </c>
      <c r="G923" s="13" t="s">
        <v>80</v>
      </c>
      <c r="H923" s="13" t="s">
        <v>5550</v>
      </c>
      <c r="I923" s="13" t="s">
        <v>5551</v>
      </c>
      <c r="J923" s="13" t="s">
        <v>5552</v>
      </c>
      <c r="K923" s="13" t="s">
        <v>5553</v>
      </c>
      <c r="L923" s="13" t="s">
        <v>835</v>
      </c>
      <c r="M923" s="13" t="n">
        <v>2391.27</v>
      </c>
      <c r="N923" s="13" t="n">
        <v>1.53</v>
      </c>
      <c r="O923" s="13" t="n">
        <v>47</v>
      </c>
      <c r="P923" s="13" t="s">
        <v>836</v>
      </c>
      <c r="Q923" s="13" t="s">
        <v>2398</v>
      </c>
      <c r="R923" s="13" t="s">
        <v>3754</v>
      </c>
      <c r="S923" s="13" t="s">
        <v>3754</v>
      </c>
      <c r="T923" s="13" t="s">
        <v>61</v>
      </c>
      <c r="U923" s="13"/>
    </row>
    <row r="924" customFormat="false" ht="18" hidden="false" customHeight="true" outlineLevel="0" collapsed="false">
      <c r="A924" s="13" t="n">
        <v>923</v>
      </c>
      <c r="B924" s="13" t="s">
        <v>5554</v>
      </c>
      <c r="C924" s="13" t="s">
        <v>159</v>
      </c>
      <c r="D924" s="13" t="s">
        <v>160</v>
      </c>
      <c r="E924" s="13" t="s">
        <v>50</v>
      </c>
      <c r="F924" s="13" t="s">
        <v>115</v>
      </c>
      <c r="G924" s="13" t="s">
        <v>352</v>
      </c>
      <c r="H924" s="13" t="s">
        <v>5555</v>
      </c>
      <c r="I924" s="13" t="s">
        <v>5556</v>
      </c>
      <c r="J924" s="13" t="s">
        <v>5557</v>
      </c>
      <c r="K924" s="13" t="s">
        <v>4971</v>
      </c>
      <c r="L924" s="13" t="s">
        <v>1280</v>
      </c>
      <c r="M924" s="13" t="n">
        <v>563.92</v>
      </c>
      <c r="N924" s="13" t="n">
        <v>0.43</v>
      </c>
      <c r="O924" s="13" t="n">
        <v>385</v>
      </c>
      <c r="P924" s="13" t="s">
        <v>1281</v>
      </c>
      <c r="Q924" s="13" t="s">
        <v>2521</v>
      </c>
      <c r="R924" s="13" t="s">
        <v>1267</v>
      </c>
      <c r="S924" s="13" t="s">
        <v>1267</v>
      </c>
      <c r="T924" s="13" t="s">
        <v>61</v>
      </c>
      <c r="U924" s="13"/>
    </row>
    <row r="925" customFormat="false" ht="18" hidden="false" customHeight="true" outlineLevel="0" collapsed="false">
      <c r="A925" s="13" t="n">
        <v>924</v>
      </c>
      <c r="B925" s="13" t="s">
        <v>5558</v>
      </c>
      <c r="C925" s="13" t="s">
        <v>159</v>
      </c>
      <c r="D925" s="13" t="s">
        <v>160</v>
      </c>
      <c r="E925" s="13" t="s">
        <v>79</v>
      </c>
      <c r="F925" s="13" t="s">
        <v>51</v>
      </c>
      <c r="G925" s="13" t="s">
        <v>733</v>
      </c>
      <c r="H925" s="13" t="s">
        <v>5559</v>
      </c>
      <c r="I925" s="13" t="s">
        <v>5560</v>
      </c>
      <c r="J925" s="13" t="s">
        <v>5561</v>
      </c>
      <c r="K925" s="13" t="s">
        <v>5562</v>
      </c>
      <c r="L925" s="13" t="s">
        <v>5563</v>
      </c>
      <c r="M925" s="13" t="n">
        <v>1071.85</v>
      </c>
      <c r="N925" s="13" t="n">
        <v>2.05</v>
      </c>
      <c r="O925" s="13" t="n">
        <v>243</v>
      </c>
      <c r="P925" s="13" t="s">
        <v>5564</v>
      </c>
      <c r="Q925" s="13" t="s">
        <v>5565</v>
      </c>
      <c r="R925" s="13" t="s">
        <v>445</v>
      </c>
      <c r="S925" s="13" t="s">
        <v>445</v>
      </c>
      <c r="T925" s="13" t="s">
        <v>61</v>
      </c>
      <c r="U925" s="13"/>
    </row>
    <row r="926" customFormat="false" ht="18" hidden="false" customHeight="true" outlineLevel="0" collapsed="false">
      <c r="A926" s="13" t="n">
        <v>925</v>
      </c>
      <c r="B926" s="13" t="s">
        <v>5566</v>
      </c>
      <c r="C926" s="13" t="s">
        <v>48</v>
      </c>
      <c r="D926" s="13" t="s">
        <v>49</v>
      </c>
      <c r="E926" s="13" t="s">
        <v>65</v>
      </c>
      <c r="F926" s="13" t="s">
        <v>66</v>
      </c>
      <c r="G926" s="13" t="s">
        <v>274</v>
      </c>
      <c r="H926" s="13" t="s">
        <v>5567</v>
      </c>
      <c r="I926" s="13" t="s">
        <v>5568</v>
      </c>
      <c r="J926" s="13" t="s">
        <v>5569</v>
      </c>
      <c r="K926" s="13" t="s">
        <v>1696</v>
      </c>
      <c r="L926" s="13" t="s">
        <v>1697</v>
      </c>
      <c r="M926" s="13" t="n">
        <v>493.27</v>
      </c>
      <c r="N926" s="13" t="n">
        <v>1.34</v>
      </c>
      <c r="O926" s="13" t="n">
        <v>35</v>
      </c>
      <c r="P926" s="13" t="s">
        <v>1698</v>
      </c>
      <c r="Q926" s="13" t="s">
        <v>2720</v>
      </c>
      <c r="R926" s="13" t="s">
        <v>595</v>
      </c>
      <c r="S926" s="13" t="s">
        <v>595</v>
      </c>
      <c r="T926" s="13" t="s">
        <v>61</v>
      </c>
      <c r="U926" s="13"/>
    </row>
    <row r="927" customFormat="false" ht="18" hidden="false" customHeight="true" outlineLevel="0" collapsed="false">
      <c r="A927" s="13" t="n">
        <v>926</v>
      </c>
      <c r="B927" s="13" t="s">
        <v>5570</v>
      </c>
      <c r="C927" s="13" t="s">
        <v>159</v>
      </c>
      <c r="D927" s="13" t="s">
        <v>160</v>
      </c>
      <c r="E927" s="13" t="s">
        <v>50</v>
      </c>
      <c r="F927" s="13" t="s">
        <v>115</v>
      </c>
      <c r="G927" s="13" t="s">
        <v>217</v>
      </c>
      <c r="H927" s="13" t="s">
        <v>5571</v>
      </c>
      <c r="I927" s="13" t="s">
        <v>5572</v>
      </c>
      <c r="J927" s="13" t="s">
        <v>5573</v>
      </c>
      <c r="K927" s="13" t="s">
        <v>5574</v>
      </c>
      <c r="L927" s="13" t="s">
        <v>366</v>
      </c>
      <c r="M927" s="13" t="n">
        <v>972.27</v>
      </c>
      <c r="N927" s="13" t="n">
        <v>0.62</v>
      </c>
      <c r="O927" s="13" t="n">
        <v>203</v>
      </c>
      <c r="P927" s="13" t="s">
        <v>367</v>
      </c>
      <c r="Q927" s="13" t="s">
        <v>4128</v>
      </c>
      <c r="R927" s="13" t="s">
        <v>5575</v>
      </c>
      <c r="S927" s="13" t="s">
        <v>5575</v>
      </c>
      <c r="T927" s="13" t="s">
        <v>61</v>
      </c>
      <c r="U927" s="13"/>
    </row>
    <row r="928" customFormat="false" ht="18" hidden="false" customHeight="true" outlineLevel="0" collapsed="false">
      <c r="A928" s="13" t="n">
        <v>927</v>
      </c>
      <c r="B928" s="13" t="s">
        <v>5576</v>
      </c>
      <c r="C928" s="13" t="s">
        <v>159</v>
      </c>
      <c r="D928" s="13" t="s">
        <v>160</v>
      </c>
      <c r="E928" s="13" t="s">
        <v>50</v>
      </c>
      <c r="F928" s="13" t="s">
        <v>51</v>
      </c>
      <c r="G928" s="13" t="s">
        <v>352</v>
      </c>
      <c r="H928" s="13" t="s">
        <v>5577</v>
      </c>
      <c r="I928" s="13" t="s">
        <v>5578</v>
      </c>
      <c r="J928" s="13" t="s">
        <v>5579</v>
      </c>
      <c r="K928" s="13" t="s">
        <v>5580</v>
      </c>
      <c r="L928" s="13" t="s">
        <v>357</v>
      </c>
      <c r="M928" s="13" t="n">
        <v>404.04</v>
      </c>
      <c r="N928" s="13" t="n">
        <v>0.56</v>
      </c>
      <c r="O928" s="13" t="n">
        <v>31</v>
      </c>
      <c r="P928" s="13" t="s">
        <v>358</v>
      </c>
      <c r="Q928" s="13" t="s">
        <v>5581</v>
      </c>
      <c r="R928" s="13" t="s">
        <v>2377</v>
      </c>
      <c r="S928" s="13" t="s">
        <v>2377</v>
      </c>
      <c r="T928" s="13" t="s">
        <v>61</v>
      </c>
      <c r="U928" s="13"/>
    </row>
    <row r="929" customFormat="false" ht="18" hidden="false" customHeight="true" outlineLevel="0" collapsed="false">
      <c r="A929" s="13" t="n">
        <v>928</v>
      </c>
      <c r="B929" s="13" t="s">
        <v>5582</v>
      </c>
      <c r="C929" s="13" t="s">
        <v>48</v>
      </c>
      <c r="D929" s="13" t="s">
        <v>49</v>
      </c>
      <c r="E929" s="13" t="s">
        <v>50</v>
      </c>
      <c r="F929" s="13" t="s">
        <v>115</v>
      </c>
      <c r="G929" s="13" t="s">
        <v>808</v>
      </c>
      <c r="H929" s="13" t="s">
        <v>5583</v>
      </c>
      <c r="I929" s="13" t="s">
        <v>5584</v>
      </c>
      <c r="J929" s="13" t="s">
        <v>5585</v>
      </c>
      <c r="K929" s="13" t="s">
        <v>5586</v>
      </c>
      <c r="L929" s="13" t="s">
        <v>2339</v>
      </c>
      <c r="M929" s="13" t="n">
        <v>804.33</v>
      </c>
      <c r="N929" s="13" t="n">
        <v>0.7</v>
      </c>
      <c r="O929" s="13" t="n">
        <v>172</v>
      </c>
      <c r="P929" s="13" t="s">
        <v>2340</v>
      </c>
      <c r="Q929" s="13" t="s">
        <v>4839</v>
      </c>
      <c r="R929" s="13" t="s">
        <v>820</v>
      </c>
      <c r="S929" s="13" t="s">
        <v>820</v>
      </c>
      <c r="T929" s="13" t="s">
        <v>61</v>
      </c>
      <c r="U929" s="13"/>
    </row>
    <row r="930" customFormat="false" ht="18" hidden="false" customHeight="true" outlineLevel="0" collapsed="false">
      <c r="A930" s="13" t="n">
        <v>929</v>
      </c>
      <c r="B930" s="13" t="s">
        <v>5587</v>
      </c>
      <c r="C930" s="13" t="s">
        <v>63</v>
      </c>
      <c r="D930" s="13" t="s">
        <v>64</v>
      </c>
      <c r="E930" s="13" t="s">
        <v>161</v>
      </c>
      <c r="F930" s="13" t="s">
        <v>429</v>
      </c>
      <c r="G930" s="13" t="s">
        <v>163</v>
      </c>
      <c r="H930" s="13" t="s">
        <v>5588</v>
      </c>
      <c r="I930" s="13" t="s">
        <v>5589</v>
      </c>
      <c r="J930" s="13" t="s">
        <v>5590</v>
      </c>
      <c r="K930" s="13" t="s">
        <v>5591</v>
      </c>
      <c r="L930" s="13" t="s">
        <v>668</v>
      </c>
      <c r="M930" s="13" t="n">
        <v>37.4</v>
      </c>
      <c r="N930" s="13" t="n">
        <v>0.3</v>
      </c>
      <c r="O930" s="13" t="n">
        <v>215</v>
      </c>
      <c r="P930" s="13" t="s">
        <v>669</v>
      </c>
      <c r="Q930" s="13" t="s">
        <v>292</v>
      </c>
      <c r="R930" s="13" t="s">
        <v>1827</v>
      </c>
      <c r="S930" s="13" t="s">
        <v>1827</v>
      </c>
      <c r="T930" s="13" t="s">
        <v>61</v>
      </c>
      <c r="U930" s="13"/>
    </row>
    <row r="931" customFormat="false" ht="18" hidden="false" customHeight="true" outlineLevel="0" collapsed="false">
      <c r="A931" s="13" t="n">
        <v>930</v>
      </c>
      <c r="B931" s="13" t="s">
        <v>5592</v>
      </c>
      <c r="C931" s="13" t="s">
        <v>159</v>
      </c>
      <c r="D931" s="13" t="s">
        <v>160</v>
      </c>
      <c r="E931" s="13" t="s">
        <v>79</v>
      </c>
      <c r="F931" s="13" t="s">
        <v>127</v>
      </c>
      <c r="G931" s="13" t="s">
        <v>197</v>
      </c>
      <c r="H931" s="13" t="s">
        <v>5593</v>
      </c>
      <c r="I931" s="13" t="s">
        <v>5594</v>
      </c>
      <c r="J931" s="13" t="s">
        <v>5595</v>
      </c>
      <c r="K931" s="13" t="s">
        <v>5596</v>
      </c>
      <c r="L931" s="13" t="s">
        <v>5597</v>
      </c>
      <c r="M931" s="13" t="n">
        <v>1346.42</v>
      </c>
      <c r="N931" s="13" t="n">
        <v>1.89</v>
      </c>
      <c r="O931" s="13" t="n">
        <v>188</v>
      </c>
      <c r="P931" s="13" t="s">
        <v>5598</v>
      </c>
      <c r="Q931" s="13" t="s">
        <v>5599</v>
      </c>
      <c r="R931" s="13" t="s">
        <v>1035</v>
      </c>
      <c r="S931" s="13" t="s">
        <v>1035</v>
      </c>
      <c r="T931" s="13" t="s">
        <v>61</v>
      </c>
      <c r="U931" s="13"/>
    </row>
    <row r="932" customFormat="false" ht="18" hidden="false" customHeight="true" outlineLevel="0" collapsed="false">
      <c r="A932" s="14" t="n">
        <v>931</v>
      </c>
      <c r="B932" s="14" t="s">
        <v>5600</v>
      </c>
      <c r="C932" s="14" t="s">
        <v>125</v>
      </c>
      <c r="D932" s="14" t="s">
        <v>126</v>
      </c>
      <c r="E932" s="14" t="s">
        <v>161</v>
      </c>
      <c r="F932" s="14" t="s">
        <v>185</v>
      </c>
      <c r="G932" s="14" t="s">
        <v>257</v>
      </c>
      <c r="H932" s="14" t="s">
        <v>5601</v>
      </c>
      <c r="I932" s="14" t="s">
        <v>5602</v>
      </c>
      <c r="J932" s="14" t="s">
        <v>5603</v>
      </c>
      <c r="K932" s="14" t="s">
        <v>5604</v>
      </c>
      <c r="L932" s="14" t="s">
        <v>641</v>
      </c>
      <c r="M932" s="14" t="n">
        <v>437</v>
      </c>
      <c r="N932" s="14" t="n">
        <v>0.4</v>
      </c>
      <c r="O932" s="14" t="n">
        <v>97</v>
      </c>
      <c r="P932" s="14"/>
      <c r="Q932" s="14" t="s">
        <v>1273</v>
      </c>
      <c r="R932" s="14" t="s">
        <v>1435</v>
      </c>
      <c r="S932" s="14" t="s">
        <v>1435</v>
      </c>
      <c r="T932" s="14" t="s">
        <v>61</v>
      </c>
      <c r="U932" s="14" t="s">
        <v>1014</v>
      </c>
    </row>
    <row r="933" customFormat="false" ht="18" hidden="false" customHeight="true" outlineLevel="0" collapsed="false">
      <c r="A933" s="13" t="n">
        <v>932</v>
      </c>
      <c r="B933" s="13" t="s">
        <v>5605</v>
      </c>
      <c r="C933" s="13" t="s">
        <v>255</v>
      </c>
      <c r="D933" s="13" t="s">
        <v>256</v>
      </c>
      <c r="E933" s="13" t="s">
        <v>50</v>
      </c>
      <c r="F933" s="13" t="s">
        <v>503</v>
      </c>
      <c r="G933" s="13" t="s">
        <v>217</v>
      </c>
      <c r="H933" s="13" t="s">
        <v>5606</v>
      </c>
      <c r="I933" s="13" t="s">
        <v>5607</v>
      </c>
      <c r="J933" s="13" t="s">
        <v>5608</v>
      </c>
      <c r="K933" s="13" t="s">
        <v>3721</v>
      </c>
      <c r="L933" s="13" t="s">
        <v>3722</v>
      </c>
      <c r="M933" s="13" t="n">
        <v>1056.44</v>
      </c>
      <c r="N933" s="13" t="n">
        <v>0.34</v>
      </c>
      <c r="O933" s="13" t="n">
        <v>306</v>
      </c>
      <c r="P933" s="13" t="s">
        <v>3723</v>
      </c>
      <c r="Q933" s="13" t="s">
        <v>4271</v>
      </c>
      <c r="R933" s="13" t="s">
        <v>2300</v>
      </c>
      <c r="S933" s="13" t="s">
        <v>2300</v>
      </c>
      <c r="T933" s="13" t="s">
        <v>61</v>
      </c>
      <c r="U933" s="13"/>
    </row>
    <row r="934" customFormat="false" ht="18" hidden="false" customHeight="true" outlineLevel="0" collapsed="false">
      <c r="A934" s="15" t="n">
        <v>933</v>
      </c>
      <c r="B934" s="15" t="s">
        <v>1062</v>
      </c>
      <c r="C934" s="15" t="s">
        <v>113</v>
      </c>
      <c r="D934" s="15" t="s">
        <v>114</v>
      </c>
      <c r="E934" s="15" t="s">
        <v>91</v>
      </c>
      <c r="F934" s="15" t="s">
        <v>780</v>
      </c>
      <c r="G934" s="15" t="s">
        <v>139</v>
      </c>
      <c r="H934" s="15" t="s">
        <v>1063</v>
      </c>
      <c r="I934" s="15" t="s">
        <v>1064</v>
      </c>
      <c r="J934" s="15" t="s">
        <v>5609</v>
      </c>
      <c r="K934" s="15" t="s">
        <v>1066</v>
      </c>
      <c r="L934" s="15" t="s">
        <v>785</v>
      </c>
      <c r="M934" s="15" t="n">
        <v>2314.69</v>
      </c>
      <c r="N934" s="15" t="n">
        <v>24.93</v>
      </c>
      <c r="O934" s="15" t="n">
        <v>305</v>
      </c>
      <c r="P934" s="15" t="s">
        <v>786</v>
      </c>
      <c r="Q934" s="15" t="s">
        <v>193</v>
      </c>
      <c r="R934" s="15" t="s">
        <v>777</v>
      </c>
      <c r="S934" s="15" t="s">
        <v>777</v>
      </c>
      <c r="T934" s="15" t="s">
        <v>61</v>
      </c>
      <c r="U934" s="15" t="s">
        <v>283</v>
      </c>
    </row>
    <row r="935" customFormat="false" ht="18" hidden="false" customHeight="true" outlineLevel="0" collapsed="false">
      <c r="A935" s="13" t="n">
        <v>934</v>
      </c>
      <c r="B935" s="13" t="s">
        <v>5610</v>
      </c>
      <c r="C935" s="13" t="s">
        <v>125</v>
      </c>
      <c r="D935" s="13" t="s">
        <v>126</v>
      </c>
      <c r="E935" s="13" t="s">
        <v>79</v>
      </c>
      <c r="F935" s="13" t="s">
        <v>465</v>
      </c>
      <c r="G935" s="13" t="s">
        <v>80</v>
      </c>
      <c r="H935" s="13" t="s">
        <v>5611</v>
      </c>
      <c r="I935" s="13" t="s">
        <v>5612</v>
      </c>
      <c r="J935" s="13" t="s">
        <v>5613</v>
      </c>
      <c r="K935" s="13" t="s">
        <v>5614</v>
      </c>
      <c r="L935" s="13" t="s">
        <v>470</v>
      </c>
      <c r="M935" s="13" t="n">
        <v>607.12</v>
      </c>
      <c r="N935" s="13" t="n">
        <v>2.13</v>
      </c>
      <c r="O935" s="13" t="n">
        <v>7</v>
      </c>
      <c r="P935" s="13" t="s">
        <v>471</v>
      </c>
      <c r="Q935" s="13" t="s">
        <v>5615</v>
      </c>
      <c r="R935" s="13" t="s">
        <v>5616</v>
      </c>
      <c r="S935" s="13" t="s">
        <v>5616</v>
      </c>
      <c r="T935" s="13" t="s">
        <v>61</v>
      </c>
      <c r="U935" s="13"/>
    </row>
    <row r="936" customFormat="false" ht="18" hidden="false" customHeight="true" outlineLevel="0" collapsed="false">
      <c r="A936" s="13" t="n">
        <v>935</v>
      </c>
      <c r="B936" s="13" t="s">
        <v>5617</v>
      </c>
      <c r="C936" s="13" t="s">
        <v>173</v>
      </c>
      <c r="D936" s="13" t="s">
        <v>174</v>
      </c>
      <c r="E936" s="13" t="s">
        <v>161</v>
      </c>
      <c r="F936" s="13" t="s">
        <v>306</v>
      </c>
      <c r="G936" s="13" t="s">
        <v>285</v>
      </c>
      <c r="H936" s="13" t="s">
        <v>5618</v>
      </c>
      <c r="I936" s="13" t="s">
        <v>5619</v>
      </c>
      <c r="J936" s="13" t="s">
        <v>5620</v>
      </c>
      <c r="K936" s="13" t="s">
        <v>2809</v>
      </c>
      <c r="L936" s="13" t="s">
        <v>1186</v>
      </c>
      <c r="M936" s="13" t="n">
        <v>74.84</v>
      </c>
      <c r="N936" s="13" t="n">
        <v>0.43</v>
      </c>
      <c r="O936" s="13" t="n">
        <v>93</v>
      </c>
      <c r="P936" s="13" t="s">
        <v>1187</v>
      </c>
      <c r="Q936" s="13" t="s">
        <v>678</v>
      </c>
      <c r="R936" s="13" t="s">
        <v>5621</v>
      </c>
      <c r="S936" s="13" t="s">
        <v>5621</v>
      </c>
      <c r="T936" s="13" t="s">
        <v>61</v>
      </c>
      <c r="U936" s="13"/>
    </row>
    <row r="937" customFormat="false" ht="18" hidden="false" customHeight="true" outlineLevel="0" collapsed="false">
      <c r="A937" s="13" t="n">
        <v>936</v>
      </c>
      <c r="B937" s="13" t="s">
        <v>5622</v>
      </c>
      <c r="C937" s="13" t="s">
        <v>113</v>
      </c>
      <c r="D937" s="13" t="s">
        <v>114</v>
      </c>
      <c r="E937" s="13" t="s">
        <v>91</v>
      </c>
      <c r="F937" s="13" t="s">
        <v>587</v>
      </c>
      <c r="G937" s="13" t="s">
        <v>533</v>
      </c>
      <c r="H937" s="13" t="s">
        <v>5623</v>
      </c>
      <c r="I937" s="13" t="s">
        <v>5624</v>
      </c>
      <c r="J937" s="13" t="s">
        <v>5625</v>
      </c>
      <c r="K937" s="13" t="s">
        <v>5626</v>
      </c>
      <c r="L937" s="13" t="s">
        <v>869</v>
      </c>
      <c r="M937" s="13" t="n">
        <v>3170.16</v>
      </c>
      <c r="N937" s="13" t="n">
        <v>22.35</v>
      </c>
      <c r="O937" s="13" t="n">
        <v>50</v>
      </c>
      <c r="P937" s="13" t="s">
        <v>870</v>
      </c>
      <c r="Q937" s="13" t="s">
        <v>5627</v>
      </c>
      <c r="R937" s="13" t="s">
        <v>585</v>
      </c>
      <c r="S937" s="13" t="s">
        <v>585</v>
      </c>
      <c r="T937" s="13" t="s">
        <v>61</v>
      </c>
      <c r="U937" s="13"/>
    </row>
    <row r="938" customFormat="false" ht="18" hidden="false" customHeight="true" outlineLevel="0" collapsed="false">
      <c r="A938" s="13" t="n">
        <v>937</v>
      </c>
      <c r="B938" s="13" t="s">
        <v>5628</v>
      </c>
      <c r="C938" s="13" t="s">
        <v>255</v>
      </c>
      <c r="D938" s="13" t="s">
        <v>256</v>
      </c>
      <c r="E938" s="13" t="s">
        <v>161</v>
      </c>
      <c r="F938" s="13" t="s">
        <v>51</v>
      </c>
      <c r="G938" s="13" t="s">
        <v>334</v>
      </c>
      <c r="H938" s="13" t="s">
        <v>5629</v>
      </c>
      <c r="I938" s="13" t="s">
        <v>5630</v>
      </c>
      <c r="J938" s="13" t="s">
        <v>5631</v>
      </c>
      <c r="K938" s="13" t="s">
        <v>1031</v>
      </c>
      <c r="L938" s="13" t="s">
        <v>1032</v>
      </c>
      <c r="M938" s="13" t="n">
        <v>406.89</v>
      </c>
      <c r="N938" s="13" t="n">
        <v>0.25</v>
      </c>
      <c r="O938" s="13" t="n">
        <v>92</v>
      </c>
      <c r="P938" s="13" t="s">
        <v>1033</v>
      </c>
      <c r="Q938" s="13" t="s">
        <v>1569</v>
      </c>
      <c r="R938" s="13" t="s">
        <v>5632</v>
      </c>
      <c r="S938" s="13" t="s">
        <v>5632</v>
      </c>
      <c r="T938" s="13" t="s">
        <v>61</v>
      </c>
      <c r="U938" s="13"/>
    </row>
    <row r="939" customFormat="false" ht="18" hidden="false" customHeight="true" outlineLevel="0" collapsed="false">
      <c r="A939" s="13" t="n">
        <v>938</v>
      </c>
      <c r="B939" s="13" t="s">
        <v>5633</v>
      </c>
      <c r="C939" s="13" t="s">
        <v>255</v>
      </c>
      <c r="D939" s="13" t="s">
        <v>256</v>
      </c>
      <c r="E939" s="13" t="s">
        <v>50</v>
      </c>
      <c r="F939" s="13" t="s">
        <v>138</v>
      </c>
      <c r="G939" s="13" t="s">
        <v>808</v>
      </c>
      <c r="H939" s="13" t="s">
        <v>5634</v>
      </c>
      <c r="I939" s="13" t="s">
        <v>5635</v>
      </c>
      <c r="J939" s="13" t="s">
        <v>5636</v>
      </c>
      <c r="K939" s="13" t="s">
        <v>5637</v>
      </c>
      <c r="L939" s="13" t="s">
        <v>813</v>
      </c>
      <c r="M939" s="13" t="n">
        <v>1115.58</v>
      </c>
      <c r="N939" s="13" t="n">
        <v>0.85</v>
      </c>
      <c r="O939" s="13" t="n">
        <v>318</v>
      </c>
      <c r="P939" s="13" t="s">
        <v>814</v>
      </c>
      <c r="Q939" s="13" t="s">
        <v>3997</v>
      </c>
      <c r="R939" s="13" t="s">
        <v>939</v>
      </c>
      <c r="S939" s="13" t="s">
        <v>939</v>
      </c>
      <c r="T939" s="13" t="s">
        <v>61</v>
      </c>
      <c r="U939" s="13"/>
    </row>
    <row r="940" customFormat="false" ht="18" hidden="false" customHeight="true" outlineLevel="0" collapsed="false">
      <c r="A940" s="13" t="n">
        <v>939</v>
      </c>
      <c r="B940" s="13" t="s">
        <v>5638</v>
      </c>
      <c r="C940" s="13" t="s">
        <v>63</v>
      </c>
      <c r="D940" s="13" t="s">
        <v>64</v>
      </c>
      <c r="E940" s="13" t="s">
        <v>79</v>
      </c>
      <c r="F940" s="13" t="s">
        <v>51</v>
      </c>
      <c r="G940" s="13" t="s">
        <v>760</v>
      </c>
      <c r="H940" s="13" t="s">
        <v>5639</v>
      </c>
      <c r="I940" s="13" t="s">
        <v>5640</v>
      </c>
      <c r="J940" s="13" t="s">
        <v>5641</v>
      </c>
      <c r="K940" s="13" t="s">
        <v>5642</v>
      </c>
      <c r="L940" s="13" t="s">
        <v>3448</v>
      </c>
      <c r="M940" s="13" t="n">
        <v>801.86</v>
      </c>
      <c r="N940" s="13" t="n">
        <v>2.26</v>
      </c>
      <c r="O940" s="13" t="n">
        <v>194</v>
      </c>
      <c r="P940" s="13" t="s">
        <v>3449</v>
      </c>
      <c r="Q940" s="13" t="s">
        <v>1592</v>
      </c>
      <c r="R940" s="13" t="s">
        <v>360</v>
      </c>
      <c r="S940" s="13" t="s">
        <v>360</v>
      </c>
      <c r="T940" s="13" t="s">
        <v>61</v>
      </c>
      <c r="U940" s="13"/>
    </row>
    <row r="941" customFormat="false" ht="18" hidden="false" customHeight="true" outlineLevel="0" collapsed="false">
      <c r="A941" s="13" t="n">
        <v>940</v>
      </c>
      <c r="B941" s="13" t="s">
        <v>5643</v>
      </c>
      <c r="C941" s="13" t="s">
        <v>255</v>
      </c>
      <c r="D941" s="13" t="s">
        <v>256</v>
      </c>
      <c r="E941" s="13" t="s">
        <v>65</v>
      </c>
      <c r="F941" s="13" t="s">
        <v>245</v>
      </c>
      <c r="G941" s="13" t="s">
        <v>724</v>
      </c>
      <c r="H941" s="13" t="s">
        <v>5644</v>
      </c>
      <c r="I941" s="13" t="s">
        <v>5645</v>
      </c>
      <c r="J941" s="13" t="s">
        <v>5646</v>
      </c>
      <c r="K941" s="13" t="s">
        <v>3410</v>
      </c>
      <c r="L941" s="13" t="s">
        <v>3411</v>
      </c>
      <c r="M941" s="13" t="n">
        <v>97.33</v>
      </c>
      <c r="N941" s="13" t="n">
        <v>0.15</v>
      </c>
      <c r="O941" s="13" t="n">
        <v>295</v>
      </c>
      <c r="P941" s="13" t="s">
        <v>3412</v>
      </c>
      <c r="Q941" s="13" t="s">
        <v>1660</v>
      </c>
      <c r="R941" s="13" t="s">
        <v>2715</v>
      </c>
      <c r="S941" s="13" t="s">
        <v>2715</v>
      </c>
      <c r="T941" s="13" t="s">
        <v>61</v>
      </c>
      <c r="U941" s="13"/>
    </row>
    <row r="942" customFormat="false" ht="18" hidden="false" customHeight="true" outlineLevel="0" collapsed="false">
      <c r="A942" s="13" t="n">
        <v>941</v>
      </c>
      <c r="B942" s="13" t="s">
        <v>5647</v>
      </c>
      <c r="C942" s="13" t="s">
        <v>77</v>
      </c>
      <c r="D942" s="13" t="s">
        <v>78</v>
      </c>
      <c r="E942" s="13" t="s">
        <v>65</v>
      </c>
      <c r="F942" s="13" t="s">
        <v>227</v>
      </c>
      <c r="G942" s="13" t="s">
        <v>724</v>
      </c>
      <c r="H942" s="13" t="s">
        <v>5648</v>
      </c>
      <c r="I942" s="13" t="s">
        <v>5649</v>
      </c>
      <c r="J942" s="13" t="s">
        <v>5650</v>
      </c>
      <c r="K942" s="13" t="s">
        <v>1791</v>
      </c>
      <c r="L942" s="13" t="s">
        <v>1792</v>
      </c>
      <c r="M942" s="13" t="n">
        <v>359.45</v>
      </c>
      <c r="N942" s="13" t="n">
        <v>0.43</v>
      </c>
      <c r="O942" s="13" t="n">
        <v>1</v>
      </c>
      <c r="P942" s="13" t="s">
        <v>1793</v>
      </c>
      <c r="Q942" s="13" t="s">
        <v>1794</v>
      </c>
      <c r="R942" s="13" t="s">
        <v>713</v>
      </c>
      <c r="S942" s="13" t="s">
        <v>713</v>
      </c>
      <c r="T942" s="13" t="s">
        <v>61</v>
      </c>
      <c r="U942" s="13"/>
    </row>
    <row r="943" customFormat="false" ht="18" hidden="false" customHeight="true" outlineLevel="0" collapsed="false">
      <c r="A943" s="13" t="n">
        <v>942</v>
      </c>
      <c r="B943" s="13" t="s">
        <v>5651</v>
      </c>
      <c r="C943" s="13" t="s">
        <v>48</v>
      </c>
      <c r="D943" s="13" t="s">
        <v>49</v>
      </c>
      <c r="E943" s="13" t="s">
        <v>79</v>
      </c>
      <c r="F943" s="13" t="s">
        <v>1531</v>
      </c>
      <c r="G943" s="13" t="s">
        <v>128</v>
      </c>
      <c r="H943" s="13" t="s">
        <v>5652</v>
      </c>
      <c r="I943" s="13" t="s">
        <v>5653</v>
      </c>
      <c r="J943" s="13" t="s">
        <v>5654</v>
      </c>
      <c r="K943" s="13" t="s">
        <v>5655</v>
      </c>
      <c r="L943" s="13" t="s">
        <v>1667</v>
      </c>
      <c r="M943" s="13" t="n">
        <v>1655.34</v>
      </c>
      <c r="N943" s="13" t="n">
        <v>2.3</v>
      </c>
      <c r="O943" s="13" t="n">
        <v>305</v>
      </c>
      <c r="P943" s="13" t="s">
        <v>3309</v>
      </c>
      <c r="Q943" s="13" t="s">
        <v>2575</v>
      </c>
      <c r="R943" s="13" t="s">
        <v>2276</v>
      </c>
      <c r="S943" s="13" t="s">
        <v>2276</v>
      </c>
      <c r="T943" s="13" t="s">
        <v>61</v>
      </c>
      <c r="U943" s="13"/>
    </row>
    <row r="944" customFormat="false" ht="18" hidden="false" customHeight="true" outlineLevel="0" collapsed="false">
      <c r="A944" s="13" t="n">
        <v>943</v>
      </c>
      <c r="B944" s="13" t="s">
        <v>5656</v>
      </c>
      <c r="C944" s="13" t="s">
        <v>173</v>
      </c>
      <c r="D944" s="13" t="s">
        <v>174</v>
      </c>
      <c r="E944" s="13" t="s">
        <v>161</v>
      </c>
      <c r="F944" s="13" t="s">
        <v>306</v>
      </c>
      <c r="G944" s="13" t="s">
        <v>334</v>
      </c>
      <c r="H944" s="13" t="s">
        <v>5657</v>
      </c>
      <c r="I944" s="13" t="s">
        <v>5658</v>
      </c>
      <c r="J944" s="13" t="s">
        <v>5659</v>
      </c>
      <c r="K944" s="13" t="s">
        <v>5660</v>
      </c>
      <c r="L944" s="13" t="s">
        <v>1122</v>
      </c>
      <c r="M944" s="13" t="n">
        <v>525.15</v>
      </c>
      <c r="N944" s="13" t="n">
        <v>0.36</v>
      </c>
      <c r="O944" s="13" t="n">
        <v>454</v>
      </c>
      <c r="P944" s="13" t="s">
        <v>1123</v>
      </c>
      <c r="Q944" s="13" t="s">
        <v>1479</v>
      </c>
      <c r="R944" s="13" t="s">
        <v>1894</v>
      </c>
      <c r="S944" s="13" t="s">
        <v>1894</v>
      </c>
      <c r="T944" s="13" t="s">
        <v>61</v>
      </c>
      <c r="U944" s="13"/>
    </row>
    <row r="945" customFormat="false" ht="18" hidden="false" customHeight="true" outlineLevel="0" collapsed="false">
      <c r="A945" s="15" t="n">
        <v>944</v>
      </c>
      <c r="B945" s="15" t="s">
        <v>5031</v>
      </c>
      <c r="C945" s="15" t="s">
        <v>113</v>
      </c>
      <c r="D945" s="15" t="s">
        <v>114</v>
      </c>
      <c r="E945" s="15" t="s">
        <v>91</v>
      </c>
      <c r="F945" s="15" t="s">
        <v>780</v>
      </c>
      <c r="G945" s="15" t="s">
        <v>420</v>
      </c>
      <c r="H945" s="15" t="s">
        <v>5032</v>
      </c>
      <c r="I945" s="15" t="s">
        <v>5033</v>
      </c>
      <c r="J945" s="15" t="s">
        <v>5034</v>
      </c>
      <c r="K945" s="15" t="s">
        <v>5035</v>
      </c>
      <c r="L945" s="15" t="s">
        <v>3509</v>
      </c>
      <c r="M945" s="15" t="n">
        <v>3892.2</v>
      </c>
      <c r="N945" s="15" t="n">
        <v>24.46</v>
      </c>
      <c r="O945" s="15" t="n">
        <v>281</v>
      </c>
      <c r="P945" s="15" t="s">
        <v>3510</v>
      </c>
      <c r="Q945" s="15" t="s">
        <v>3802</v>
      </c>
      <c r="R945" s="15" t="s">
        <v>1700</v>
      </c>
      <c r="S945" s="15" t="s">
        <v>1700</v>
      </c>
      <c r="T945" s="15" t="s">
        <v>61</v>
      </c>
      <c r="U945" s="15" t="s">
        <v>283</v>
      </c>
    </row>
    <row r="946" customFormat="false" ht="18" hidden="false" customHeight="true" outlineLevel="0" collapsed="false">
      <c r="A946" s="16" t="n">
        <v>945</v>
      </c>
      <c r="B946" s="16" t="s">
        <v>5661</v>
      </c>
      <c r="C946" s="16" t="s">
        <v>255</v>
      </c>
      <c r="D946" s="16" t="s">
        <v>256</v>
      </c>
      <c r="E946" s="16" t="s">
        <v>79</v>
      </c>
      <c r="F946" s="16" t="s">
        <v>465</v>
      </c>
      <c r="G946" s="16" t="s">
        <v>128</v>
      </c>
      <c r="H946" s="16" t="s">
        <v>5662</v>
      </c>
      <c r="I946" s="16" t="s">
        <v>5663</v>
      </c>
      <c r="J946" s="16" t="s">
        <v>5664</v>
      </c>
      <c r="K946" s="16" t="s">
        <v>5665</v>
      </c>
      <c r="L946" s="16" t="s">
        <v>2490</v>
      </c>
      <c r="M946" s="16" t="n">
        <v>1032.71</v>
      </c>
      <c r="N946" s="16" t="n">
        <v>1.43</v>
      </c>
      <c r="O946" s="16" t="n">
        <v>0</v>
      </c>
      <c r="P946" s="16" t="s">
        <v>2491</v>
      </c>
      <c r="Q946" s="16" t="s">
        <v>4871</v>
      </c>
      <c r="R946" s="16" t="s">
        <v>4520</v>
      </c>
      <c r="S946" s="16" t="s">
        <v>5666</v>
      </c>
      <c r="T946" s="16" t="s">
        <v>61</v>
      </c>
      <c r="U946" s="16" t="s">
        <v>325</v>
      </c>
    </row>
    <row r="947" customFormat="false" ht="18" hidden="false" customHeight="true" outlineLevel="0" collapsed="false">
      <c r="A947" s="13" t="n">
        <v>946</v>
      </c>
      <c r="B947" s="13" t="s">
        <v>5667</v>
      </c>
      <c r="C947" s="13" t="s">
        <v>63</v>
      </c>
      <c r="D947" s="13" t="s">
        <v>64</v>
      </c>
      <c r="E947" s="13" t="s">
        <v>161</v>
      </c>
      <c r="F947" s="13" t="s">
        <v>185</v>
      </c>
      <c r="G947" s="13" t="s">
        <v>296</v>
      </c>
      <c r="H947" s="13" t="s">
        <v>5668</v>
      </c>
      <c r="I947" s="13" t="s">
        <v>5669</v>
      </c>
      <c r="J947" s="13" t="s">
        <v>5670</v>
      </c>
      <c r="K947" s="13" t="s">
        <v>4637</v>
      </c>
      <c r="L947" s="13" t="s">
        <v>1390</v>
      </c>
      <c r="M947" s="13" t="n">
        <v>367.15</v>
      </c>
      <c r="N947" s="13" t="n">
        <v>0.24</v>
      </c>
      <c r="O947" s="13" t="n">
        <v>63</v>
      </c>
      <c r="P947" s="13" t="s">
        <v>1391</v>
      </c>
      <c r="Q947" s="13" t="s">
        <v>264</v>
      </c>
      <c r="R947" s="13" t="s">
        <v>1116</v>
      </c>
      <c r="S947" s="13" t="s">
        <v>1116</v>
      </c>
      <c r="T947" s="13" t="s">
        <v>61</v>
      </c>
      <c r="U947" s="13"/>
    </row>
    <row r="948" customFormat="false" ht="18" hidden="false" customHeight="true" outlineLevel="0" collapsed="false">
      <c r="A948" s="13" t="n">
        <v>947</v>
      </c>
      <c r="B948" s="13" t="s">
        <v>5671</v>
      </c>
      <c r="C948" s="13" t="s">
        <v>113</v>
      </c>
      <c r="D948" s="13" t="s">
        <v>114</v>
      </c>
      <c r="E948" s="13" t="s">
        <v>91</v>
      </c>
      <c r="F948" s="13" t="s">
        <v>419</v>
      </c>
      <c r="G948" s="13" t="s">
        <v>93</v>
      </c>
      <c r="H948" s="13" t="s">
        <v>5672</v>
      </c>
      <c r="I948" s="13" t="s">
        <v>5673</v>
      </c>
      <c r="J948" s="13" t="s">
        <v>5674</v>
      </c>
      <c r="K948" s="13" t="s">
        <v>5675</v>
      </c>
      <c r="L948" s="13" t="s">
        <v>624</v>
      </c>
      <c r="M948" s="13" t="n">
        <v>356.2</v>
      </c>
      <c r="N948" s="13" t="n">
        <v>37.12</v>
      </c>
      <c r="O948" s="13" t="n">
        <v>231</v>
      </c>
      <c r="P948" s="13" t="s">
        <v>625</v>
      </c>
      <c r="Q948" s="13" t="s">
        <v>2473</v>
      </c>
      <c r="R948" s="13" t="s">
        <v>5676</v>
      </c>
      <c r="S948" s="13" t="s">
        <v>5676</v>
      </c>
      <c r="T948" s="13" t="s">
        <v>61</v>
      </c>
      <c r="U948" s="13"/>
    </row>
    <row r="949" customFormat="false" ht="18" hidden="false" customHeight="true" outlineLevel="0" collapsed="false">
      <c r="A949" s="13" t="n">
        <v>948</v>
      </c>
      <c r="B949" s="13" t="s">
        <v>5677</v>
      </c>
      <c r="C949" s="13" t="s">
        <v>63</v>
      </c>
      <c r="D949" s="13" t="s">
        <v>64</v>
      </c>
      <c r="E949" s="13" t="s">
        <v>91</v>
      </c>
      <c r="F949" s="13" t="s">
        <v>587</v>
      </c>
      <c r="G949" s="13" t="s">
        <v>420</v>
      </c>
      <c r="H949" s="13" t="s">
        <v>5678</v>
      </c>
      <c r="I949" s="13" t="s">
        <v>5679</v>
      </c>
      <c r="J949" s="13" t="s">
        <v>5680</v>
      </c>
      <c r="K949" s="13" t="s">
        <v>5681</v>
      </c>
      <c r="L949" s="13" t="s">
        <v>592</v>
      </c>
      <c r="M949" s="13" t="n">
        <v>1696.8</v>
      </c>
      <c r="N949" s="13" t="n">
        <v>37.2</v>
      </c>
      <c r="O949" s="13" t="n">
        <v>420</v>
      </c>
      <c r="P949" s="13" t="s">
        <v>593</v>
      </c>
      <c r="Q949" s="13" t="s">
        <v>871</v>
      </c>
      <c r="R949" s="13" t="s">
        <v>3925</v>
      </c>
      <c r="S949" s="13" t="s">
        <v>3925</v>
      </c>
      <c r="T949" s="13" t="s">
        <v>61</v>
      </c>
      <c r="U949" s="13"/>
    </row>
    <row r="950" customFormat="false" ht="18" hidden="false" customHeight="true" outlineLevel="0" collapsed="false">
      <c r="A950" s="13" t="n">
        <v>949</v>
      </c>
      <c r="B950" s="13" t="s">
        <v>5682</v>
      </c>
      <c r="C950" s="13" t="s">
        <v>113</v>
      </c>
      <c r="D950" s="13" t="s">
        <v>114</v>
      </c>
      <c r="E950" s="13" t="s">
        <v>91</v>
      </c>
      <c r="F950" s="13" t="s">
        <v>185</v>
      </c>
      <c r="G950" s="13" t="s">
        <v>533</v>
      </c>
      <c r="H950" s="13" t="s">
        <v>5683</v>
      </c>
      <c r="I950" s="13" t="s">
        <v>5684</v>
      </c>
      <c r="J950" s="13" t="s">
        <v>5685</v>
      </c>
      <c r="K950" s="13" t="s">
        <v>5686</v>
      </c>
      <c r="L950" s="13" t="s">
        <v>1617</v>
      </c>
      <c r="M950" s="13" t="n">
        <v>1005.59</v>
      </c>
      <c r="N950" s="13" t="n">
        <v>35.96</v>
      </c>
      <c r="O950" s="13" t="n">
        <v>498</v>
      </c>
      <c r="P950" s="13" t="s">
        <v>1618</v>
      </c>
      <c r="Q950" s="13" t="s">
        <v>2657</v>
      </c>
      <c r="R950" s="13" t="s">
        <v>2640</v>
      </c>
      <c r="S950" s="13" t="s">
        <v>2640</v>
      </c>
      <c r="T950" s="13" t="s">
        <v>61</v>
      </c>
      <c r="U950" s="13"/>
    </row>
    <row r="951" customFormat="false" ht="18" hidden="false" customHeight="true" outlineLevel="0" collapsed="false">
      <c r="A951" s="13" t="n">
        <v>950</v>
      </c>
      <c r="B951" s="13" t="s">
        <v>5687</v>
      </c>
      <c r="C951" s="13" t="s">
        <v>255</v>
      </c>
      <c r="D951" s="13" t="s">
        <v>256</v>
      </c>
      <c r="E951" s="13" t="s">
        <v>65</v>
      </c>
      <c r="F951" s="13" t="s">
        <v>371</v>
      </c>
      <c r="G951" s="13" t="s">
        <v>103</v>
      </c>
      <c r="H951" s="13" t="s">
        <v>5688</v>
      </c>
      <c r="I951" s="13" t="s">
        <v>5689</v>
      </c>
      <c r="J951" s="13" t="s">
        <v>5690</v>
      </c>
      <c r="K951" s="13" t="s">
        <v>2147</v>
      </c>
      <c r="L951" s="13" t="s">
        <v>2148</v>
      </c>
      <c r="M951" s="13" t="n">
        <v>188.62</v>
      </c>
      <c r="N951" s="13" t="n">
        <v>1.41</v>
      </c>
      <c r="O951" s="13" t="n">
        <v>400</v>
      </c>
      <c r="P951" s="13" t="s">
        <v>2149</v>
      </c>
      <c r="Q951" s="13" t="s">
        <v>575</v>
      </c>
      <c r="R951" s="13" t="s">
        <v>3754</v>
      </c>
      <c r="S951" s="13" t="s">
        <v>3754</v>
      </c>
      <c r="T951" s="13" t="s">
        <v>61</v>
      </c>
      <c r="U951" s="13"/>
    </row>
    <row r="952" customFormat="false" ht="18" hidden="false" customHeight="true" outlineLevel="0" collapsed="false">
      <c r="A952" s="13" t="n">
        <v>951</v>
      </c>
      <c r="B952" s="13" t="s">
        <v>3981</v>
      </c>
      <c r="C952" s="13" t="s">
        <v>125</v>
      </c>
      <c r="D952" s="13" t="s">
        <v>126</v>
      </c>
      <c r="E952" s="13" t="s">
        <v>161</v>
      </c>
      <c r="F952" s="13" t="s">
        <v>822</v>
      </c>
      <c r="G952" s="13" t="s">
        <v>285</v>
      </c>
      <c r="H952" s="13" t="s">
        <v>3982</v>
      </c>
      <c r="I952" s="13" t="s">
        <v>3983</v>
      </c>
      <c r="J952" s="13" t="s">
        <v>3984</v>
      </c>
      <c r="K952" s="13" t="s">
        <v>3985</v>
      </c>
      <c r="L952" s="13" t="s">
        <v>1096</v>
      </c>
      <c r="M952" s="13" t="n">
        <v>244.31</v>
      </c>
      <c r="N952" s="13" t="n">
        <v>0.29</v>
      </c>
      <c r="O952" s="13" t="n">
        <v>424</v>
      </c>
      <c r="P952" s="13" t="s">
        <v>1097</v>
      </c>
      <c r="Q952" s="13" t="s">
        <v>678</v>
      </c>
      <c r="R952" s="13" t="s">
        <v>1777</v>
      </c>
      <c r="S952" s="13" t="s">
        <v>1777</v>
      </c>
      <c r="T952" s="13" t="s">
        <v>61</v>
      </c>
      <c r="U952" s="13"/>
    </row>
    <row r="953" customFormat="false" ht="18" hidden="false" customHeight="true" outlineLevel="0" collapsed="false">
      <c r="A953" s="13" t="n">
        <v>952</v>
      </c>
      <c r="B953" s="13" t="s">
        <v>5691</v>
      </c>
      <c r="C953" s="13" t="s">
        <v>173</v>
      </c>
      <c r="D953" s="13" t="s">
        <v>174</v>
      </c>
      <c r="E953" s="13" t="s">
        <v>79</v>
      </c>
      <c r="F953" s="13" t="s">
        <v>196</v>
      </c>
      <c r="G953" s="13" t="s">
        <v>760</v>
      </c>
      <c r="H953" s="13" t="s">
        <v>5692</v>
      </c>
      <c r="I953" s="13" t="s">
        <v>5693</v>
      </c>
      <c r="J953" s="13" t="s">
        <v>5694</v>
      </c>
      <c r="K953" s="13" t="s">
        <v>4358</v>
      </c>
      <c r="L953" s="13" t="s">
        <v>3596</v>
      </c>
      <c r="M953" s="13" t="n">
        <v>633.94</v>
      </c>
      <c r="N953" s="13" t="n">
        <v>2.71</v>
      </c>
      <c r="O953" s="13" t="n">
        <v>353</v>
      </c>
      <c r="P953" s="13" t="s">
        <v>3597</v>
      </c>
      <c r="Q953" s="13" t="s">
        <v>5695</v>
      </c>
      <c r="R953" s="13" t="s">
        <v>704</v>
      </c>
      <c r="S953" s="13" t="s">
        <v>704</v>
      </c>
      <c r="T953" s="13" t="s">
        <v>61</v>
      </c>
      <c r="U953" s="13"/>
    </row>
    <row r="954" customFormat="false" ht="18" hidden="false" customHeight="true" outlineLevel="0" collapsed="false">
      <c r="A954" s="13" t="n">
        <v>953</v>
      </c>
      <c r="B954" s="13" t="s">
        <v>5696</v>
      </c>
      <c r="C954" s="13" t="s">
        <v>173</v>
      </c>
      <c r="D954" s="13" t="s">
        <v>174</v>
      </c>
      <c r="E954" s="13" t="s">
        <v>65</v>
      </c>
      <c r="F954" s="13" t="s">
        <v>390</v>
      </c>
      <c r="G954" s="13" t="s">
        <v>274</v>
      </c>
      <c r="H954" s="13" t="s">
        <v>5697</v>
      </c>
      <c r="I954" s="13" t="s">
        <v>5698</v>
      </c>
      <c r="J954" s="13" t="s">
        <v>5699</v>
      </c>
      <c r="K954" s="13" t="s">
        <v>1469</v>
      </c>
      <c r="L954" s="13" t="s">
        <v>1470</v>
      </c>
      <c r="M954" s="13" t="n">
        <v>384.86</v>
      </c>
      <c r="N954" s="13" t="n">
        <v>0.17</v>
      </c>
      <c r="O954" s="13" t="n">
        <v>324</v>
      </c>
      <c r="P954" s="13" t="s">
        <v>1471</v>
      </c>
      <c r="Q954" s="13" t="s">
        <v>2150</v>
      </c>
      <c r="R954" s="13" t="s">
        <v>2006</v>
      </c>
      <c r="S954" s="13" t="s">
        <v>2006</v>
      </c>
      <c r="T954" s="13" t="s">
        <v>61</v>
      </c>
      <c r="U954" s="13"/>
    </row>
    <row r="955" customFormat="false" ht="18" hidden="false" customHeight="true" outlineLevel="0" collapsed="false">
      <c r="A955" s="15" t="n">
        <v>954</v>
      </c>
      <c r="B955" s="15" t="s">
        <v>5700</v>
      </c>
      <c r="C955" s="15" t="s">
        <v>48</v>
      </c>
      <c r="D955" s="15" t="s">
        <v>49</v>
      </c>
      <c r="E955" s="15" t="s">
        <v>91</v>
      </c>
      <c r="F955" s="15" t="s">
        <v>780</v>
      </c>
      <c r="G955" s="15" t="s">
        <v>533</v>
      </c>
      <c r="H955" s="15" t="s">
        <v>5701</v>
      </c>
      <c r="I955" s="15" t="s">
        <v>5702</v>
      </c>
      <c r="J955" s="15" t="s">
        <v>5703</v>
      </c>
      <c r="K955" s="15" t="s">
        <v>5704</v>
      </c>
      <c r="L955" s="15" t="s">
        <v>1576</v>
      </c>
      <c r="M955" s="15" t="n">
        <v>17215.45</v>
      </c>
      <c r="N955" s="15" t="n">
        <v>39.43</v>
      </c>
      <c r="O955" s="15" t="n">
        <v>351</v>
      </c>
      <c r="P955" s="15" t="s">
        <v>1577</v>
      </c>
      <c r="Q955" s="15" t="s">
        <v>100</v>
      </c>
      <c r="R955" s="15" t="s">
        <v>3166</v>
      </c>
      <c r="S955" s="15" t="s">
        <v>3166</v>
      </c>
      <c r="T955" s="15" t="s">
        <v>61</v>
      </c>
      <c r="U955" s="15" t="s">
        <v>343</v>
      </c>
    </row>
    <row r="956" customFormat="false" ht="18" hidden="false" customHeight="true" outlineLevel="0" collapsed="false">
      <c r="A956" s="13" t="n">
        <v>955</v>
      </c>
      <c r="B956" s="13" t="s">
        <v>5705</v>
      </c>
      <c r="C956" s="13" t="s">
        <v>255</v>
      </c>
      <c r="D956" s="13" t="s">
        <v>256</v>
      </c>
      <c r="E956" s="13" t="s">
        <v>65</v>
      </c>
      <c r="F956" s="13" t="s">
        <v>438</v>
      </c>
      <c r="G956" s="13" t="s">
        <v>149</v>
      </c>
      <c r="H956" s="13" t="s">
        <v>5706</v>
      </c>
      <c r="I956" s="13" t="s">
        <v>5707</v>
      </c>
      <c r="J956" s="13" t="s">
        <v>5708</v>
      </c>
      <c r="K956" s="13" t="s">
        <v>885</v>
      </c>
      <c r="L956" s="13" t="s">
        <v>886</v>
      </c>
      <c r="M956" s="13" t="n">
        <v>348.92</v>
      </c>
      <c r="N956" s="13" t="n">
        <v>1.34</v>
      </c>
      <c r="O956" s="13" t="n">
        <v>1</v>
      </c>
      <c r="P956" s="13" t="s">
        <v>887</v>
      </c>
      <c r="Q956" s="13" t="s">
        <v>252</v>
      </c>
      <c r="R956" s="13" t="s">
        <v>4030</v>
      </c>
      <c r="S956" s="13" t="s">
        <v>4030</v>
      </c>
      <c r="T956" s="13" t="s">
        <v>61</v>
      </c>
      <c r="U956" s="13"/>
    </row>
    <row r="957" customFormat="false" ht="18" hidden="false" customHeight="true" outlineLevel="0" collapsed="false">
      <c r="A957" s="13" t="n">
        <v>956</v>
      </c>
      <c r="B957" s="13" t="s">
        <v>5709</v>
      </c>
      <c r="C957" s="13" t="s">
        <v>173</v>
      </c>
      <c r="D957" s="13" t="s">
        <v>174</v>
      </c>
      <c r="E957" s="13" t="s">
        <v>50</v>
      </c>
      <c r="F957" s="13" t="s">
        <v>138</v>
      </c>
      <c r="G957" s="13" t="s">
        <v>352</v>
      </c>
      <c r="H957" s="13" t="s">
        <v>5710</v>
      </c>
      <c r="I957" s="13" t="s">
        <v>5711</v>
      </c>
      <c r="J957" s="13" t="s">
        <v>5712</v>
      </c>
      <c r="K957" s="13" t="s">
        <v>5713</v>
      </c>
      <c r="L957" s="13" t="s">
        <v>386</v>
      </c>
      <c r="M957" s="13" t="n">
        <v>684.76</v>
      </c>
      <c r="N957" s="13" t="n">
        <v>0.69</v>
      </c>
      <c r="O957" s="13" t="n">
        <v>460</v>
      </c>
      <c r="P957" s="13" t="s">
        <v>387</v>
      </c>
      <c r="Q957" s="13" t="s">
        <v>5714</v>
      </c>
      <c r="R957" s="13" t="s">
        <v>2738</v>
      </c>
      <c r="S957" s="13" t="s">
        <v>2738</v>
      </c>
      <c r="T957" s="13" t="s">
        <v>61</v>
      </c>
      <c r="U957" s="13"/>
    </row>
    <row r="958" customFormat="false" ht="18" hidden="false" customHeight="true" outlineLevel="0" collapsed="false">
      <c r="A958" s="13" t="n">
        <v>957</v>
      </c>
      <c r="B958" s="13" t="s">
        <v>5715</v>
      </c>
      <c r="C958" s="13" t="s">
        <v>255</v>
      </c>
      <c r="D958" s="13" t="s">
        <v>256</v>
      </c>
      <c r="E958" s="13" t="s">
        <v>65</v>
      </c>
      <c r="F958" s="13" t="s">
        <v>390</v>
      </c>
      <c r="G958" s="13" t="s">
        <v>149</v>
      </c>
      <c r="H958" s="13" t="s">
        <v>5716</v>
      </c>
      <c r="I958" s="13" t="s">
        <v>5717</v>
      </c>
      <c r="J958" s="13" t="s">
        <v>5718</v>
      </c>
      <c r="K958" s="13" t="s">
        <v>3739</v>
      </c>
      <c r="L958" s="13" t="s">
        <v>3740</v>
      </c>
      <c r="M958" s="13" t="n">
        <v>415.27</v>
      </c>
      <c r="N958" s="13" t="n">
        <v>1.16</v>
      </c>
      <c r="O958" s="13" t="n">
        <v>6</v>
      </c>
      <c r="P958" s="13" t="s">
        <v>3741</v>
      </c>
      <c r="Q958" s="13" t="s">
        <v>2462</v>
      </c>
      <c r="R958" s="13" t="s">
        <v>1765</v>
      </c>
      <c r="S958" s="13" t="s">
        <v>1765</v>
      </c>
      <c r="T958" s="13" t="s">
        <v>61</v>
      </c>
      <c r="U958" s="13"/>
    </row>
    <row r="959" customFormat="false" ht="18" hidden="false" customHeight="true" outlineLevel="0" collapsed="false">
      <c r="A959" s="13" t="n">
        <v>958</v>
      </c>
      <c r="B959" s="13" t="s">
        <v>5719</v>
      </c>
      <c r="C959" s="13" t="s">
        <v>63</v>
      </c>
      <c r="D959" s="13" t="s">
        <v>64</v>
      </c>
      <c r="E959" s="13" t="s">
        <v>50</v>
      </c>
      <c r="F959" s="13" t="s">
        <v>503</v>
      </c>
      <c r="G959" s="13" t="s">
        <v>217</v>
      </c>
      <c r="H959" s="13" t="s">
        <v>5720</v>
      </c>
      <c r="I959" s="13" t="s">
        <v>5721</v>
      </c>
      <c r="J959" s="13" t="s">
        <v>5722</v>
      </c>
      <c r="K959" s="13" t="s">
        <v>4017</v>
      </c>
      <c r="L959" s="13" t="s">
        <v>3722</v>
      </c>
      <c r="M959" s="13" t="n">
        <v>1154.04</v>
      </c>
      <c r="N959" s="13" t="n">
        <v>0.65</v>
      </c>
      <c r="O959" s="13" t="n">
        <v>293</v>
      </c>
      <c r="P959" s="13" t="s">
        <v>3723</v>
      </c>
      <c r="Q959" s="13" t="s">
        <v>4018</v>
      </c>
      <c r="R959" s="13" t="s">
        <v>888</v>
      </c>
      <c r="S959" s="13" t="s">
        <v>888</v>
      </c>
      <c r="T959" s="13" t="s">
        <v>61</v>
      </c>
      <c r="U959" s="13"/>
    </row>
    <row r="960" customFormat="false" ht="18" hidden="false" customHeight="true" outlineLevel="0" collapsed="false">
      <c r="A960" s="13" t="n">
        <v>959</v>
      </c>
      <c r="B960" s="13" t="s">
        <v>5723</v>
      </c>
      <c r="C960" s="13" t="s">
        <v>173</v>
      </c>
      <c r="D960" s="13" t="s">
        <v>174</v>
      </c>
      <c r="E960" s="13" t="s">
        <v>91</v>
      </c>
      <c r="F960" s="13" t="s">
        <v>92</v>
      </c>
      <c r="G960" s="13" t="s">
        <v>743</v>
      </c>
      <c r="H960" s="13" t="s">
        <v>5724</v>
      </c>
      <c r="I960" s="13" t="s">
        <v>5725</v>
      </c>
      <c r="J960" s="13" t="s">
        <v>5726</v>
      </c>
      <c r="K960" s="13" t="s">
        <v>2984</v>
      </c>
      <c r="L960" s="13" t="s">
        <v>1349</v>
      </c>
      <c r="M960" s="13" t="n">
        <v>2526.94</v>
      </c>
      <c r="N960" s="13" t="n">
        <v>45.8</v>
      </c>
      <c r="O960" s="13" t="n">
        <v>131</v>
      </c>
      <c r="P960" s="13" t="s">
        <v>1350</v>
      </c>
      <c r="Q960" s="13" t="s">
        <v>5727</v>
      </c>
      <c r="R960" s="13" t="s">
        <v>2622</v>
      </c>
      <c r="S960" s="13" t="s">
        <v>2622</v>
      </c>
      <c r="T960" s="13" t="s">
        <v>61</v>
      </c>
      <c r="U960" s="13"/>
    </row>
    <row r="961" customFormat="false" ht="18" hidden="false" customHeight="true" outlineLevel="0" collapsed="false">
      <c r="A961" s="13" t="n">
        <v>960</v>
      </c>
      <c r="B961" s="13" t="s">
        <v>5728</v>
      </c>
      <c r="C961" s="13" t="s">
        <v>159</v>
      </c>
      <c r="D961" s="13" t="s">
        <v>160</v>
      </c>
      <c r="E961" s="13" t="s">
        <v>50</v>
      </c>
      <c r="F961" s="13" t="s">
        <v>503</v>
      </c>
      <c r="G961" s="13" t="s">
        <v>352</v>
      </c>
      <c r="H961" s="13" t="s">
        <v>5729</v>
      </c>
      <c r="I961" s="13" t="s">
        <v>5730</v>
      </c>
      <c r="J961" s="13" t="s">
        <v>5731</v>
      </c>
      <c r="K961" s="13" t="s">
        <v>1265</v>
      </c>
      <c r="L961" s="13" t="s">
        <v>508</v>
      </c>
      <c r="M961" s="13" t="n">
        <v>179.87</v>
      </c>
      <c r="N961" s="13" t="n">
        <v>0.3</v>
      </c>
      <c r="O961" s="13" t="n">
        <v>134</v>
      </c>
      <c r="P961" s="13" t="s">
        <v>509</v>
      </c>
      <c r="Q961" s="13" t="s">
        <v>5732</v>
      </c>
      <c r="R961" s="13" t="s">
        <v>1459</v>
      </c>
      <c r="S961" s="13" t="s">
        <v>1459</v>
      </c>
      <c r="T961" s="13" t="s">
        <v>61</v>
      </c>
      <c r="U961" s="13"/>
    </row>
    <row r="962" customFormat="false" ht="18" hidden="false" customHeight="true" outlineLevel="0" collapsed="false">
      <c r="A962" s="14" t="n">
        <v>961</v>
      </c>
      <c r="B962" s="14" t="s">
        <v>5733</v>
      </c>
      <c r="C962" s="14" t="s">
        <v>159</v>
      </c>
      <c r="D962" s="14" t="s">
        <v>160</v>
      </c>
      <c r="E962" s="14" t="s">
        <v>79</v>
      </c>
      <c r="F962" s="14"/>
      <c r="G962" s="14" t="s">
        <v>197</v>
      </c>
      <c r="H962" s="14" t="s">
        <v>5734</v>
      </c>
      <c r="I962" s="14" t="s">
        <v>5735</v>
      </c>
      <c r="J962" s="14" t="s">
        <v>5736</v>
      </c>
      <c r="K962" s="14" t="s">
        <v>5737</v>
      </c>
      <c r="L962" s="14" t="s">
        <v>3638</v>
      </c>
      <c r="M962" s="14" t="n">
        <v>2474.39</v>
      </c>
      <c r="N962" s="14" t="n">
        <v>1.9</v>
      </c>
      <c r="O962" s="14" t="n">
        <v>421</v>
      </c>
      <c r="P962" s="14" t="s">
        <v>3639</v>
      </c>
      <c r="Q962" s="14" t="s">
        <v>5738</v>
      </c>
      <c r="R962" s="14" t="s">
        <v>1125</v>
      </c>
      <c r="S962" s="14" t="s">
        <v>1125</v>
      </c>
      <c r="T962" s="14" t="s">
        <v>61</v>
      </c>
      <c r="U962" s="14" t="s">
        <v>89</v>
      </c>
    </row>
    <row r="963" customFormat="false" ht="18" hidden="false" customHeight="true" outlineLevel="0" collapsed="false">
      <c r="A963" s="14" t="n">
        <v>962</v>
      </c>
      <c r="B963" s="14" t="s">
        <v>5739</v>
      </c>
      <c r="C963" s="14" t="s">
        <v>113</v>
      </c>
      <c r="D963" s="14" t="s">
        <v>114</v>
      </c>
      <c r="E963" s="14" t="s">
        <v>161</v>
      </c>
      <c r="F963" s="14" t="s">
        <v>306</v>
      </c>
      <c r="G963" s="14" t="s">
        <v>296</v>
      </c>
      <c r="H963" s="14" t="s">
        <v>5740</v>
      </c>
      <c r="I963" s="14"/>
      <c r="J963" s="14" t="s">
        <v>5741</v>
      </c>
      <c r="K963" s="14" t="s">
        <v>5742</v>
      </c>
      <c r="L963" s="14" t="s">
        <v>311</v>
      </c>
      <c r="M963" s="14" t="n">
        <v>146.7</v>
      </c>
      <c r="N963" s="14" t="n">
        <v>0.22</v>
      </c>
      <c r="O963" s="14" t="n">
        <v>370</v>
      </c>
      <c r="P963" s="14" t="s">
        <v>312</v>
      </c>
      <c r="Q963" s="14" t="s">
        <v>5743</v>
      </c>
      <c r="R963" s="14" t="s">
        <v>205</v>
      </c>
      <c r="S963" s="14" t="s">
        <v>205</v>
      </c>
      <c r="T963" s="14" t="s">
        <v>61</v>
      </c>
      <c r="U963" s="14" t="s">
        <v>272</v>
      </c>
    </row>
    <row r="964" customFormat="false" ht="18" hidden="false" customHeight="true" outlineLevel="0" collapsed="false">
      <c r="A964" s="13" t="n">
        <v>963</v>
      </c>
      <c r="B964" s="13" t="s">
        <v>5744</v>
      </c>
      <c r="C964" s="13" t="s">
        <v>125</v>
      </c>
      <c r="D964" s="13" t="s">
        <v>126</v>
      </c>
      <c r="E964" s="13" t="s">
        <v>65</v>
      </c>
      <c r="F964" s="13" t="s">
        <v>438</v>
      </c>
      <c r="G964" s="13" t="s">
        <v>149</v>
      </c>
      <c r="H964" s="13" t="s">
        <v>5745</v>
      </c>
      <c r="I964" s="13" t="s">
        <v>5746</v>
      </c>
      <c r="J964" s="13" t="s">
        <v>5747</v>
      </c>
      <c r="K964" s="13" t="s">
        <v>885</v>
      </c>
      <c r="L964" s="13" t="s">
        <v>886</v>
      </c>
      <c r="M964" s="13" t="n">
        <v>193.98</v>
      </c>
      <c r="N964" s="13" t="n">
        <v>0.35</v>
      </c>
      <c r="O964" s="13" t="n">
        <v>73</v>
      </c>
      <c r="P964" s="13" t="s">
        <v>887</v>
      </c>
      <c r="Q964" s="13" t="s">
        <v>3608</v>
      </c>
      <c r="R964" s="13" t="s">
        <v>147</v>
      </c>
      <c r="S964" s="13" t="s">
        <v>147</v>
      </c>
      <c r="T964" s="13" t="s">
        <v>61</v>
      </c>
      <c r="U964" s="13"/>
    </row>
    <row r="965" customFormat="false" ht="18" hidden="false" customHeight="true" outlineLevel="0" collapsed="false">
      <c r="A965" s="13" t="n">
        <v>964</v>
      </c>
      <c r="B965" s="13" t="s">
        <v>5748</v>
      </c>
      <c r="C965" s="13" t="s">
        <v>63</v>
      </c>
      <c r="D965" s="13" t="s">
        <v>64</v>
      </c>
      <c r="E965" s="13" t="s">
        <v>79</v>
      </c>
      <c r="F965" s="13" t="s">
        <v>513</v>
      </c>
      <c r="G965" s="13" t="s">
        <v>562</v>
      </c>
      <c r="H965" s="13" t="s">
        <v>5749</v>
      </c>
      <c r="I965" s="13" t="s">
        <v>5750</v>
      </c>
      <c r="J965" s="13" t="s">
        <v>5751</v>
      </c>
      <c r="K965" s="13" t="s">
        <v>566</v>
      </c>
      <c r="L965" s="13" t="s">
        <v>567</v>
      </c>
      <c r="M965" s="13" t="n">
        <v>1110.98</v>
      </c>
      <c r="N965" s="13" t="n">
        <v>1.5</v>
      </c>
      <c r="O965" s="13" t="n">
        <v>354</v>
      </c>
      <c r="P965" s="13" t="s">
        <v>568</v>
      </c>
      <c r="Q965" s="13" t="s">
        <v>5752</v>
      </c>
      <c r="R965" s="13" t="s">
        <v>1035</v>
      </c>
      <c r="S965" s="13" t="s">
        <v>1035</v>
      </c>
      <c r="T965" s="13" t="s">
        <v>61</v>
      </c>
      <c r="U965" s="13"/>
    </row>
    <row r="966" customFormat="false" ht="18" hidden="false" customHeight="true" outlineLevel="0" collapsed="false">
      <c r="A966" s="13" t="n">
        <v>965</v>
      </c>
      <c r="B966" s="13" t="s">
        <v>5753</v>
      </c>
      <c r="C966" s="13" t="s">
        <v>113</v>
      </c>
      <c r="D966" s="13" t="s">
        <v>114</v>
      </c>
      <c r="E966" s="13" t="s">
        <v>50</v>
      </c>
      <c r="F966" s="13" t="s">
        <v>503</v>
      </c>
      <c r="G966" s="13" t="s">
        <v>689</v>
      </c>
      <c r="H966" s="13" t="s">
        <v>5754</v>
      </c>
      <c r="I966" s="13" t="s">
        <v>5755</v>
      </c>
      <c r="J966" s="13" t="s">
        <v>5756</v>
      </c>
      <c r="K966" s="13" t="s">
        <v>2613</v>
      </c>
      <c r="L966" s="13" t="s">
        <v>1298</v>
      </c>
      <c r="M966" s="13" t="n">
        <v>434.95</v>
      </c>
      <c r="N966" s="13" t="n">
        <v>0.41</v>
      </c>
      <c r="O966" s="13" t="n">
        <v>229</v>
      </c>
      <c r="P966" s="13" t="s">
        <v>1299</v>
      </c>
      <c r="Q966" s="13" t="s">
        <v>4499</v>
      </c>
      <c r="R966" s="13" t="s">
        <v>1661</v>
      </c>
      <c r="S966" s="13" t="s">
        <v>1661</v>
      </c>
      <c r="T966" s="13" t="s">
        <v>61</v>
      </c>
      <c r="U966" s="13"/>
    </row>
    <row r="967" customFormat="false" ht="18" hidden="false" customHeight="true" outlineLevel="0" collapsed="false">
      <c r="A967" s="13" t="n">
        <v>966</v>
      </c>
      <c r="B967" s="13" t="s">
        <v>5757</v>
      </c>
      <c r="C967" s="13" t="s">
        <v>173</v>
      </c>
      <c r="D967" s="13" t="s">
        <v>174</v>
      </c>
      <c r="E967" s="13" t="s">
        <v>50</v>
      </c>
      <c r="F967" s="13" t="s">
        <v>115</v>
      </c>
      <c r="G967" s="13" t="s">
        <v>52</v>
      </c>
      <c r="H967" s="13" t="s">
        <v>5758</v>
      </c>
      <c r="I967" s="13" t="s">
        <v>5759</v>
      </c>
      <c r="J967" s="13" t="s">
        <v>5760</v>
      </c>
      <c r="K967" s="13" t="s">
        <v>5761</v>
      </c>
      <c r="L967" s="13" t="s">
        <v>120</v>
      </c>
      <c r="M967" s="13" t="n">
        <v>932.97</v>
      </c>
      <c r="N967" s="13" t="n">
        <v>0.63</v>
      </c>
      <c r="O967" s="13" t="n">
        <v>487</v>
      </c>
      <c r="P967" s="13" t="s">
        <v>121</v>
      </c>
      <c r="Q967" s="13" t="s">
        <v>2929</v>
      </c>
      <c r="R967" s="13" t="s">
        <v>75</v>
      </c>
      <c r="S967" s="13" t="s">
        <v>75</v>
      </c>
      <c r="T967" s="13" t="s">
        <v>61</v>
      </c>
      <c r="U967" s="13"/>
    </row>
    <row r="968" customFormat="false" ht="18" hidden="false" customHeight="true" outlineLevel="0" collapsed="false">
      <c r="A968" s="13" t="n">
        <v>967</v>
      </c>
      <c r="B968" s="13" t="s">
        <v>5762</v>
      </c>
      <c r="C968" s="13" t="s">
        <v>48</v>
      </c>
      <c r="D968" s="13" t="s">
        <v>49</v>
      </c>
      <c r="E968" s="13" t="s">
        <v>79</v>
      </c>
      <c r="F968" s="13" t="s">
        <v>1531</v>
      </c>
      <c r="G968" s="13" t="s">
        <v>562</v>
      </c>
      <c r="H968" s="13" t="s">
        <v>5763</v>
      </c>
      <c r="I968" s="13" t="s">
        <v>5764</v>
      </c>
      <c r="J968" s="13" t="s">
        <v>5765</v>
      </c>
      <c r="K968" s="13" t="s">
        <v>4099</v>
      </c>
      <c r="L968" s="13" t="s">
        <v>3280</v>
      </c>
      <c r="M968" s="13" t="n">
        <v>952.12</v>
      </c>
      <c r="N968" s="13" t="n">
        <v>2.15</v>
      </c>
      <c r="O968" s="13" t="n">
        <v>193</v>
      </c>
      <c r="P968" s="13" t="s">
        <v>3281</v>
      </c>
      <c r="Q968" s="13" t="s">
        <v>5766</v>
      </c>
      <c r="R968" s="13" t="s">
        <v>5676</v>
      </c>
      <c r="S968" s="13" t="s">
        <v>5676</v>
      </c>
      <c r="T968" s="13" t="s">
        <v>61</v>
      </c>
      <c r="U968" s="13"/>
    </row>
    <row r="969" customFormat="false" ht="18" hidden="false" customHeight="true" outlineLevel="0" collapsed="false">
      <c r="A969" s="13" t="n">
        <v>968</v>
      </c>
      <c r="B969" s="13" t="s">
        <v>5767</v>
      </c>
      <c r="C969" s="13" t="s">
        <v>125</v>
      </c>
      <c r="D969" s="13" t="s">
        <v>126</v>
      </c>
      <c r="E969" s="13" t="s">
        <v>50</v>
      </c>
      <c r="F969" s="13" t="s">
        <v>127</v>
      </c>
      <c r="G969" s="13" t="s">
        <v>352</v>
      </c>
      <c r="H969" s="13" t="s">
        <v>5768</v>
      </c>
      <c r="I969" s="13" t="s">
        <v>5769</v>
      </c>
      <c r="J969" s="13" t="s">
        <v>5770</v>
      </c>
      <c r="K969" s="13" t="s">
        <v>2940</v>
      </c>
      <c r="L969" s="13" t="s">
        <v>582</v>
      </c>
      <c r="M969" s="13" t="n">
        <v>992.47</v>
      </c>
      <c r="N969" s="13" t="n">
        <v>0.57</v>
      </c>
      <c r="O969" s="13" t="n">
        <v>198</v>
      </c>
      <c r="P969" s="13" t="s">
        <v>583</v>
      </c>
      <c r="Q969" s="13" t="s">
        <v>5771</v>
      </c>
      <c r="R969" s="13" t="s">
        <v>1887</v>
      </c>
      <c r="S969" s="13" t="s">
        <v>1887</v>
      </c>
      <c r="T969" s="13" t="s">
        <v>61</v>
      </c>
      <c r="U969" s="13"/>
    </row>
    <row r="970" customFormat="false" ht="18" hidden="false" customHeight="true" outlineLevel="0" collapsed="false">
      <c r="A970" s="13" t="n">
        <v>969</v>
      </c>
      <c r="B970" s="13" t="s">
        <v>5772</v>
      </c>
      <c r="C970" s="13" t="s">
        <v>48</v>
      </c>
      <c r="D970" s="13" t="s">
        <v>49</v>
      </c>
      <c r="E970" s="13" t="s">
        <v>50</v>
      </c>
      <c r="F970" s="13" t="s">
        <v>115</v>
      </c>
      <c r="G970" s="13" t="s">
        <v>689</v>
      </c>
      <c r="H970" s="13" t="s">
        <v>5773</v>
      </c>
      <c r="I970" s="13" t="s">
        <v>5774</v>
      </c>
      <c r="J970" s="13" t="s">
        <v>5775</v>
      </c>
      <c r="K970" s="13" t="s">
        <v>4669</v>
      </c>
      <c r="L970" s="13" t="s">
        <v>694</v>
      </c>
      <c r="M970" s="13" t="n">
        <v>697.12</v>
      </c>
      <c r="N970" s="13" t="n">
        <v>0.72</v>
      </c>
      <c r="O970" s="13" t="n">
        <v>32</v>
      </c>
      <c r="P970" s="13" t="s">
        <v>695</v>
      </c>
      <c r="Q970" s="13" t="s">
        <v>5776</v>
      </c>
      <c r="R970" s="13" t="s">
        <v>2634</v>
      </c>
      <c r="S970" s="13" t="s">
        <v>2634</v>
      </c>
      <c r="T970" s="13" t="s">
        <v>61</v>
      </c>
      <c r="U970" s="13"/>
    </row>
    <row r="971" customFormat="false" ht="18" hidden="false" customHeight="true" outlineLevel="0" collapsed="false">
      <c r="A971" s="13" t="n">
        <v>970</v>
      </c>
      <c r="B971" s="13" t="s">
        <v>5777</v>
      </c>
      <c r="C971" s="13" t="s">
        <v>159</v>
      </c>
      <c r="D971" s="13" t="s">
        <v>160</v>
      </c>
      <c r="E971" s="13" t="s">
        <v>91</v>
      </c>
      <c r="F971" s="13" t="s">
        <v>138</v>
      </c>
      <c r="G971" s="13" t="s">
        <v>420</v>
      </c>
      <c r="H971" s="13" t="s">
        <v>5778</v>
      </c>
      <c r="I971" s="13" t="s">
        <v>5779</v>
      </c>
      <c r="J971" s="13" t="s">
        <v>5780</v>
      </c>
      <c r="K971" s="13" t="s">
        <v>5781</v>
      </c>
      <c r="L971" s="13" t="s">
        <v>3036</v>
      </c>
      <c r="M971" s="13" t="n">
        <v>2816.8</v>
      </c>
      <c r="N971" s="13" t="n">
        <v>48.81</v>
      </c>
      <c r="O971" s="13" t="n">
        <v>107</v>
      </c>
      <c r="P971" s="13" t="s">
        <v>3037</v>
      </c>
      <c r="Q971" s="13" t="s">
        <v>1706</v>
      </c>
      <c r="R971" s="13" t="s">
        <v>1795</v>
      </c>
      <c r="S971" s="13" t="s">
        <v>1795</v>
      </c>
      <c r="T971" s="13" t="s">
        <v>61</v>
      </c>
      <c r="U971" s="13"/>
    </row>
    <row r="972" customFormat="false" ht="18" hidden="false" customHeight="true" outlineLevel="0" collapsed="false">
      <c r="A972" s="13" t="n">
        <v>971</v>
      </c>
      <c r="B972" s="13" t="s">
        <v>5782</v>
      </c>
      <c r="C972" s="13" t="s">
        <v>173</v>
      </c>
      <c r="D972" s="13" t="s">
        <v>174</v>
      </c>
      <c r="E972" s="13" t="s">
        <v>50</v>
      </c>
      <c r="F972" s="13" t="s">
        <v>115</v>
      </c>
      <c r="G972" s="13" t="s">
        <v>217</v>
      </c>
      <c r="H972" s="13" t="s">
        <v>5783</v>
      </c>
      <c r="I972" s="13" t="s">
        <v>5784</v>
      </c>
      <c r="J972" s="13" t="s">
        <v>5785</v>
      </c>
      <c r="K972" s="13" t="s">
        <v>5786</v>
      </c>
      <c r="L972" s="13" t="s">
        <v>366</v>
      </c>
      <c r="M972" s="13" t="n">
        <v>657.05</v>
      </c>
      <c r="N972" s="13" t="n">
        <v>0.71</v>
      </c>
      <c r="O972" s="13" t="n">
        <v>261</v>
      </c>
      <c r="P972" s="13" t="s">
        <v>367</v>
      </c>
      <c r="Q972" s="13" t="s">
        <v>1859</v>
      </c>
      <c r="R972" s="13" t="s">
        <v>522</v>
      </c>
      <c r="S972" s="13" t="s">
        <v>522</v>
      </c>
      <c r="T972" s="13" t="s">
        <v>61</v>
      </c>
      <c r="U972" s="13"/>
    </row>
    <row r="973" customFormat="false" ht="18" hidden="false" customHeight="true" outlineLevel="0" collapsed="false">
      <c r="A973" s="13" t="n">
        <v>972</v>
      </c>
      <c r="B973" s="13" t="s">
        <v>5787</v>
      </c>
      <c r="C973" s="13" t="s">
        <v>48</v>
      </c>
      <c r="D973" s="13" t="s">
        <v>49</v>
      </c>
      <c r="E973" s="13" t="s">
        <v>50</v>
      </c>
      <c r="F973" s="13" t="s">
        <v>503</v>
      </c>
      <c r="G973" s="13" t="s">
        <v>689</v>
      </c>
      <c r="H973" s="13" t="s">
        <v>5788</v>
      </c>
      <c r="I973" s="13" t="s">
        <v>5789</v>
      </c>
      <c r="J973" s="13" t="s">
        <v>5790</v>
      </c>
      <c r="K973" s="13" t="s">
        <v>5791</v>
      </c>
      <c r="L973" s="13" t="s">
        <v>1298</v>
      </c>
      <c r="M973" s="13" t="n">
        <v>204.53</v>
      </c>
      <c r="N973" s="13" t="n">
        <v>0.61</v>
      </c>
      <c r="O973" s="13" t="n">
        <v>268</v>
      </c>
      <c r="P973" s="13" t="s">
        <v>1299</v>
      </c>
      <c r="Q973" s="13" t="s">
        <v>5170</v>
      </c>
      <c r="R973" s="13" t="s">
        <v>265</v>
      </c>
      <c r="S973" s="13" t="s">
        <v>265</v>
      </c>
      <c r="T973" s="13" t="s">
        <v>61</v>
      </c>
      <c r="U973" s="13"/>
    </row>
    <row r="974" customFormat="false" ht="18" hidden="false" customHeight="true" outlineLevel="0" collapsed="false">
      <c r="A974" s="13" t="n">
        <v>973</v>
      </c>
      <c r="B974" s="13" t="s">
        <v>5792</v>
      </c>
      <c r="C974" s="13" t="s">
        <v>48</v>
      </c>
      <c r="D974" s="13" t="s">
        <v>49</v>
      </c>
      <c r="E974" s="13" t="s">
        <v>91</v>
      </c>
      <c r="F974" s="13" t="s">
        <v>587</v>
      </c>
      <c r="G974" s="13" t="s">
        <v>139</v>
      </c>
      <c r="H974" s="13" t="s">
        <v>5793</v>
      </c>
      <c r="I974" s="13" t="s">
        <v>5794</v>
      </c>
      <c r="J974" s="13" t="s">
        <v>5795</v>
      </c>
      <c r="K974" s="13" t="s">
        <v>5796</v>
      </c>
      <c r="L974" s="13" t="s">
        <v>2860</v>
      </c>
      <c r="M974" s="13" t="n">
        <v>1324.38</v>
      </c>
      <c r="N974" s="13" t="n">
        <v>14.86</v>
      </c>
      <c r="O974" s="13" t="n">
        <v>451</v>
      </c>
      <c r="P974" s="13" t="s">
        <v>2861</v>
      </c>
      <c r="Q974" s="13" t="s">
        <v>3733</v>
      </c>
      <c r="R974" s="13" t="s">
        <v>797</v>
      </c>
      <c r="S974" s="13" t="s">
        <v>797</v>
      </c>
      <c r="T974" s="13" t="s">
        <v>61</v>
      </c>
      <c r="U974" s="13"/>
    </row>
    <row r="975" customFormat="false" ht="18" hidden="false" customHeight="true" outlineLevel="0" collapsed="false">
      <c r="A975" s="15" t="n">
        <v>974</v>
      </c>
      <c r="B975" s="15" t="s">
        <v>5797</v>
      </c>
      <c r="C975" s="15" t="s">
        <v>159</v>
      </c>
      <c r="D975" s="15" t="s">
        <v>160</v>
      </c>
      <c r="E975" s="15" t="s">
        <v>79</v>
      </c>
      <c r="F975" s="15" t="s">
        <v>51</v>
      </c>
      <c r="G975" s="15" t="s">
        <v>760</v>
      </c>
      <c r="H975" s="15" t="s">
        <v>5798</v>
      </c>
      <c r="I975" s="15" t="s">
        <v>5799</v>
      </c>
      <c r="J975" s="15" t="s">
        <v>5800</v>
      </c>
      <c r="K975" s="15" t="s">
        <v>5801</v>
      </c>
      <c r="L975" s="15" t="s">
        <v>3448</v>
      </c>
      <c r="M975" s="15" t="n">
        <v>1392.67</v>
      </c>
      <c r="N975" s="15" t="n">
        <v>1.77</v>
      </c>
      <c r="O975" s="15" t="n">
        <v>415</v>
      </c>
      <c r="P975" s="15" t="s">
        <v>3449</v>
      </c>
      <c r="Q975" s="15" t="s">
        <v>5802</v>
      </c>
      <c r="R975" s="15" t="s">
        <v>1211</v>
      </c>
      <c r="S975" s="15" t="s">
        <v>1211</v>
      </c>
      <c r="T975" s="15" t="s">
        <v>61</v>
      </c>
      <c r="U975" s="15" t="s">
        <v>243</v>
      </c>
    </row>
    <row r="976" customFormat="false" ht="18" hidden="false" customHeight="true" outlineLevel="0" collapsed="false">
      <c r="A976" s="13" t="n">
        <v>975</v>
      </c>
      <c r="B976" s="13" t="s">
        <v>5803</v>
      </c>
      <c r="C976" s="13" t="s">
        <v>159</v>
      </c>
      <c r="D976" s="13" t="s">
        <v>160</v>
      </c>
      <c r="E976" s="13" t="s">
        <v>50</v>
      </c>
      <c r="F976" s="13" t="s">
        <v>51</v>
      </c>
      <c r="G976" s="13" t="s">
        <v>52</v>
      </c>
      <c r="H976" s="13" t="s">
        <v>5804</v>
      </c>
      <c r="I976" s="13" t="s">
        <v>5805</v>
      </c>
      <c r="J976" s="13" t="s">
        <v>5806</v>
      </c>
      <c r="K976" s="13" t="s">
        <v>3689</v>
      </c>
      <c r="L976" s="13" t="s">
        <v>57</v>
      </c>
      <c r="M976" s="13" t="n">
        <v>750.07</v>
      </c>
      <c r="N976" s="13" t="n">
        <v>0.89</v>
      </c>
      <c r="O976" s="13" t="n">
        <v>180</v>
      </c>
      <c r="P976" s="13" t="s">
        <v>58</v>
      </c>
      <c r="Q976" s="13" t="s">
        <v>3110</v>
      </c>
      <c r="R976" s="13" t="s">
        <v>1510</v>
      </c>
      <c r="S976" s="13" t="s">
        <v>1510</v>
      </c>
      <c r="T976" s="13" t="s">
        <v>61</v>
      </c>
      <c r="U976" s="13"/>
    </row>
    <row r="977" customFormat="false" ht="18" hidden="false" customHeight="true" outlineLevel="0" collapsed="false">
      <c r="A977" s="13" t="n">
        <v>976</v>
      </c>
      <c r="B977" s="13" t="s">
        <v>5807</v>
      </c>
      <c r="C977" s="13" t="s">
        <v>77</v>
      </c>
      <c r="D977" s="13" t="s">
        <v>78</v>
      </c>
      <c r="E977" s="13" t="s">
        <v>65</v>
      </c>
      <c r="F977" s="13" t="s">
        <v>66</v>
      </c>
      <c r="G977" s="13" t="s">
        <v>149</v>
      </c>
      <c r="H977" s="13" t="s">
        <v>5808</v>
      </c>
      <c r="I977" s="13" t="s">
        <v>5809</v>
      </c>
      <c r="J977" s="13" t="s">
        <v>5810</v>
      </c>
      <c r="K977" s="13" t="s">
        <v>1175</v>
      </c>
      <c r="L977" s="13" t="s">
        <v>1176</v>
      </c>
      <c r="M977" s="13" t="n">
        <v>84.21</v>
      </c>
      <c r="N977" s="13" t="n">
        <v>1.17</v>
      </c>
      <c r="O977" s="13" t="n">
        <v>184</v>
      </c>
      <c r="P977" s="13" t="s">
        <v>1177</v>
      </c>
      <c r="Q977" s="13" t="s">
        <v>2223</v>
      </c>
      <c r="R977" s="13" t="s">
        <v>978</v>
      </c>
      <c r="S977" s="13" t="s">
        <v>978</v>
      </c>
      <c r="T977" s="13" t="s">
        <v>61</v>
      </c>
      <c r="U977" s="13"/>
    </row>
    <row r="978" customFormat="false" ht="18" hidden="false" customHeight="true" outlineLevel="0" collapsed="false">
      <c r="A978" s="15" t="n">
        <v>977</v>
      </c>
      <c r="B978" s="15" t="s">
        <v>5811</v>
      </c>
      <c r="C978" s="15" t="s">
        <v>159</v>
      </c>
      <c r="D978" s="15" t="s">
        <v>160</v>
      </c>
      <c r="E978" s="15" t="s">
        <v>65</v>
      </c>
      <c r="F978" s="15" t="s">
        <v>115</v>
      </c>
      <c r="G978" s="15" t="s">
        <v>391</v>
      </c>
      <c r="H978" s="15" t="s">
        <v>5812</v>
      </c>
      <c r="I978" s="15" t="s">
        <v>5813</v>
      </c>
      <c r="J978" s="15" t="s">
        <v>5814</v>
      </c>
      <c r="K978" s="15" t="s">
        <v>2796</v>
      </c>
      <c r="L978" s="15" t="s">
        <v>2797</v>
      </c>
      <c r="M978" s="15" t="n">
        <v>3259.21</v>
      </c>
      <c r="N978" s="15" t="n">
        <v>1.25</v>
      </c>
      <c r="O978" s="15" t="n">
        <v>37</v>
      </c>
      <c r="P978" s="15" t="s">
        <v>2798</v>
      </c>
      <c r="Q978" s="15" t="s">
        <v>2087</v>
      </c>
      <c r="R978" s="15" t="s">
        <v>3766</v>
      </c>
      <c r="S978" s="15" t="s">
        <v>3766</v>
      </c>
      <c r="T978" s="15" t="s">
        <v>61</v>
      </c>
      <c r="U978" s="15" t="s">
        <v>343</v>
      </c>
    </row>
    <row r="979" customFormat="false" ht="18" hidden="false" customHeight="true" outlineLevel="0" collapsed="false">
      <c r="A979" s="13" t="n">
        <v>978</v>
      </c>
      <c r="B979" s="13" t="s">
        <v>5815</v>
      </c>
      <c r="C979" s="13" t="s">
        <v>113</v>
      </c>
      <c r="D979" s="13" t="s">
        <v>114</v>
      </c>
      <c r="E979" s="13" t="s">
        <v>79</v>
      </c>
      <c r="F979" s="13" t="s">
        <v>127</v>
      </c>
      <c r="G979" s="13" t="s">
        <v>80</v>
      </c>
      <c r="H979" s="13" t="s">
        <v>5816</v>
      </c>
      <c r="I979" s="13" t="s">
        <v>5817</v>
      </c>
      <c r="J979" s="13" t="s">
        <v>5818</v>
      </c>
      <c r="K979" s="13" t="s">
        <v>5819</v>
      </c>
      <c r="L979" s="13" t="s">
        <v>1138</v>
      </c>
      <c r="M979" s="13" t="n">
        <v>1354.92</v>
      </c>
      <c r="N979" s="13" t="n">
        <v>1.78</v>
      </c>
      <c r="O979" s="13" t="n">
        <v>255</v>
      </c>
      <c r="P979" s="13" t="s">
        <v>1139</v>
      </c>
      <c r="Q979" s="13" t="s">
        <v>5820</v>
      </c>
      <c r="R979" s="13" t="s">
        <v>3734</v>
      </c>
      <c r="S979" s="13" t="s">
        <v>3734</v>
      </c>
      <c r="T979" s="13" t="s">
        <v>61</v>
      </c>
      <c r="U979" s="13"/>
    </row>
    <row r="980" customFormat="false" ht="18" hidden="false" customHeight="true" outlineLevel="0" collapsed="false">
      <c r="A980" s="13" t="n">
        <v>979</v>
      </c>
      <c r="B980" s="13" t="s">
        <v>5821</v>
      </c>
      <c r="C980" s="13" t="s">
        <v>255</v>
      </c>
      <c r="D980" s="13" t="s">
        <v>256</v>
      </c>
      <c r="E980" s="13" t="s">
        <v>161</v>
      </c>
      <c r="F980" s="13" t="s">
        <v>162</v>
      </c>
      <c r="G980" s="13" t="s">
        <v>207</v>
      </c>
      <c r="H980" s="13" t="s">
        <v>5822</v>
      </c>
      <c r="I980" s="13" t="s">
        <v>5823</v>
      </c>
      <c r="J980" s="13" t="s">
        <v>5824</v>
      </c>
      <c r="K980" s="13" t="s">
        <v>3924</v>
      </c>
      <c r="L980" s="13" t="s">
        <v>3212</v>
      </c>
      <c r="M980" s="13" t="n">
        <v>34.6</v>
      </c>
      <c r="N980" s="13" t="n">
        <v>0.23</v>
      </c>
      <c r="O980" s="13" t="n">
        <v>159</v>
      </c>
      <c r="P980" s="13" t="s">
        <v>3213</v>
      </c>
      <c r="Q980" s="13" t="s">
        <v>1920</v>
      </c>
      <c r="R980" s="13" t="s">
        <v>611</v>
      </c>
      <c r="S980" s="13" t="s">
        <v>611</v>
      </c>
      <c r="T980" s="13" t="s">
        <v>61</v>
      </c>
      <c r="U980" s="13"/>
    </row>
    <row r="981" customFormat="false" ht="18" hidden="false" customHeight="true" outlineLevel="0" collapsed="false">
      <c r="A981" s="13" t="n">
        <v>980</v>
      </c>
      <c r="B981" s="13" t="s">
        <v>5825</v>
      </c>
      <c r="C981" s="13" t="s">
        <v>77</v>
      </c>
      <c r="D981" s="13" t="s">
        <v>78</v>
      </c>
      <c r="E981" s="13" t="s">
        <v>65</v>
      </c>
      <c r="F981" s="13" t="s">
        <v>390</v>
      </c>
      <c r="G981" s="13" t="s">
        <v>103</v>
      </c>
      <c r="H981" s="13" t="s">
        <v>5826</v>
      </c>
      <c r="I981" s="13" t="s">
        <v>5827</v>
      </c>
      <c r="J981" s="13" t="s">
        <v>5828</v>
      </c>
      <c r="K981" s="13" t="s">
        <v>2114</v>
      </c>
      <c r="L981" s="13" t="s">
        <v>2115</v>
      </c>
      <c r="M981" s="13" t="n">
        <v>403.47</v>
      </c>
      <c r="N981" s="13" t="n">
        <v>0.65</v>
      </c>
      <c r="O981" s="13" t="n">
        <v>182</v>
      </c>
      <c r="P981" s="13" t="s">
        <v>2116</v>
      </c>
      <c r="Q981" s="13" t="s">
        <v>2087</v>
      </c>
      <c r="R981" s="13" t="s">
        <v>3240</v>
      </c>
      <c r="S981" s="13" t="s">
        <v>3240</v>
      </c>
      <c r="T981" s="13" t="s">
        <v>61</v>
      </c>
      <c r="U981" s="13"/>
    </row>
    <row r="982" customFormat="false" ht="18" hidden="false" customHeight="true" outlineLevel="0" collapsed="false">
      <c r="A982" s="13" t="n">
        <v>981</v>
      </c>
      <c r="B982" s="13" t="s">
        <v>5829</v>
      </c>
      <c r="C982" s="13" t="s">
        <v>113</v>
      </c>
      <c r="D982" s="13" t="s">
        <v>114</v>
      </c>
      <c r="E982" s="13" t="s">
        <v>50</v>
      </c>
      <c r="F982" s="13" t="s">
        <v>138</v>
      </c>
      <c r="G982" s="13" t="s">
        <v>808</v>
      </c>
      <c r="H982" s="13" t="s">
        <v>5830</v>
      </c>
      <c r="I982" s="13" t="s">
        <v>5831</v>
      </c>
      <c r="J982" s="13" t="s">
        <v>5832</v>
      </c>
      <c r="K982" s="13" t="s">
        <v>5833</v>
      </c>
      <c r="L982" s="13" t="s">
        <v>813</v>
      </c>
      <c r="M982" s="13" t="n">
        <v>1249.78</v>
      </c>
      <c r="N982" s="13" t="n">
        <v>0.52</v>
      </c>
      <c r="O982" s="13" t="n">
        <v>395</v>
      </c>
      <c r="P982" s="13" t="s">
        <v>814</v>
      </c>
      <c r="Q982" s="13" t="s">
        <v>5834</v>
      </c>
      <c r="R982" s="13" t="s">
        <v>482</v>
      </c>
      <c r="S982" s="13" t="s">
        <v>482</v>
      </c>
      <c r="T982" s="13" t="s">
        <v>61</v>
      </c>
      <c r="U982" s="13"/>
    </row>
    <row r="983" customFormat="false" ht="18" hidden="false" customHeight="true" outlineLevel="0" collapsed="false">
      <c r="A983" s="13" t="n">
        <v>982</v>
      </c>
      <c r="B983" s="13" t="s">
        <v>5835</v>
      </c>
      <c r="C983" s="13" t="s">
        <v>113</v>
      </c>
      <c r="D983" s="13" t="s">
        <v>114</v>
      </c>
      <c r="E983" s="13" t="s">
        <v>161</v>
      </c>
      <c r="F983" s="13" t="s">
        <v>306</v>
      </c>
      <c r="G983" s="13" t="s">
        <v>285</v>
      </c>
      <c r="H983" s="13" t="s">
        <v>5836</v>
      </c>
      <c r="I983" s="13" t="s">
        <v>5837</v>
      </c>
      <c r="J983" s="13" t="s">
        <v>5838</v>
      </c>
      <c r="K983" s="13" t="s">
        <v>3632</v>
      </c>
      <c r="L983" s="13" t="s">
        <v>1186</v>
      </c>
      <c r="M983" s="13" t="n">
        <v>140.91</v>
      </c>
      <c r="N983" s="13" t="n">
        <v>0.31</v>
      </c>
      <c r="O983" s="13" t="n">
        <v>275</v>
      </c>
      <c r="P983" s="13" t="s">
        <v>1187</v>
      </c>
      <c r="Q983" s="13" t="s">
        <v>643</v>
      </c>
      <c r="R983" s="13" t="s">
        <v>4572</v>
      </c>
      <c r="S983" s="13" t="s">
        <v>4572</v>
      </c>
      <c r="T983" s="13" t="s">
        <v>61</v>
      </c>
      <c r="U983" s="13"/>
    </row>
    <row r="984" customFormat="false" ht="18" hidden="false" customHeight="true" outlineLevel="0" collapsed="false">
      <c r="A984" s="15" t="n">
        <v>983</v>
      </c>
      <c r="B984" s="15" t="s">
        <v>839</v>
      </c>
      <c r="C984" s="15" t="s">
        <v>173</v>
      </c>
      <c r="D984" s="15" t="s">
        <v>174</v>
      </c>
      <c r="E984" s="15" t="s">
        <v>161</v>
      </c>
      <c r="F984" s="15" t="s">
        <v>295</v>
      </c>
      <c r="G984" s="15" t="s">
        <v>257</v>
      </c>
      <c r="H984" s="15" t="s">
        <v>840</v>
      </c>
      <c r="I984" s="15" t="s">
        <v>841</v>
      </c>
      <c r="J984" s="15" t="s">
        <v>842</v>
      </c>
      <c r="K984" s="15" t="s">
        <v>843</v>
      </c>
      <c r="L984" s="15" t="s">
        <v>844</v>
      </c>
      <c r="M984" s="15" t="n">
        <v>251.87</v>
      </c>
      <c r="N984" s="15" t="n">
        <v>0.41</v>
      </c>
      <c r="O984" s="15" t="n">
        <v>71</v>
      </c>
      <c r="P984" s="15" t="s">
        <v>845</v>
      </c>
      <c r="Q984" s="15" t="s">
        <v>846</v>
      </c>
      <c r="R984" s="15" t="s">
        <v>838</v>
      </c>
      <c r="S984" s="15" t="s">
        <v>838</v>
      </c>
      <c r="T984" s="15" t="s">
        <v>61</v>
      </c>
      <c r="U984" s="15" t="s">
        <v>283</v>
      </c>
    </row>
    <row r="985" customFormat="false" ht="18" hidden="false" customHeight="true" outlineLevel="0" collapsed="false">
      <c r="A985" s="13" t="n">
        <v>984</v>
      </c>
      <c r="B985" s="13" t="s">
        <v>5839</v>
      </c>
      <c r="C985" s="13" t="s">
        <v>48</v>
      </c>
      <c r="D985" s="13" t="s">
        <v>49</v>
      </c>
      <c r="E985" s="13" t="s">
        <v>79</v>
      </c>
      <c r="F985" s="13" t="s">
        <v>51</v>
      </c>
      <c r="G985" s="13" t="s">
        <v>562</v>
      </c>
      <c r="H985" s="13" t="s">
        <v>5840</v>
      </c>
      <c r="I985" s="13" t="s">
        <v>5841</v>
      </c>
      <c r="J985" s="13" t="s">
        <v>5842</v>
      </c>
      <c r="K985" s="13" t="s">
        <v>5843</v>
      </c>
      <c r="L985" s="13" t="s">
        <v>2754</v>
      </c>
      <c r="M985" s="13" t="n">
        <v>649.64</v>
      </c>
      <c r="N985" s="13" t="n">
        <v>1.64</v>
      </c>
      <c r="O985" s="13" t="n">
        <v>496</v>
      </c>
      <c r="P985" s="13" t="s">
        <v>2755</v>
      </c>
      <c r="Q985" s="13" t="s">
        <v>135</v>
      </c>
      <c r="R985" s="13" t="s">
        <v>1384</v>
      </c>
      <c r="S985" s="13" t="s">
        <v>1384</v>
      </c>
      <c r="T985" s="13" t="s">
        <v>61</v>
      </c>
      <c r="U985" s="13"/>
    </row>
    <row r="986" customFormat="false" ht="18" hidden="false" customHeight="true" outlineLevel="0" collapsed="false">
      <c r="A986" s="13" t="n">
        <v>985</v>
      </c>
      <c r="B986" s="13" t="s">
        <v>1874</v>
      </c>
      <c r="C986" s="13" t="s">
        <v>113</v>
      </c>
      <c r="D986" s="13" t="s">
        <v>114</v>
      </c>
      <c r="E986" s="13" t="s">
        <v>50</v>
      </c>
      <c r="F986" s="13" t="s">
        <v>115</v>
      </c>
      <c r="G986" s="13" t="s">
        <v>689</v>
      </c>
      <c r="H986" s="13" t="s">
        <v>1875</v>
      </c>
      <c r="I986" s="13" t="s">
        <v>1876</v>
      </c>
      <c r="J986" s="13" t="s">
        <v>1877</v>
      </c>
      <c r="K986" s="13" t="s">
        <v>1878</v>
      </c>
      <c r="L986" s="13" t="s">
        <v>694</v>
      </c>
      <c r="M986" s="13" t="n">
        <v>1207.46</v>
      </c>
      <c r="N986" s="13" t="n">
        <v>0.37</v>
      </c>
      <c r="O986" s="13" t="n">
        <v>210</v>
      </c>
      <c r="P986" s="13" t="s">
        <v>695</v>
      </c>
      <c r="Q986" s="13" t="s">
        <v>1879</v>
      </c>
      <c r="R986" s="13" t="s">
        <v>1880</v>
      </c>
      <c r="S986" s="13" t="s">
        <v>1880</v>
      </c>
      <c r="T986" s="13" t="s">
        <v>61</v>
      </c>
      <c r="U986" s="13"/>
    </row>
    <row r="987" customFormat="false" ht="18" hidden="false" customHeight="true" outlineLevel="0" collapsed="false">
      <c r="A987" s="15" t="n">
        <v>986</v>
      </c>
      <c r="B987" s="15" t="s">
        <v>5844</v>
      </c>
      <c r="C987" s="15" t="s">
        <v>159</v>
      </c>
      <c r="D987" s="15" t="s">
        <v>160</v>
      </c>
      <c r="E987" s="15" t="s">
        <v>91</v>
      </c>
      <c r="F987" s="15" t="s">
        <v>227</v>
      </c>
      <c r="G987" s="15" t="s">
        <v>372</v>
      </c>
      <c r="H987" s="15" t="s">
        <v>5845</v>
      </c>
      <c r="I987" s="15" t="s">
        <v>5846</v>
      </c>
      <c r="J987" s="15" t="s">
        <v>5847</v>
      </c>
      <c r="K987" s="15" t="s">
        <v>3456</v>
      </c>
      <c r="L987" s="15" t="s">
        <v>3457</v>
      </c>
      <c r="M987" s="15" t="n">
        <v>366.74</v>
      </c>
      <c r="N987" s="15" t="n">
        <v>0.12</v>
      </c>
      <c r="O987" s="15" t="n">
        <v>172</v>
      </c>
      <c r="P987" s="15" t="s">
        <v>3458</v>
      </c>
      <c r="Q987" s="15" t="s">
        <v>3946</v>
      </c>
      <c r="R987" s="15" t="s">
        <v>1334</v>
      </c>
      <c r="S987" s="15" t="s">
        <v>1334</v>
      </c>
      <c r="T987" s="15" t="s">
        <v>61</v>
      </c>
      <c r="U987" s="15" t="s">
        <v>453</v>
      </c>
    </row>
    <row r="988" customFormat="false" ht="18" hidden="false" customHeight="true" outlineLevel="0" collapsed="false">
      <c r="A988" s="13" t="n">
        <v>987</v>
      </c>
      <c r="B988" s="13" t="s">
        <v>5848</v>
      </c>
      <c r="C988" s="13" t="s">
        <v>159</v>
      </c>
      <c r="D988" s="13" t="s">
        <v>160</v>
      </c>
      <c r="E988" s="13" t="s">
        <v>65</v>
      </c>
      <c r="F988" s="13" t="s">
        <v>438</v>
      </c>
      <c r="G988" s="13" t="s">
        <v>724</v>
      </c>
      <c r="H988" s="13" t="s">
        <v>5849</v>
      </c>
      <c r="I988" s="13" t="s">
        <v>5850</v>
      </c>
      <c r="J988" s="13" t="s">
        <v>5851</v>
      </c>
      <c r="K988" s="13" t="s">
        <v>1363</v>
      </c>
      <c r="L988" s="13" t="s">
        <v>1364</v>
      </c>
      <c r="M988" s="13" t="n">
        <v>137.01</v>
      </c>
      <c r="N988" s="13" t="n">
        <v>0.64</v>
      </c>
      <c r="O988" s="13" t="n">
        <v>55</v>
      </c>
      <c r="P988" s="13" t="s">
        <v>1365</v>
      </c>
      <c r="Q988" s="13" t="s">
        <v>252</v>
      </c>
      <c r="R988" s="13" t="s">
        <v>350</v>
      </c>
      <c r="S988" s="13" t="s">
        <v>350</v>
      </c>
      <c r="T988" s="13" t="s">
        <v>61</v>
      </c>
      <c r="U988" s="13"/>
    </row>
    <row r="989" customFormat="false" ht="18" hidden="false" customHeight="true" outlineLevel="0" collapsed="false">
      <c r="A989" s="13" t="n">
        <v>988</v>
      </c>
      <c r="B989" s="13" t="s">
        <v>5852</v>
      </c>
      <c r="C989" s="13" t="s">
        <v>159</v>
      </c>
      <c r="D989" s="13" t="s">
        <v>160</v>
      </c>
      <c r="E989" s="13" t="s">
        <v>91</v>
      </c>
      <c r="F989" s="13" t="s">
        <v>185</v>
      </c>
      <c r="G989" s="13" t="s">
        <v>139</v>
      </c>
      <c r="H989" s="13" t="s">
        <v>5853</v>
      </c>
      <c r="I989" s="13" t="s">
        <v>5854</v>
      </c>
      <c r="J989" s="13" t="s">
        <v>5855</v>
      </c>
      <c r="K989" s="13" t="s">
        <v>5856</v>
      </c>
      <c r="L989" s="13" t="s">
        <v>2731</v>
      </c>
      <c r="M989" s="13" t="n">
        <v>1602.36</v>
      </c>
      <c r="N989" s="13" t="n">
        <v>33.18</v>
      </c>
      <c r="O989" s="13" t="n">
        <v>239</v>
      </c>
      <c r="P989" s="13" t="s">
        <v>2732</v>
      </c>
      <c r="Q989" s="13" t="s">
        <v>5097</v>
      </c>
      <c r="R989" s="13" t="s">
        <v>4260</v>
      </c>
      <c r="S989" s="13" t="s">
        <v>4260</v>
      </c>
      <c r="T989" s="13" t="s">
        <v>61</v>
      </c>
      <c r="U989" s="13"/>
    </row>
    <row r="990" customFormat="false" ht="18" hidden="false" customHeight="true" outlineLevel="0" collapsed="false">
      <c r="A990" s="13" t="n">
        <v>989</v>
      </c>
      <c r="B990" s="13" t="s">
        <v>5857</v>
      </c>
      <c r="C990" s="13" t="s">
        <v>63</v>
      </c>
      <c r="D990" s="13" t="s">
        <v>64</v>
      </c>
      <c r="E990" s="13" t="s">
        <v>79</v>
      </c>
      <c r="F990" s="13" t="s">
        <v>465</v>
      </c>
      <c r="G990" s="13" t="s">
        <v>80</v>
      </c>
      <c r="H990" s="13" t="s">
        <v>5858</v>
      </c>
      <c r="I990" s="13" t="s">
        <v>5859</v>
      </c>
      <c r="J990" s="13" t="s">
        <v>5860</v>
      </c>
      <c r="K990" s="13" t="s">
        <v>5861</v>
      </c>
      <c r="L990" s="13" t="s">
        <v>470</v>
      </c>
      <c r="M990" s="13" t="n">
        <v>1999.8</v>
      </c>
      <c r="N990" s="13" t="n">
        <v>1.3</v>
      </c>
      <c r="O990" s="13" t="n">
        <v>410</v>
      </c>
      <c r="P990" s="13" t="s">
        <v>471</v>
      </c>
      <c r="Q990" s="13" t="s">
        <v>5862</v>
      </c>
      <c r="R990" s="13" t="s">
        <v>1274</v>
      </c>
      <c r="S990" s="13" t="s">
        <v>1274</v>
      </c>
      <c r="T990" s="13" t="s">
        <v>61</v>
      </c>
      <c r="U990" s="13"/>
    </row>
    <row r="991" customFormat="false" ht="18" hidden="false" customHeight="true" outlineLevel="0" collapsed="false">
      <c r="A991" s="15" t="n">
        <v>990</v>
      </c>
      <c r="B991" s="15" t="s">
        <v>5863</v>
      </c>
      <c r="C991" s="15" t="s">
        <v>48</v>
      </c>
      <c r="D991" s="15" t="s">
        <v>49</v>
      </c>
      <c r="E991" s="15" t="s">
        <v>65</v>
      </c>
      <c r="F991" s="15" t="s">
        <v>587</v>
      </c>
      <c r="G991" s="15" t="s">
        <v>533</v>
      </c>
      <c r="H991" s="15" t="s">
        <v>5864</v>
      </c>
      <c r="I991" s="15" t="s">
        <v>5865</v>
      </c>
      <c r="J991" s="15" t="s">
        <v>5866</v>
      </c>
      <c r="K991" s="15" t="s">
        <v>5867</v>
      </c>
      <c r="L991" s="15" t="s">
        <v>869</v>
      </c>
      <c r="M991" s="15" t="n">
        <v>2599.31</v>
      </c>
      <c r="N991" s="15" t="n">
        <v>20.08</v>
      </c>
      <c r="O991" s="15" t="n">
        <v>39</v>
      </c>
      <c r="P991" s="15" t="s">
        <v>870</v>
      </c>
      <c r="Q991" s="15" t="s">
        <v>1074</v>
      </c>
      <c r="R991" s="15" t="s">
        <v>4100</v>
      </c>
      <c r="S991" s="15" t="s">
        <v>4100</v>
      </c>
      <c r="T991" s="15" t="s">
        <v>61</v>
      </c>
      <c r="U991" s="15" t="s">
        <v>453</v>
      </c>
    </row>
    <row r="992" customFormat="false" ht="18" hidden="false" customHeight="true" outlineLevel="0" collapsed="false">
      <c r="A992" s="13" t="n">
        <v>991</v>
      </c>
      <c r="B992" s="13" t="s">
        <v>5868</v>
      </c>
      <c r="C992" s="13" t="s">
        <v>255</v>
      </c>
      <c r="D992" s="13" t="s">
        <v>256</v>
      </c>
      <c r="E992" s="13" t="s">
        <v>79</v>
      </c>
      <c r="F992" s="13" t="s">
        <v>1531</v>
      </c>
      <c r="G992" s="13" t="s">
        <v>733</v>
      </c>
      <c r="H992" s="13" t="s">
        <v>5869</v>
      </c>
      <c r="I992" s="13" t="s">
        <v>5870</v>
      </c>
      <c r="J992" s="13" t="s">
        <v>5871</v>
      </c>
      <c r="K992" s="13" t="s">
        <v>5872</v>
      </c>
      <c r="L992" s="13" t="s">
        <v>1536</v>
      </c>
      <c r="M992" s="13" t="n">
        <v>559.88</v>
      </c>
      <c r="N992" s="13" t="n">
        <v>1.4</v>
      </c>
      <c r="O992" s="13" t="n">
        <v>92</v>
      </c>
      <c r="P992" s="13" t="s">
        <v>1537</v>
      </c>
      <c r="Q992" s="13" t="s">
        <v>4849</v>
      </c>
      <c r="R992" s="13" t="s">
        <v>3535</v>
      </c>
      <c r="S992" s="13" t="s">
        <v>3535</v>
      </c>
      <c r="T992" s="13" t="s">
        <v>61</v>
      </c>
      <c r="U992" s="13"/>
    </row>
    <row r="993" customFormat="false" ht="18" hidden="false" customHeight="true" outlineLevel="0" collapsed="false">
      <c r="A993" s="13" t="n">
        <v>992</v>
      </c>
      <c r="B993" s="13" t="s">
        <v>5873</v>
      </c>
      <c r="C993" s="13" t="s">
        <v>63</v>
      </c>
      <c r="D993" s="13" t="s">
        <v>64</v>
      </c>
      <c r="E993" s="13" t="s">
        <v>79</v>
      </c>
      <c r="F993" s="13" t="s">
        <v>51</v>
      </c>
      <c r="G993" s="13" t="s">
        <v>128</v>
      </c>
      <c r="H993" s="13" t="s">
        <v>5874</v>
      </c>
      <c r="I993" s="13" t="s">
        <v>5875</v>
      </c>
      <c r="J993" s="13" t="s">
        <v>5876</v>
      </c>
      <c r="K993" s="13" t="s">
        <v>3562</v>
      </c>
      <c r="L993" s="13" t="s">
        <v>547</v>
      </c>
      <c r="M993" s="13" t="n">
        <v>1771.72</v>
      </c>
      <c r="N993" s="13" t="n">
        <v>1.78</v>
      </c>
      <c r="O993" s="13" t="n">
        <v>334</v>
      </c>
      <c r="P993" s="13" t="s">
        <v>548</v>
      </c>
      <c r="Q993" s="13" t="s">
        <v>5877</v>
      </c>
      <c r="R993" s="13" t="s">
        <v>2215</v>
      </c>
      <c r="S993" s="13" t="s">
        <v>2215</v>
      </c>
      <c r="T993" s="13" t="s">
        <v>61</v>
      </c>
      <c r="U993" s="13"/>
    </row>
    <row r="994" customFormat="false" ht="18" hidden="false" customHeight="true" outlineLevel="0" collapsed="false">
      <c r="A994" s="13" t="n">
        <v>993</v>
      </c>
      <c r="B994" s="13" t="s">
        <v>5878</v>
      </c>
      <c r="C994" s="13" t="s">
        <v>173</v>
      </c>
      <c r="D994" s="13" t="s">
        <v>174</v>
      </c>
      <c r="E994" s="13" t="s">
        <v>65</v>
      </c>
      <c r="F994" s="13" t="s">
        <v>390</v>
      </c>
      <c r="G994" s="13" t="s">
        <v>103</v>
      </c>
      <c r="H994" s="13" t="s">
        <v>5879</v>
      </c>
      <c r="I994" s="13" t="s">
        <v>5880</v>
      </c>
      <c r="J994" s="13" t="s">
        <v>5881</v>
      </c>
      <c r="K994" s="13" t="s">
        <v>2114</v>
      </c>
      <c r="L994" s="13" t="s">
        <v>2115</v>
      </c>
      <c r="M994" s="13" t="n">
        <v>454.51</v>
      </c>
      <c r="N994" s="13" t="n">
        <v>1.28</v>
      </c>
      <c r="O994" s="13" t="n">
        <v>47</v>
      </c>
      <c r="P994" s="13" t="s">
        <v>2116</v>
      </c>
      <c r="Q994" s="13" t="s">
        <v>252</v>
      </c>
      <c r="R994" s="13" t="s">
        <v>1539</v>
      </c>
      <c r="S994" s="13" t="s">
        <v>1539</v>
      </c>
      <c r="T994" s="13" t="s">
        <v>61</v>
      </c>
      <c r="U994" s="13"/>
    </row>
    <row r="995" customFormat="false" ht="18" hidden="false" customHeight="true" outlineLevel="0" collapsed="false">
      <c r="A995" s="13" t="n">
        <v>994</v>
      </c>
      <c r="B995" s="13" t="s">
        <v>5882</v>
      </c>
      <c r="C995" s="13" t="s">
        <v>77</v>
      </c>
      <c r="D995" s="13" t="s">
        <v>78</v>
      </c>
      <c r="E995" s="13" t="s">
        <v>91</v>
      </c>
      <c r="F995" s="13" t="s">
        <v>138</v>
      </c>
      <c r="G995" s="13" t="s">
        <v>93</v>
      </c>
      <c r="H995" s="13" t="s">
        <v>5883</v>
      </c>
      <c r="I995" s="13" t="s">
        <v>5884</v>
      </c>
      <c r="J995" s="13" t="s">
        <v>5885</v>
      </c>
      <c r="K995" s="13" t="s">
        <v>5886</v>
      </c>
      <c r="L995" s="13" t="s">
        <v>3772</v>
      </c>
      <c r="M995" s="13" t="n">
        <v>2792.66</v>
      </c>
      <c r="N995" s="13" t="n">
        <v>23.05</v>
      </c>
      <c r="O995" s="13" t="n">
        <v>499</v>
      </c>
      <c r="P995" s="13" t="s">
        <v>3773</v>
      </c>
      <c r="Q995" s="13" t="s">
        <v>896</v>
      </c>
      <c r="R995" s="13" t="s">
        <v>946</v>
      </c>
      <c r="S995" s="13" t="s">
        <v>946</v>
      </c>
      <c r="T995" s="13" t="s">
        <v>61</v>
      </c>
      <c r="U995" s="13"/>
    </row>
    <row r="996" customFormat="false" ht="18" hidden="false" customHeight="true" outlineLevel="0" collapsed="false">
      <c r="A996" s="13" t="n">
        <v>995</v>
      </c>
      <c r="B996" s="13" t="s">
        <v>5887</v>
      </c>
      <c r="C996" s="13" t="s">
        <v>48</v>
      </c>
      <c r="D996" s="13" t="s">
        <v>49</v>
      </c>
      <c r="E996" s="13" t="s">
        <v>91</v>
      </c>
      <c r="F996" s="13" t="s">
        <v>92</v>
      </c>
      <c r="G996" s="13" t="s">
        <v>533</v>
      </c>
      <c r="H996" s="13" t="s">
        <v>5888</v>
      </c>
      <c r="I996" s="13" t="s">
        <v>5889</v>
      </c>
      <c r="J996" s="13" t="s">
        <v>5890</v>
      </c>
      <c r="K996" s="13" t="s">
        <v>5891</v>
      </c>
      <c r="L996" s="13" t="s">
        <v>5264</v>
      </c>
      <c r="M996" s="13" t="n">
        <v>2551.37</v>
      </c>
      <c r="N996" s="13" t="n">
        <v>12.67</v>
      </c>
      <c r="O996" s="13" t="n">
        <v>226</v>
      </c>
      <c r="P996" s="13" t="s">
        <v>5265</v>
      </c>
      <c r="Q996" s="13" t="s">
        <v>3172</v>
      </c>
      <c r="R996" s="13" t="s">
        <v>1055</v>
      </c>
      <c r="S996" s="13" t="s">
        <v>1055</v>
      </c>
      <c r="T996" s="13" t="s">
        <v>61</v>
      </c>
      <c r="U996" s="13"/>
    </row>
    <row r="997" customFormat="false" ht="18" hidden="false" customHeight="true" outlineLevel="0" collapsed="false">
      <c r="A997" s="13" t="n">
        <v>996</v>
      </c>
      <c r="B997" s="13" t="s">
        <v>5892</v>
      </c>
      <c r="C997" s="13" t="s">
        <v>63</v>
      </c>
      <c r="D997" s="13" t="s">
        <v>64</v>
      </c>
      <c r="E997" s="13" t="s">
        <v>65</v>
      </c>
      <c r="F997" s="13" t="s">
        <v>115</v>
      </c>
      <c r="G997" s="13" t="s">
        <v>149</v>
      </c>
      <c r="H997" s="13" t="s">
        <v>5893</v>
      </c>
      <c r="I997" s="13" t="s">
        <v>5894</v>
      </c>
      <c r="J997" s="13" t="s">
        <v>5895</v>
      </c>
      <c r="K997" s="13" t="s">
        <v>153</v>
      </c>
      <c r="L997" s="13" t="s">
        <v>154</v>
      </c>
      <c r="M997" s="13" t="n">
        <v>275.94</v>
      </c>
      <c r="N997" s="13" t="n">
        <v>1.44</v>
      </c>
      <c r="O997" s="13" t="n">
        <v>266</v>
      </c>
      <c r="P997" s="13" t="s">
        <v>155</v>
      </c>
      <c r="Q997" s="13" t="s">
        <v>2087</v>
      </c>
      <c r="R997" s="13" t="s">
        <v>1384</v>
      </c>
      <c r="S997" s="13" t="s">
        <v>1384</v>
      </c>
      <c r="T997" s="13" t="s">
        <v>61</v>
      </c>
      <c r="U997" s="13"/>
    </row>
    <row r="998" customFormat="false" ht="18" hidden="false" customHeight="true" outlineLevel="0" collapsed="false">
      <c r="A998" s="13" t="n">
        <v>997</v>
      </c>
      <c r="B998" s="13" t="s">
        <v>3999</v>
      </c>
      <c r="C998" s="13" t="s">
        <v>113</v>
      </c>
      <c r="D998" s="13" t="s">
        <v>114</v>
      </c>
      <c r="E998" s="13" t="s">
        <v>79</v>
      </c>
      <c r="F998" s="13" t="s">
        <v>465</v>
      </c>
      <c r="G998" s="13" t="s">
        <v>128</v>
      </c>
      <c r="H998" s="13" t="s">
        <v>4000</v>
      </c>
      <c r="I998" s="13" t="s">
        <v>4001</v>
      </c>
      <c r="J998" s="13" t="s">
        <v>4002</v>
      </c>
      <c r="K998" s="13" t="s">
        <v>4003</v>
      </c>
      <c r="L998" s="13" t="s">
        <v>2490</v>
      </c>
      <c r="M998" s="13" t="n">
        <v>1632.41</v>
      </c>
      <c r="N998" s="13" t="n">
        <v>2.36</v>
      </c>
      <c r="O998" s="13" t="n">
        <v>453</v>
      </c>
      <c r="P998" s="13" t="s">
        <v>2491</v>
      </c>
      <c r="Q998" s="13" t="s">
        <v>619</v>
      </c>
      <c r="R998" s="13" t="s">
        <v>4004</v>
      </c>
      <c r="S998" s="13" t="s">
        <v>4004</v>
      </c>
      <c r="T998" s="13" t="s">
        <v>61</v>
      </c>
      <c r="U998" s="13"/>
    </row>
    <row r="999" customFormat="false" ht="18" hidden="false" customHeight="true" outlineLevel="0" collapsed="false">
      <c r="A999" s="13" t="n">
        <v>998</v>
      </c>
      <c r="B999" s="13" t="s">
        <v>5896</v>
      </c>
      <c r="C999" s="13" t="s">
        <v>113</v>
      </c>
      <c r="D999" s="13" t="s">
        <v>114</v>
      </c>
      <c r="E999" s="13" t="s">
        <v>65</v>
      </c>
      <c r="F999" s="13" t="s">
        <v>115</v>
      </c>
      <c r="G999" s="13" t="s">
        <v>274</v>
      </c>
      <c r="H999" s="13" t="s">
        <v>5897</v>
      </c>
      <c r="I999" s="13" t="s">
        <v>5898</v>
      </c>
      <c r="J999" s="13" t="s">
        <v>5899</v>
      </c>
      <c r="K999" s="13" t="s">
        <v>496</v>
      </c>
      <c r="L999" s="13" t="s">
        <v>497</v>
      </c>
      <c r="M999" s="13" t="n">
        <v>242.23</v>
      </c>
      <c r="N999" s="13" t="n">
        <v>1.36</v>
      </c>
      <c r="O999" s="13" t="n">
        <v>458</v>
      </c>
      <c r="P999" s="13" t="s">
        <v>498</v>
      </c>
      <c r="Q999" s="13" t="s">
        <v>234</v>
      </c>
      <c r="R999" s="13" t="s">
        <v>985</v>
      </c>
      <c r="S999" s="13" t="s">
        <v>985</v>
      </c>
      <c r="T999" s="13" t="s">
        <v>61</v>
      </c>
      <c r="U999" s="13"/>
    </row>
    <row r="1000" customFormat="false" ht="18" hidden="false" customHeight="true" outlineLevel="0" collapsed="false">
      <c r="A1000" s="13" t="n">
        <v>999</v>
      </c>
      <c r="B1000" s="13" t="s">
        <v>5900</v>
      </c>
      <c r="C1000" s="13" t="s">
        <v>63</v>
      </c>
      <c r="D1000" s="13" t="s">
        <v>64</v>
      </c>
      <c r="E1000" s="13" t="s">
        <v>79</v>
      </c>
      <c r="F1000" s="13" t="s">
        <v>465</v>
      </c>
      <c r="G1000" s="13" t="s">
        <v>197</v>
      </c>
      <c r="H1000" s="13" t="s">
        <v>5901</v>
      </c>
      <c r="I1000" s="13" t="s">
        <v>5902</v>
      </c>
      <c r="J1000" s="13" t="s">
        <v>5903</v>
      </c>
      <c r="K1000" s="13" t="s">
        <v>990</v>
      </c>
      <c r="L1000" s="13" t="s">
        <v>991</v>
      </c>
      <c r="M1000" s="13" t="n">
        <v>1655.42</v>
      </c>
      <c r="N1000" s="13" t="n">
        <v>1.68</v>
      </c>
      <c r="O1000" s="13" t="n">
        <v>4</v>
      </c>
      <c r="P1000" s="13" t="s">
        <v>992</v>
      </c>
      <c r="Q1000" s="13" t="s">
        <v>993</v>
      </c>
      <c r="R1000" s="13" t="s">
        <v>978</v>
      </c>
      <c r="S1000" s="13" t="s">
        <v>978</v>
      </c>
      <c r="T1000" s="13" t="s">
        <v>61</v>
      </c>
      <c r="U1000" s="13"/>
    </row>
    <row r="1001" customFormat="false" ht="18" hidden="false" customHeight="true" outlineLevel="0" collapsed="false">
      <c r="A1001" s="13" t="n">
        <v>1000</v>
      </c>
      <c r="B1001" s="13" t="s">
        <v>5904</v>
      </c>
      <c r="C1001" s="13" t="s">
        <v>255</v>
      </c>
      <c r="D1001" s="13" t="s">
        <v>256</v>
      </c>
      <c r="E1001" s="13" t="s">
        <v>79</v>
      </c>
      <c r="F1001" s="13" t="s">
        <v>1531</v>
      </c>
      <c r="G1001" s="13" t="s">
        <v>128</v>
      </c>
      <c r="H1001" s="13" t="s">
        <v>5905</v>
      </c>
      <c r="I1001" s="13" t="s">
        <v>5906</v>
      </c>
      <c r="J1001" s="13" t="s">
        <v>5907</v>
      </c>
      <c r="K1001" s="13" t="s">
        <v>5908</v>
      </c>
      <c r="L1001" s="13" t="s">
        <v>1667</v>
      </c>
      <c r="M1001" s="13" t="n">
        <v>630.4</v>
      </c>
      <c r="N1001" s="13" t="n">
        <v>1.21</v>
      </c>
      <c r="O1001" s="13" t="n">
        <v>474</v>
      </c>
      <c r="P1001" s="13" t="s">
        <v>3309</v>
      </c>
      <c r="Q1001" s="13" t="s">
        <v>2299</v>
      </c>
      <c r="R1001" s="13" t="s">
        <v>1125</v>
      </c>
      <c r="S1001" s="13" t="s">
        <v>1125</v>
      </c>
      <c r="T1001" s="13" t="s">
        <v>61</v>
      </c>
      <c r="U1001" s="13"/>
    </row>
    <row r="1002" customFormat="false" ht="18" hidden="false" customHeight="true" outlineLevel="0" collapsed="false">
      <c r="A1002" s="13" t="n">
        <v>1001</v>
      </c>
      <c r="B1002" s="13" t="s">
        <v>5909</v>
      </c>
      <c r="C1002" s="13" t="s">
        <v>125</v>
      </c>
      <c r="D1002" s="13" t="s">
        <v>126</v>
      </c>
      <c r="E1002" s="13" t="s">
        <v>161</v>
      </c>
      <c r="F1002" s="13" t="s">
        <v>185</v>
      </c>
      <c r="G1002" s="13" t="s">
        <v>285</v>
      </c>
      <c r="H1002" s="13" t="s">
        <v>5910</v>
      </c>
      <c r="I1002" s="13" t="s">
        <v>5911</v>
      </c>
      <c r="J1002" s="13" t="s">
        <v>5912</v>
      </c>
      <c r="K1002" s="13" t="s">
        <v>5913</v>
      </c>
      <c r="L1002" s="13" t="s">
        <v>5239</v>
      </c>
      <c r="M1002" s="13" t="n">
        <v>517.85</v>
      </c>
      <c r="N1002" s="13" t="n">
        <v>0.42</v>
      </c>
      <c r="O1002" s="13" t="n">
        <v>274</v>
      </c>
      <c r="P1002" s="13" t="s">
        <v>5240</v>
      </c>
      <c r="Q1002" s="13" t="s">
        <v>313</v>
      </c>
      <c r="R1002" s="13" t="s">
        <v>704</v>
      </c>
      <c r="S1002" s="13" t="s">
        <v>704</v>
      </c>
      <c r="T1002" s="13" t="s">
        <v>61</v>
      </c>
      <c r="U1002" s="13"/>
    </row>
    <row r="1003" customFormat="false" ht="18" hidden="false" customHeight="true" outlineLevel="0" collapsed="false">
      <c r="A1003" s="13" t="n">
        <v>1002</v>
      </c>
      <c r="B1003" s="13" t="s">
        <v>5914</v>
      </c>
      <c r="C1003" s="13" t="s">
        <v>125</v>
      </c>
      <c r="D1003" s="13" t="s">
        <v>126</v>
      </c>
      <c r="E1003" s="13" t="s">
        <v>161</v>
      </c>
      <c r="F1003" s="13" t="s">
        <v>429</v>
      </c>
      <c r="G1003" s="13" t="s">
        <v>163</v>
      </c>
      <c r="H1003" s="13" t="s">
        <v>5915</v>
      </c>
      <c r="I1003" s="13" t="s">
        <v>5916</v>
      </c>
      <c r="J1003" s="13" t="s">
        <v>5917</v>
      </c>
      <c r="K1003" s="13" t="s">
        <v>667</v>
      </c>
      <c r="L1003" s="13" t="s">
        <v>668</v>
      </c>
      <c r="M1003" s="13" t="n">
        <v>203.53</v>
      </c>
      <c r="N1003" s="13" t="n">
        <v>0.4</v>
      </c>
      <c r="O1003" s="13" t="n">
        <v>437</v>
      </c>
      <c r="P1003" s="13" t="s">
        <v>669</v>
      </c>
      <c r="Q1003" s="13" t="s">
        <v>4854</v>
      </c>
      <c r="R1003" s="13" t="s">
        <v>4707</v>
      </c>
      <c r="S1003" s="13" t="s">
        <v>4707</v>
      </c>
      <c r="T1003" s="13" t="s">
        <v>61</v>
      </c>
      <c r="U1003" s="13"/>
    </row>
    <row r="1004" customFormat="false" ht="18" hidden="false" customHeight="true" outlineLevel="0" collapsed="false">
      <c r="A1004" s="13" t="n">
        <v>1003</v>
      </c>
      <c r="B1004" s="13" t="s">
        <v>5918</v>
      </c>
      <c r="C1004" s="13" t="s">
        <v>255</v>
      </c>
      <c r="D1004" s="13" t="s">
        <v>256</v>
      </c>
      <c r="E1004" s="13" t="s">
        <v>50</v>
      </c>
      <c r="F1004" s="13" t="s">
        <v>127</v>
      </c>
      <c r="G1004" s="13" t="s">
        <v>52</v>
      </c>
      <c r="H1004" s="13" t="s">
        <v>5919</v>
      </c>
      <c r="I1004" s="13" t="s">
        <v>5920</v>
      </c>
      <c r="J1004" s="13" t="s">
        <v>5921</v>
      </c>
      <c r="K1004" s="13" t="s">
        <v>4226</v>
      </c>
      <c r="L1004" s="13" t="s">
        <v>794</v>
      </c>
      <c r="M1004" s="13" t="n">
        <v>741.96</v>
      </c>
      <c r="N1004" s="13" t="n">
        <v>0.47</v>
      </c>
      <c r="O1004" s="13" t="n">
        <v>479</v>
      </c>
      <c r="P1004" s="13" t="s">
        <v>795</v>
      </c>
      <c r="Q1004" s="13" t="s">
        <v>2929</v>
      </c>
      <c r="R1004" s="13" t="s">
        <v>205</v>
      </c>
      <c r="S1004" s="13" t="s">
        <v>205</v>
      </c>
      <c r="T1004" s="13" t="s">
        <v>61</v>
      </c>
      <c r="U1004" s="13"/>
    </row>
    <row r="1005" customFormat="false" ht="18" hidden="false" customHeight="true" outlineLevel="0" collapsed="false">
      <c r="A1005" s="15" t="n">
        <v>1004</v>
      </c>
      <c r="B1005" s="15" t="s">
        <v>5922</v>
      </c>
      <c r="C1005" s="15" t="s">
        <v>125</v>
      </c>
      <c r="D1005" s="15" t="s">
        <v>126</v>
      </c>
      <c r="E1005" s="15" t="s">
        <v>79</v>
      </c>
      <c r="F1005" s="15" t="s">
        <v>115</v>
      </c>
      <c r="G1005" s="15" t="s">
        <v>52</v>
      </c>
      <c r="H1005" s="15" t="s">
        <v>5923</v>
      </c>
      <c r="I1005" s="15" t="s">
        <v>5924</v>
      </c>
      <c r="J1005" s="15" t="s">
        <v>5925</v>
      </c>
      <c r="K1005" s="15" t="s">
        <v>3469</v>
      </c>
      <c r="L1005" s="15" t="s">
        <v>120</v>
      </c>
      <c r="M1005" s="15" t="n">
        <v>7754.02</v>
      </c>
      <c r="N1005" s="15" t="n">
        <v>0.72</v>
      </c>
      <c r="O1005" s="15" t="n">
        <v>383</v>
      </c>
      <c r="P1005" s="15" t="s">
        <v>121</v>
      </c>
      <c r="Q1005" s="15" t="s">
        <v>3997</v>
      </c>
      <c r="R1005" s="15" t="s">
        <v>3166</v>
      </c>
      <c r="S1005" s="15" t="s">
        <v>3166</v>
      </c>
      <c r="T1005" s="15" t="s">
        <v>61</v>
      </c>
      <c r="U1005" s="15" t="s">
        <v>453</v>
      </c>
    </row>
    <row r="1006" customFormat="false" ht="18" hidden="false" customHeight="true" outlineLevel="0" collapsed="false">
      <c r="A1006" s="13" t="n">
        <v>1005</v>
      </c>
      <c r="B1006" s="13" t="s">
        <v>5926</v>
      </c>
      <c r="C1006" s="13" t="s">
        <v>255</v>
      </c>
      <c r="D1006" s="13" t="s">
        <v>256</v>
      </c>
      <c r="E1006" s="13" t="s">
        <v>50</v>
      </c>
      <c r="F1006" s="13" t="s">
        <v>503</v>
      </c>
      <c r="G1006" s="13" t="s">
        <v>217</v>
      </c>
      <c r="H1006" s="13" t="s">
        <v>5927</v>
      </c>
      <c r="I1006" s="13" t="s">
        <v>5928</v>
      </c>
      <c r="J1006" s="13" t="s">
        <v>5929</v>
      </c>
      <c r="K1006" s="13" t="s">
        <v>5930</v>
      </c>
      <c r="L1006" s="13" t="s">
        <v>3722</v>
      </c>
      <c r="M1006" s="13" t="n">
        <v>1189.84</v>
      </c>
      <c r="N1006" s="13" t="n">
        <v>0.8</v>
      </c>
      <c r="O1006" s="13" t="n">
        <v>169</v>
      </c>
      <c r="P1006" s="13" t="s">
        <v>3723</v>
      </c>
      <c r="Q1006" s="13" t="s">
        <v>5931</v>
      </c>
      <c r="R1006" s="13" t="s">
        <v>332</v>
      </c>
      <c r="S1006" s="13" t="s">
        <v>332</v>
      </c>
      <c r="T1006" s="13" t="s">
        <v>61</v>
      </c>
      <c r="U1006" s="13"/>
    </row>
    <row r="1007" customFormat="false" ht="18" hidden="false" customHeight="true" outlineLevel="0" collapsed="false">
      <c r="A1007" s="13" t="n">
        <v>1006</v>
      </c>
      <c r="B1007" s="13" t="s">
        <v>5932</v>
      </c>
      <c r="C1007" s="13" t="s">
        <v>255</v>
      </c>
      <c r="D1007" s="13" t="s">
        <v>256</v>
      </c>
      <c r="E1007" s="13" t="s">
        <v>65</v>
      </c>
      <c r="F1007" s="13" t="s">
        <v>390</v>
      </c>
      <c r="G1007" s="13" t="s">
        <v>274</v>
      </c>
      <c r="H1007" s="13" t="s">
        <v>5933</v>
      </c>
      <c r="I1007" s="13" t="s">
        <v>5934</v>
      </c>
      <c r="J1007" s="13" t="s">
        <v>5935</v>
      </c>
      <c r="K1007" s="13" t="s">
        <v>1469</v>
      </c>
      <c r="L1007" s="13" t="s">
        <v>1470</v>
      </c>
      <c r="M1007" s="13" t="n">
        <v>265.09</v>
      </c>
      <c r="N1007" s="13" t="n">
        <v>0.95</v>
      </c>
      <c r="O1007" s="13" t="n">
        <v>364</v>
      </c>
      <c r="P1007" s="13" t="s">
        <v>1471</v>
      </c>
      <c r="Q1007" s="13" t="s">
        <v>110</v>
      </c>
      <c r="R1007" s="13" t="s">
        <v>806</v>
      </c>
      <c r="S1007" s="13" t="s">
        <v>806</v>
      </c>
      <c r="T1007" s="13" t="s">
        <v>61</v>
      </c>
      <c r="U1007" s="13"/>
    </row>
    <row r="1008" customFormat="false" ht="18" hidden="false" customHeight="true" outlineLevel="0" collapsed="false">
      <c r="A1008" s="13" t="n">
        <v>1007</v>
      </c>
      <c r="B1008" s="13" t="s">
        <v>5936</v>
      </c>
      <c r="C1008" s="13" t="s">
        <v>125</v>
      </c>
      <c r="D1008" s="13" t="s">
        <v>126</v>
      </c>
      <c r="E1008" s="13" t="s">
        <v>50</v>
      </c>
      <c r="F1008" s="13" t="s">
        <v>127</v>
      </c>
      <c r="G1008" s="13" t="s">
        <v>352</v>
      </c>
      <c r="H1008" s="13" t="s">
        <v>5937</v>
      </c>
      <c r="I1008" s="13" t="s">
        <v>5938</v>
      </c>
      <c r="J1008" s="13" t="s">
        <v>5939</v>
      </c>
      <c r="K1008" s="13" t="s">
        <v>5940</v>
      </c>
      <c r="L1008" s="13" t="s">
        <v>582</v>
      </c>
      <c r="M1008" s="13" t="n">
        <v>230.86</v>
      </c>
      <c r="N1008" s="13" t="n">
        <v>0.44</v>
      </c>
      <c r="O1008" s="13" t="n">
        <v>135</v>
      </c>
      <c r="P1008" s="13" t="s">
        <v>583</v>
      </c>
      <c r="Q1008" s="13" t="s">
        <v>4080</v>
      </c>
      <c r="R1008" s="13" t="s">
        <v>2006</v>
      </c>
      <c r="S1008" s="13" t="s">
        <v>2006</v>
      </c>
      <c r="T1008" s="13" t="s">
        <v>61</v>
      </c>
      <c r="U1008" s="13"/>
    </row>
    <row r="1009" customFormat="false" ht="18" hidden="false" customHeight="true" outlineLevel="0" collapsed="false">
      <c r="A1009" s="13" t="n">
        <v>1008</v>
      </c>
      <c r="B1009" s="13" t="s">
        <v>5941</v>
      </c>
      <c r="C1009" s="13" t="s">
        <v>48</v>
      </c>
      <c r="D1009" s="13" t="s">
        <v>49</v>
      </c>
      <c r="E1009" s="13" t="s">
        <v>65</v>
      </c>
      <c r="F1009" s="13" t="s">
        <v>438</v>
      </c>
      <c r="G1009" s="13" t="s">
        <v>274</v>
      </c>
      <c r="H1009" s="13" t="s">
        <v>5942</v>
      </c>
      <c r="I1009" s="13" t="s">
        <v>5943</v>
      </c>
      <c r="J1009" s="13" t="s">
        <v>5944</v>
      </c>
      <c r="K1009" s="13" t="s">
        <v>442</v>
      </c>
      <c r="L1009" s="13" t="s">
        <v>443</v>
      </c>
      <c r="M1009" s="13" t="n">
        <v>490.72</v>
      </c>
      <c r="N1009" s="13" t="n">
        <v>0.22</v>
      </c>
      <c r="O1009" s="13" t="n">
        <v>330</v>
      </c>
      <c r="P1009" s="13" t="s">
        <v>444</v>
      </c>
      <c r="Q1009" s="13" t="s">
        <v>2087</v>
      </c>
      <c r="R1009" s="13" t="s">
        <v>5945</v>
      </c>
      <c r="S1009" s="13" t="s">
        <v>5945</v>
      </c>
      <c r="T1009" s="13" t="s">
        <v>61</v>
      </c>
      <c r="U1009" s="13"/>
    </row>
    <row r="1010" customFormat="false" ht="18" hidden="false" customHeight="true" outlineLevel="0" collapsed="false">
      <c r="A1010" s="15" t="n">
        <v>1009</v>
      </c>
      <c r="B1010" s="15" t="s">
        <v>5946</v>
      </c>
      <c r="C1010" s="15" t="s">
        <v>255</v>
      </c>
      <c r="D1010" s="15" t="s">
        <v>256</v>
      </c>
      <c r="E1010" s="15" t="s">
        <v>161</v>
      </c>
      <c r="F1010" s="15" t="s">
        <v>51</v>
      </c>
      <c r="G1010" s="15" t="s">
        <v>207</v>
      </c>
      <c r="H1010" s="15" t="s">
        <v>5947</v>
      </c>
      <c r="I1010" s="15" t="s">
        <v>5948</v>
      </c>
      <c r="J1010" s="15" t="s">
        <v>5949</v>
      </c>
      <c r="K1010" s="15" t="s">
        <v>5950</v>
      </c>
      <c r="L1010" s="15" t="s">
        <v>212</v>
      </c>
      <c r="M1010" s="15" t="n">
        <v>108.25</v>
      </c>
      <c r="N1010" s="15" t="n">
        <v>0.28</v>
      </c>
      <c r="O1010" s="15" t="n">
        <v>194</v>
      </c>
      <c r="P1010" s="15"/>
      <c r="Q1010" s="15" t="s">
        <v>1920</v>
      </c>
      <c r="R1010" s="15" t="s">
        <v>1116</v>
      </c>
      <c r="S1010" s="15" t="s">
        <v>1116</v>
      </c>
      <c r="T1010" s="15" t="s">
        <v>61</v>
      </c>
      <c r="U1010" s="15" t="s">
        <v>243</v>
      </c>
    </row>
    <row r="1011" customFormat="false" ht="18" hidden="false" customHeight="true" outlineLevel="0" collapsed="false">
      <c r="A1011" s="14" t="n">
        <v>1010</v>
      </c>
      <c r="B1011" s="14" t="s">
        <v>5951</v>
      </c>
      <c r="C1011" s="14" t="s">
        <v>77</v>
      </c>
      <c r="D1011" s="14" t="s">
        <v>78</v>
      </c>
      <c r="E1011" s="14" t="s">
        <v>79</v>
      </c>
      <c r="F1011" s="14" t="s">
        <v>465</v>
      </c>
      <c r="G1011" s="14" t="s">
        <v>514</v>
      </c>
      <c r="H1011" s="14" t="s">
        <v>5952</v>
      </c>
      <c r="I1011" s="14" t="s">
        <v>5953</v>
      </c>
      <c r="J1011" s="14" t="s">
        <v>5954</v>
      </c>
      <c r="K1011" s="14"/>
      <c r="L1011" s="14" t="s">
        <v>936</v>
      </c>
      <c r="M1011" s="14" t="n">
        <v>2379.72</v>
      </c>
      <c r="N1011" s="14" t="n">
        <v>1.24</v>
      </c>
      <c r="O1011" s="14" t="n">
        <v>105</v>
      </c>
      <c r="P1011" s="14" t="s">
        <v>937</v>
      </c>
      <c r="Q1011" s="14" t="s">
        <v>1291</v>
      </c>
      <c r="R1011" s="14" t="s">
        <v>1211</v>
      </c>
      <c r="S1011" s="14" t="s">
        <v>1211</v>
      </c>
      <c r="T1011" s="14" t="s">
        <v>61</v>
      </c>
      <c r="U1011" s="14" t="s">
        <v>1048</v>
      </c>
    </row>
    <row r="1012" customFormat="false" ht="18" hidden="false" customHeight="true" outlineLevel="0" collapsed="false">
      <c r="A1012" s="13" t="n">
        <v>1011</v>
      </c>
      <c r="B1012" s="13" t="s">
        <v>5955</v>
      </c>
      <c r="C1012" s="13" t="s">
        <v>63</v>
      </c>
      <c r="D1012" s="13" t="s">
        <v>64</v>
      </c>
      <c r="E1012" s="13" t="s">
        <v>65</v>
      </c>
      <c r="F1012" s="13" t="s">
        <v>66</v>
      </c>
      <c r="G1012" s="13" t="s">
        <v>372</v>
      </c>
      <c r="H1012" s="13" t="s">
        <v>5956</v>
      </c>
      <c r="I1012" s="13" t="s">
        <v>5957</v>
      </c>
      <c r="J1012" s="13" t="s">
        <v>5958</v>
      </c>
      <c r="K1012" s="13" t="s">
        <v>649</v>
      </c>
      <c r="L1012" s="13" t="s">
        <v>650</v>
      </c>
      <c r="M1012" s="13" t="n">
        <v>262.09</v>
      </c>
      <c r="N1012" s="13" t="n">
        <v>1.39</v>
      </c>
      <c r="O1012" s="13" t="n">
        <v>327</v>
      </c>
      <c r="P1012" s="13" t="s">
        <v>651</v>
      </c>
      <c r="Q1012" s="13" t="s">
        <v>1156</v>
      </c>
      <c r="R1012" s="13" t="s">
        <v>5959</v>
      </c>
      <c r="S1012" s="13" t="s">
        <v>5959</v>
      </c>
      <c r="T1012" s="13" t="s">
        <v>61</v>
      </c>
      <c r="U1012" s="13"/>
    </row>
    <row r="1013" customFormat="false" ht="18" hidden="false" customHeight="true" outlineLevel="0" collapsed="false">
      <c r="A1013" s="13" t="n">
        <v>1012</v>
      </c>
      <c r="B1013" s="13" t="s">
        <v>5960</v>
      </c>
      <c r="C1013" s="13" t="s">
        <v>255</v>
      </c>
      <c r="D1013" s="13" t="s">
        <v>256</v>
      </c>
      <c r="E1013" s="13" t="s">
        <v>50</v>
      </c>
      <c r="F1013" s="13" t="s">
        <v>127</v>
      </c>
      <c r="G1013" s="13" t="s">
        <v>52</v>
      </c>
      <c r="H1013" s="13" t="s">
        <v>5961</v>
      </c>
      <c r="I1013" s="13" t="s">
        <v>5962</v>
      </c>
      <c r="J1013" s="13" t="s">
        <v>5963</v>
      </c>
      <c r="K1013" s="13" t="s">
        <v>5964</v>
      </c>
      <c r="L1013" s="13" t="s">
        <v>794</v>
      </c>
      <c r="M1013" s="13" t="n">
        <v>1023.56</v>
      </c>
      <c r="N1013" s="13" t="n">
        <v>0.49</v>
      </c>
      <c r="O1013" s="13" t="n">
        <v>232</v>
      </c>
      <c r="P1013" s="13" t="s">
        <v>795</v>
      </c>
      <c r="Q1013" s="13" t="s">
        <v>2521</v>
      </c>
      <c r="R1013" s="13" t="s">
        <v>768</v>
      </c>
      <c r="S1013" s="13" t="s">
        <v>768</v>
      </c>
      <c r="T1013" s="13" t="s">
        <v>61</v>
      </c>
      <c r="U1013" s="13"/>
    </row>
    <row r="1014" customFormat="false" ht="18" hidden="false" customHeight="true" outlineLevel="0" collapsed="false">
      <c r="A1014" s="13" t="n">
        <v>1013</v>
      </c>
      <c r="B1014" s="13" t="s">
        <v>5965</v>
      </c>
      <c r="C1014" s="13" t="s">
        <v>48</v>
      </c>
      <c r="D1014" s="13" t="s">
        <v>49</v>
      </c>
      <c r="E1014" s="13" t="s">
        <v>50</v>
      </c>
      <c r="F1014" s="13" t="s">
        <v>138</v>
      </c>
      <c r="G1014" s="13" t="s">
        <v>352</v>
      </c>
      <c r="H1014" s="13" t="s">
        <v>5966</v>
      </c>
      <c r="I1014" s="13" t="s">
        <v>5967</v>
      </c>
      <c r="J1014" s="13" t="s">
        <v>5968</v>
      </c>
      <c r="K1014" s="13" t="s">
        <v>5969</v>
      </c>
      <c r="L1014" s="13" t="s">
        <v>386</v>
      </c>
      <c r="M1014" s="13" t="n">
        <v>997.09</v>
      </c>
      <c r="N1014" s="13" t="n">
        <v>0.42</v>
      </c>
      <c r="O1014" s="13" t="n">
        <v>315</v>
      </c>
      <c r="P1014" s="13" t="s">
        <v>387</v>
      </c>
      <c r="Q1014" s="13" t="s">
        <v>3004</v>
      </c>
      <c r="R1014" s="13" t="s">
        <v>4004</v>
      </c>
      <c r="S1014" s="13" t="s">
        <v>4004</v>
      </c>
      <c r="T1014" s="13" t="s">
        <v>61</v>
      </c>
      <c r="U1014" s="13"/>
    </row>
    <row r="1015" customFormat="false" ht="18" hidden="false" customHeight="true" outlineLevel="0" collapsed="false">
      <c r="A1015" s="13" t="n">
        <v>1014</v>
      </c>
      <c r="B1015" s="13" t="s">
        <v>5970</v>
      </c>
      <c r="C1015" s="13" t="s">
        <v>48</v>
      </c>
      <c r="D1015" s="13" t="s">
        <v>49</v>
      </c>
      <c r="E1015" s="13" t="s">
        <v>161</v>
      </c>
      <c r="F1015" s="13" t="s">
        <v>429</v>
      </c>
      <c r="G1015" s="13" t="s">
        <v>207</v>
      </c>
      <c r="H1015" s="13" t="s">
        <v>5971</v>
      </c>
      <c r="I1015" s="13" t="s">
        <v>5972</v>
      </c>
      <c r="J1015" s="13" t="s">
        <v>5973</v>
      </c>
      <c r="K1015" s="13" t="s">
        <v>5974</v>
      </c>
      <c r="L1015" s="13" t="s">
        <v>434</v>
      </c>
      <c r="M1015" s="13" t="n">
        <v>463.17</v>
      </c>
      <c r="N1015" s="13" t="n">
        <v>0.33</v>
      </c>
      <c r="O1015" s="13" t="n">
        <v>171</v>
      </c>
      <c r="P1015" s="13" t="s">
        <v>435</v>
      </c>
      <c r="Q1015" s="13" t="s">
        <v>5975</v>
      </c>
      <c r="R1015" s="13" t="s">
        <v>1236</v>
      </c>
      <c r="S1015" s="13" t="s">
        <v>1236</v>
      </c>
      <c r="T1015" s="13" t="s">
        <v>61</v>
      </c>
      <c r="U1015" s="13"/>
    </row>
    <row r="1016" customFormat="false" ht="18" hidden="false" customHeight="true" outlineLevel="0" collapsed="false">
      <c r="A1016" s="13" t="n">
        <v>1015</v>
      </c>
      <c r="B1016" s="13" t="s">
        <v>5976</v>
      </c>
      <c r="C1016" s="13" t="s">
        <v>255</v>
      </c>
      <c r="D1016" s="13" t="s">
        <v>256</v>
      </c>
      <c r="E1016" s="13" t="s">
        <v>65</v>
      </c>
      <c r="F1016" s="13" t="s">
        <v>371</v>
      </c>
      <c r="G1016" s="13" t="s">
        <v>724</v>
      </c>
      <c r="H1016" s="13" t="s">
        <v>5977</v>
      </c>
      <c r="I1016" s="13" t="s">
        <v>5978</v>
      </c>
      <c r="J1016" s="13" t="s">
        <v>5979</v>
      </c>
      <c r="K1016" s="13" t="s">
        <v>1153</v>
      </c>
      <c r="L1016" s="13" t="s">
        <v>1154</v>
      </c>
      <c r="M1016" s="13" t="n">
        <v>441.54</v>
      </c>
      <c r="N1016" s="13" t="n">
        <v>0.84</v>
      </c>
      <c r="O1016" s="13" t="n">
        <v>385</v>
      </c>
      <c r="P1016" s="13" t="s">
        <v>1155</v>
      </c>
      <c r="Q1016" s="13" t="s">
        <v>2854</v>
      </c>
      <c r="R1016" s="13" t="s">
        <v>670</v>
      </c>
      <c r="S1016" s="13" t="s">
        <v>670</v>
      </c>
      <c r="T1016" s="13" t="s">
        <v>61</v>
      </c>
      <c r="U1016" s="13"/>
    </row>
    <row r="1017" customFormat="false" ht="18" hidden="false" customHeight="true" outlineLevel="0" collapsed="false">
      <c r="A1017" s="15" t="n">
        <v>1016</v>
      </c>
      <c r="B1017" s="15" t="s">
        <v>4239</v>
      </c>
      <c r="C1017" s="15" t="s">
        <v>173</v>
      </c>
      <c r="D1017" s="15" t="s">
        <v>174</v>
      </c>
      <c r="E1017" s="15" t="s">
        <v>50</v>
      </c>
      <c r="F1017" s="15" t="s">
        <v>138</v>
      </c>
      <c r="G1017" s="15" t="s">
        <v>217</v>
      </c>
      <c r="H1017" s="15" t="s">
        <v>4240</v>
      </c>
      <c r="I1017" s="15" t="s">
        <v>4241</v>
      </c>
      <c r="J1017" s="15" t="s">
        <v>4242</v>
      </c>
      <c r="K1017" s="15" t="s">
        <v>4243</v>
      </c>
      <c r="L1017" s="15" t="s">
        <v>3077</v>
      </c>
      <c r="M1017" s="15" t="n">
        <v>739.84</v>
      </c>
      <c r="N1017" s="15" t="n">
        <v>0.89</v>
      </c>
      <c r="O1017" s="15" t="n">
        <v>331</v>
      </c>
      <c r="P1017" s="15" t="s">
        <v>3078</v>
      </c>
      <c r="Q1017" s="15" t="s">
        <v>4244</v>
      </c>
      <c r="R1017" s="15" t="s">
        <v>101</v>
      </c>
      <c r="S1017" s="15" t="s">
        <v>101</v>
      </c>
      <c r="T1017" s="15" t="s">
        <v>61</v>
      </c>
      <c r="U1017" s="15" t="s">
        <v>283</v>
      </c>
    </row>
    <row r="1018" customFormat="false" ht="18" hidden="false" customHeight="true" outlineLevel="0" collapsed="false">
      <c r="A1018" s="13" t="n">
        <v>1017</v>
      </c>
      <c r="B1018" s="13" t="s">
        <v>5980</v>
      </c>
      <c r="C1018" s="13" t="s">
        <v>159</v>
      </c>
      <c r="D1018" s="13" t="s">
        <v>160</v>
      </c>
      <c r="E1018" s="13" t="s">
        <v>79</v>
      </c>
      <c r="F1018" s="13" t="s">
        <v>513</v>
      </c>
      <c r="G1018" s="13" t="s">
        <v>128</v>
      </c>
      <c r="H1018" s="13" t="s">
        <v>5981</v>
      </c>
      <c r="I1018" s="13" t="s">
        <v>5982</v>
      </c>
      <c r="J1018" s="13" t="s">
        <v>5983</v>
      </c>
      <c r="K1018" s="13" t="s">
        <v>5984</v>
      </c>
      <c r="L1018" s="13" t="s">
        <v>2247</v>
      </c>
      <c r="M1018" s="13" t="n">
        <v>1376.1</v>
      </c>
      <c r="N1018" s="13" t="n">
        <v>2.12</v>
      </c>
      <c r="O1018" s="13" t="n">
        <v>27</v>
      </c>
      <c r="P1018" s="13" t="s">
        <v>2248</v>
      </c>
      <c r="Q1018" s="13" t="s">
        <v>4806</v>
      </c>
      <c r="R1018" s="13" t="s">
        <v>653</v>
      </c>
      <c r="S1018" s="13" t="s">
        <v>653</v>
      </c>
      <c r="T1018" s="13" t="s">
        <v>61</v>
      </c>
      <c r="U1018" s="13"/>
    </row>
    <row r="1019" customFormat="false" ht="18" hidden="false" customHeight="true" outlineLevel="0" collapsed="false">
      <c r="A1019" s="13" t="n">
        <v>1018</v>
      </c>
      <c r="B1019" s="13" t="s">
        <v>5985</v>
      </c>
      <c r="C1019" s="13" t="s">
        <v>159</v>
      </c>
      <c r="D1019" s="13" t="s">
        <v>160</v>
      </c>
      <c r="E1019" s="13" t="s">
        <v>91</v>
      </c>
      <c r="F1019" s="13" t="s">
        <v>92</v>
      </c>
      <c r="G1019" s="13" t="s">
        <v>139</v>
      </c>
      <c r="H1019" s="13" t="s">
        <v>5986</v>
      </c>
      <c r="I1019" s="13" t="s">
        <v>5987</v>
      </c>
      <c r="J1019" s="13" t="s">
        <v>5988</v>
      </c>
      <c r="K1019" s="13" t="s">
        <v>5989</v>
      </c>
      <c r="L1019" s="13" t="s">
        <v>774</v>
      </c>
      <c r="M1019" s="13" t="n">
        <v>2434.52</v>
      </c>
      <c r="N1019" s="13" t="n">
        <v>49.48</v>
      </c>
      <c r="O1019" s="13" t="n">
        <v>363</v>
      </c>
      <c r="P1019" s="13" t="s">
        <v>775</v>
      </c>
      <c r="Q1019" s="13" t="s">
        <v>2862</v>
      </c>
      <c r="R1019" s="13" t="s">
        <v>731</v>
      </c>
      <c r="S1019" s="13" t="s">
        <v>731</v>
      </c>
      <c r="T1019" s="13" t="s">
        <v>61</v>
      </c>
      <c r="U1019" s="13"/>
    </row>
    <row r="1020" customFormat="false" ht="18" hidden="false" customHeight="true" outlineLevel="0" collapsed="false">
      <c r="A1020" s="13" t="n">
        <v>1019</v>
      </c>
      <c r="B1020" s="13" t="s">
        <v>5990</v>
      </c>
      <c r="C1020" s="13" t="s">
        <v>159</v>
      </c>
      <c r="D1020" s="13" t="s">
        <v>160</v>
      </c>
      <c r="E1020" s="13" t="s">
        <v>50</v>
      </c>
      <c r="F1020" s="13" t="s">
        <v>138</v>
      </c>
      <c r="G1020" s="13" t="s">
        <v>808</v>
      </c>
      <c r="H1020" s="13" t="s">
        <v>5991</v>
      </c>
      <c r="I1020" s="13" t="s">
        <v>5992</v>
      </c>
      <c r="J1020" s="13" t="s">
        <v>5993</v>
      </c>
      <c r="K1020" s="13" t="s">
        <v>5994</v>
      </c>
      <c r="L1020" s="13" t="s">
        <v>813</v>
      </c>
      <c r="M1020" s="13" t="n">
        <v>931.46</v>
      </c>
      <c r="N1020" s="13" t="n">
        <v>0.73</v>
      </c>
      <c r="O1020" s="13" t="n">
        <v>461</v>
      </c>
      <c r="P1020" s="13" t="s">
        <v>814</v>
      </c>
      <c r="Q1020" s="13" t="s">
        <v>1866</v>
      </c>
      <c r="R1020" s="13" t="s">
        <v>662</v>
      </c>
      <c r="S1020" s="13" t="s">
        <v>662</v>
      </c>
      <c r="T1020" s="13" t="s">
        <v>61</v>
      </c>
      <c r="U1020" s="13"/>
    </row>
    <row r="1021" customFormat="false" ht="18" hidden="false" customHeight="true" outlineLevel="0" collapsed="false">
      <c r="A1021" s="13" t="n">
        <v>1020</v>
      </c>
      <c r="B1021" s="13" t="s">
        <v>5995</v>
      </c>
      <c r="C1021" s="13" t="s">
        <v>173</v>
      </c>
      <c r="D1021" s="13" t="s">
        <v>174</v>
      </c>
      <c r="E1021" s="13" t="s">
        <v>65</v>
      </c>
      <c r="F1021" s="13" t="s">
        <v>371</v>
      </c>
      <c r="G1021" s="13" t="s">
        <v>724</v>
      </c>
      <c r="H1021" s="13" t="s">
        <v>5996</v>
      </c>
      <c r="I1021" s="13" t="s">
        <v>5997</v>
      </c>
      <c r="J1021" s="13" t="s">
        <v>5998</v>
      </c>
      <c r="K1021" s="13" t="s">
        <v>1153</v>
      </c>
      <c r="L1021" s="13" t="s">
        <v>1154</v>
      </c>
      <c r="M1021" s="13" t="n">
        <v>216.53</v>
      </c>
      <c r="N1021" s="13" t="n">
        <v>1.04</v>
      </c>
      <c r="O1021" s="13" t="n">
        <v>191</v>
      </c>
      <c r="P1021" s="13" t="s">
        <v>1155</v>
      </c>
      <c r="Q1021" s="13" t="s">
        <v>2854</v>
      </c>
      <c r="R1021" s="13" t="s">
        <v>3417</v>
      </c>
      <c r="S1021" s="13" t="s">
        <v>3417</v>
      </c>
      <c r="T1021" s="13" t="s">
        <v>61</v>
      </c>
      <c r="U1021" s="13"/>
    </row>
    <row r="1022" customFormat="false" ht="18" hidden="false" customHeight="true" outlineLevel="0" collapsed="false">
      <c r="A1022" s="13" t="n">
        <v>1021</v>
      </c>
      <c r="B1022" s="13" t="s">
        <v>5999</v>
      </c>
      <c r="C1022" s="13" t="s">
        <v>113</v>
      </c>
      <c r="D1022" s="13" t="s">
        <v>114</v>
      </c>
      <c r="E1022" s="13" t="s">
        <v>50</v>
      </c>
      <c r="F1022" s="13" t="s">
        <v>115</v>
      </c>
      <c r="G1022" s="13" t="s">
        <v>808</v>
      </c>
      <c r="H1022" s="13" t="s">
        <v>6000</v>
      </c>
      <c r="I1022" s="13" t="s">
        <v>6001</v>
      </c>
      <c r="J1022" s="13" t="s">
        <v>6002</v>
      </c>
      <c r="K1022" s="13" t="s">
        <v>6003</v>
      </c>
      <c r="L1022" s="13" t="s">
        <v>2339</v>
      </c>
      <c r="M1022" s="13" t="n">
        <v>924.68</v>
      </c>
      <c r="N1022" s="13" t="n">
        <v>0.32</v>
      </c>
      <c r="O1022" s="13" t="n">
        <v>319</v>
      </c>
      <c r="P1022" s="13" t="s">
        <v>2340</v>
      </c>
      <c r="Q1022" s="13" t="s">
        <v>6004</v>
      </c>
      <c r="R1022" s="13" t="s">
        <v>2392</v>
      </c>
      <c r="S1022" s="13" t="s">
        <v>2392</v>
      </c>
      <c r="T1022" s="13" t="s">
        <v>61</v>
      </c>
      <c r="U1022" s="13"/>
    </row>
    <row r="1023" customFormat="false" ht="18" hidden="false" customHeight="true" outlineLevel="0" collapsed="false">
      <c r="A1023" s="13" t="n">
        <v>1022</v>
      </c>
      <c r="B1023" s="13" t="s">
        <v>6005</v>
      </c>
      <c r="C1023" s="13" t="s">
        <v>173</v>
      </c>
      <c r="D1023" s="13" t="s">
        <v>174</v>
      </c>
      <c r="E1023" s="13" t="s">
        <v>50</v>
      </c>
      <c r="F1023" s="13" t="s">
        <v>127</v>
      </c>
      <c r="G1023" s="13" t="s">
        <v>689</v>
      </c>
      <c r="H1023" s="13" t="s">
        <v>6006</v>
      </c>
      <c r="I1023" s="13" t="s">
        <v>6007</v>
      </c>
      <c r="J1023" s="13" t="s">
        <v>6008</v>
      </c>
      <c r="K1023" s="13" t="s">
        <v>2849</v>
      </c>
      <c r="L1023" s="13" t="s">
        <v>1970</v>
      </c>
      <c r="M1023" s="13" t="n">
        <v>714.51</v>
      </c>
      <c r="N1023" s="13" t="n">
        <v>0.65</v>
      </c>
      <c r="O1023" s="13" t="n">
        <v>351</v>
      </c>
      <c r="P1023" s="13" t="s">
        <v>1971</v>
      </c>
      <c r="Q1023" s="13" t="s">
        <v>4839</v>
      </c>
      <c r="R1023" s="13" t="s">
        <v>452</v>
      </c>
      <c r="S1023" s="13" t="s">
        <v>452</v>
      </c>
      <c r="T1023" s="13" t="s">
        <v>61</v>
      </c>
      <c r="U1023" s="13"/>
    </row>
    <row r="1024" customFormat="false" ht="18" hidden="false" customHeight="true" outlineLevel="0" collapsed="false">
      <c r="A1024" s="13" t="n">
        <v>1023</v>
      </c>
      <c r="B1024" s="13" t="s">
        <v>6009</v>
      </c>
      <c r="C1024" s="13" t="s">
        <v>48</v>
      </c>
      <c r="D1024" s="13" t="s">
        <v>49</v>
      </c>
      <c r="E1024" s="13" t="s">
        <v>91</v>
      </c>
      <c r="F1024" s="13" t="s">
        <v>92</v>
      </c>
      <c r="G1024" s="13" t="s">
        <v>533</v>
      </c>
      <c r="H1024" s="13" t="s">
        <v>6010</v>
      </c>
      <c r="I1024" s="13" t="s">
        <v>6011</v>
      </c>
      <c r="J1024" s="13" t="s">
        <v>6012</v>
      </c>
      <c r="K1024" s="13" t="s">
        <v>5263</v>
      </c>
      <c r="L1024" s="13" t="s">
        <v>5264</v>
      </c>
      <c r="M1024" s="13" t="n">
        <v>1350.99</v>
      </c>
      <c r="N1024" s="13" t="n">
        <v>16.58</v>
      </c>
      <c r="O1024" s="13" t="n">
        <v>73</v>
      </c>
      <c r="P1024" s="13" t="s">
        <v>5265</v>
      </c>
      <c r="Q1024" s="13" t="s">
        <v>4566</v>
      </c>
      <c r="R1024" s="13" t="s">
        <v>4520</v>
      </c>
      <c r="S1024" s="13" t="s">
        <v>4520</v>
      </c>
      <c r="T1024" s="13" t="s">
        <v>61</v>
      </c>
      <c r="U1024" s="13"/>
    </row>
    <row r="1025" customFormat="false" ht="18" hidden="false" customHeight="true" outlineLevel="0" collapsed="false">
      <c r="A1025" s="13" t="n">
        <v>1024</v>
      </c>
      <c r="B1025" s="13" t="s">
        <v>6013</v>
      </c>
      <c r="C1025" s="13" t="s">
        <v>173</v>
      </c>
      <c r="D1025" s="13" t="s">
        <v>174</v>
      </c>
      <c r="E1025" s="13" t="s">
        <v>161</v>
      </c>
      <c r="F1025" s="13" t="s">
        <v>822</v>
      </c>
      <c r="G1025" s="13" t="s">
        <v>257</v>
      </c>
      <c r="H1025" s="13" t="s">
        <v>6014</v>
      </c>
      <c r="I1025" s="13" t="s">
        <v>6015</v>
      </c>
      <c r="J1025" s="13" t="s">
        <v>6016</v>
      </c>
      <c r="K1025" s="13" t="s">
        <v>825</v>
      </c>
      <c r="L1025" s="13" t="s">
        <v>826</v>
      </c>
      <c r="M1025" s="13" t="n">
        <v>201.87</v>
      </c>
      <c r="N1025" s="13" t="n">
        <v>0.39</v>
      </c>
      <c r="O1025" s="13" t="n">
        <v>193</v>
      </c>
      <c r="P1025" s="13" t="s">
        <v>827</v>
      </c>
      <c r="Q1025" s="13" t="s">
        <v>5151</v>
      </c>
      <c r="R1025" s="13" t="s">
        <v>3941</v>
      </c>
      <c r="S1025" s="13" t="s">
        <v>3941</v>
      </c>
      <c r="T1025" s="13" t="s">
        <v>61</v>
      </c>
      <c r="U1025" s="13"/>
    </row>
    <row r="1026" customFormat="false" ht="18" hidden="false" customHeight="true" outlineLevel="0" collapsed="false">
      <c r="A1026" s="13" t="n">
        <v>1025</v>
      </c>
      <c r="B1026" s="13" t="s">
        <v>6017</v>
      </c>
      <c r="C1026" s="13" t="s">
        <v>113</v>
      </c>
      <c r="D1026" s="13" t="s">
        <v>114</v>
      </c>
      <c r="E1026" s="13" t="s">
        <v>79</v>
      </c>
      <c r="F1026" s="13" t="s">
        <v>51</v>
      </c>
      <c r="G1026" s="13" t="s">
        <v>760</v>
      </c>
      <c r="H1026" s="13" t="s">
        <v>6018</v>
      </c>
      <c r="I1026" s="13" t="s">
        <v>6019</v>
      </c>
      <c r="J1026" s="13" t="s">
        <v>6020</v>
      </c>
      <c r="K1026" s="13" t="s">
        <v>6021</v>
      </c>
      <c r="L1026" s="13" t="s">
        <v>3448</v>
      </c>
      <c r="M1026" s="13" t="n">
        <v>1639.03</v>
      </c>
      <c r="N1026" s="13" t="n">
        <v>1.25</v>
      </c>
      <c r="O1026" s="13" t="n">
        <v>47</v>
      </c>
      <c r="P1026" s="13" t="s">
        <v>3449</v>
      </c>
      <c r="Q1026" s="13" t="s">
        <v>4463</v>
      </c>
      <c r="R1026" s="13" t="s">
        <v>1417</v>
      </c>
      <c r="S1026" s="13" t="s">
        <v>1417</v>
      </c>
      <c r="T1026" s="13" t="s">
        <v>61</v>
      </c>
      <c r="U1026" s="13"/>
    </row>
    <row r="1027" customFormat="false" ht="18" hidden="false" customHeight="true" outlineLevel="0" collapsed="false">
      <c r="A1027" s="13" t="n">
        <v>1026</v>
      </c>
      <c r="B1027" s="13" t="s">
        <v>6022</v>
      </c>
      <c r="C1027" s="13" t="s">
        <v>173</v>
      </c>
      <c r="D1027" s="13" t="s">
        <v>174</v>
      </c>
      <c r="E1027" s="13" t="s">
        <v>91</v>
      </c>
      <c r="F1027" s="13" t="s">
        <v>138</v>
      </c>
      <c r="G1027" s="13" t="s">
        <v>533</v>
      </c>
      <c r="H1027" s="13" t="s">
        <v>6023</v>
      </c>
      <c r="I1027" s="13" t="s">
        <v>6024</v>
      </c>
      <c r="J1027" s="13" t="s">
        <v>6025</v>
      </c>
      <c r="K1027" s="13" t="s">
        <v>6026</v>
      </c>
      <c r="L1027" s="13" t="s">
        <v>538</v>
      </c>
      <c r="M1027" s="13" t="n">
        <v>293.84</v>
      </c>
      <c r="N1027" s="13" t="n">
        <v>44.54</v>
      </c>
      <c r="O1027" s="13" t="n">
        <v>113</v>
      </c>
      <c r="P1027" s="13" t="s">
        <v>539</v>
      </c>
      <c r="Q1027" s="13" t="s">
        <v>6027</v>
      </c>
      <c r="R1027" s="13" t="s">
        <v>2127</v>
      </c>
      <c r="S1027" s="13" t="s">
        <v>2127</v>
      </c>
      <c r="T1027" s="13" t="s">
        <v>61</v>
      </c>
      <c r="U1027" s="13"/>
    </row>
    <row r="1028" customFormat="false" ht="18" hidden="false" customHeight="true" outlineLevel="0" collapsed="false">
      <c r="A1028" s="13" t="n">
        <v>1027</v>
      </c>
      <c r="B1028" s="13" t="s">
        <v>6028</v>
      </c>
      <c r="C1028" s="13" t="s">
        <v>77</v>
      </c>
      <c r="D1028" s="13" t="s">
        <v>78</v>
      </c>
      <c r="E1028" s="13" t="s">
        <v>50</v>
      </c>
      <c r="F1028" s="13" t="s">
        <v>115</v>
      </c>
      <c r="G1028" s="13" t="s">
        <v>352</v>
      </c>
      <c r="H1028" s="13" t="s">
        <v>6029</v>
      </c>
      <c r="I1028" s="13" t="s">
        <v>6030</v>
      </c>
      <c r="J1028" s="13" t="s">
        <v>6031</v>
      </c>
      <c r="K1028" s="13" t="s">
        <v>5439</v>
      </c>
      <c r="L1028" s="13" t="s">
        <v>1280</v>
      </c>
      <c r="M1028" s="13" t="n">
        <v>1123.2</v>
      </c>
      <c r="N1028" s="13" t="n">
        <v>0.36</v>
      </c>
      <c r="O1028" s="13" t="n">
        <v>370</v>
      </c>
      <c r="P1028" s="13" t="s">
        <v>1281</v>
      </c>
      <c r="Q1028" s="13" t="s">
        <v>5771</v>
      </c>
      <c r="R1028" s="13" t="s">
        <v>1957</v>
      </c>
      <c r="S1028" s="13" t="s">
        <v>1957</v>
      </c>
      <c r="T1028" s="13" t="s">
        <v>61</v>
      </c>
      <c r="U1028" s="13"/>
    </row>
    <row r="1029" customFormat="false" ht="18" hidden="false" customHeight="true" outlineLevel="0" collapsed="false">
      <c r="A1029" s="13" t="n">
        <v>1028</v>
      </c>
      <c r="B1029" s="13" t="s">
        <v>6032</v>
      </c>
      <c r="C1029" s="13" t="s">
        <v>173</v>
      </c>
      <c r="D1029" s="13" t="s">
        <v>174</v>
      </c>
      <c r="E1029" s="13" t="s">
        <v>91</v>
      </c>
      <c r="F1029" s="13" t="s">
        <v>138</v>
      </c>
      <c r="G1029" s="13" t="s">
        <v>186</v>
      </c>
      <c r="H1029" s="13" t="s">
        <v>6033</v>
      </c>
      <c r="I1029" s="13" t="s">
        <v>6034</v>
      </c>
      <c r="J1029" s="13" t="s">
        <v>6035</v>
      </c>
      <c r="K1029" s="13" t="s">
        <v>6036</v>
      </c>
      <c r="L1029" s="13" t="s">
        <v>479</v>
      </c>
      <c r="M1029" s="13" t="n">
        <v>3351.22</v>
      </c>
      <c r="N1029" s="13" t="n">
        <v>29.74</v>
      </c>
      <c r="O1029" s="13" t="n">
        <v>114</v>
      </c>
      <c r="P1029" s="13" t="s">
        <v>480</v>
      </c>
      <c r="Q1029" s="13" t="s">
        <v>3760</v>
      </c>
      <c r="R1029" s="13" t="s">
        <v>713</v>
      </c>
      <c r="S1029" s="13" t="s">
        <v>713</v>
      </c>
      <c r="T1029" s="13" t="s">
        <v>61</v>
      </c>
      <c r="U1029" s="13"/>
    </row>
    <row r="1030" customFormat="false" ht="18" hidden="false" customHeight="true" outlineLevel="0" collapsed="false">
      <c r="A1030" s="13" t="n">
        <v>1029</v>
      </c>
      <c r="B1030" s="13" t="s">
        <v>6037</v>
      </c>
      <c r="C1030" s="13" t="s">
        <v>63</v>
      </c>
      <c r="D1030" s="13" t="s">
        <v>64</v>
      </c>
      <c r="E1030" s="13" t="s">
        <v>65</v>
      </c>
      <c r="F1030" s="13" t="s">
        <v>390</v>
      </c>
      <c r="G1030" s="13" t="s">
        <v>274</v>
      </c>
      <c r="H1030" s="13" t="s">
        <v>6038</v>
      </c>
      <c r="I1030" s="13" t="s">
        <v>6039</v>
      </c>
      <c r="J1030" s="13" t="s">
        <v>6040</v>
      </c>
      <c r="K1030" s="13" t="s">
        <v>1469</v>
      </c>
      <c r="L1030" s="13" t="s">
        <v>1470</v>
      </c>
      <c r="M1030" s="13" t="n">
        <v>419.78</v>
      </c>
      <c r="N1030" s="13" t="n">
        <v>0.29</v>
      </c>
      <c r="O1030" s="13" t="n">
        <v>335</v>
      </c>
      <c r="P1030" s="13" t="s">
        <v>1471</v>
      </c>
      <c r="Q1030" s="13" t="s">
        <v>1660</v>
      </c>
      <c r="R1030" s="13" t="s">
        <v>1195</v>
      </c>
      <c r="S1030" s="13" t="s">
        <v>1195</v>
      </c>
      <c r="T1030" s="13" t="s">
        <v>61</v>
      </c>
      <c r="U1030" s="13"/>
    </row>
    <row r="1031" customFormat="false" ht="18" hidden="false" customHeight="true" outlineLevel="0" collapsed="false">
      <c r="A1031" s="13" t="n">
        <v>1030</v>
      </c>
      <c r="B1031" s="13" t="s">
        <v>6041</v>
      </c>
      <c r="C1031" s="13" t="s">
        <v>48</v>
      </c>
      <c r="D1031" s="13" t="s">
        <v>49</v>
      </c>
      <c r="E1031" s="13" t="s">
        <v>65</v>
      </c>
      <c r="F1031" s="13" t="s">
        <v>371</v>
      </c>
      <c r="G1031" s="13" t="s">
        <v>149</v>
      </c>
      <c r="H1031" s="13" t="s">
        <v>6042</v>
      </c>
      <c r="I1031" s="13" t="s">
        <v>6043</v>
      </c>
      <c r="J1031" s="13" t="s">
        <v>6044</v>
      </c>
      <c r="K1031" s="13" t="s">
        <v>6045</v>
      </c>
      <c r="L1031" s="13" t="s">
        <v>5547</v>
      </c>
      <c r="M1031" s="13" t="n">
        <v>250.01</v>
      </c>
      <c r="N1031" s="13" t="n">
        <v>0.86</v>
      </c>
      <c r="O1031" s="13" t="n">
        <v>231</v>
      </c>
      <c r="P1031" s="13" t="s">
        <v>5548</v>
      </c>
      <c r="Q1031" s="13" t="s">
        <v>156</v>
      </c>
      <c r="R1031" s="13" t="s">
        <v>1459</v>
      </c>
      <c r="S1031" s="13" t="s">
        <v>1459</v>
      </c>
      <c r="T1031" s="13" t="s">
        <v>61</v>
      </c>
      <c r="U1031" s="13"/>
    </row>
    <row r="1032" customFormat="false" ht="18" hidden="false" customHeight="true" outlineLevel="0" collapsed="false">
      <c r="A1032" s="15" t="n">
        <v>1031</v>
      </c>
      <c r="B1032" s="15" t="s">
        <v>3735</v>
      </c>
      <c r="C1032" s="15" t="s">
        <v>77</v>
      </c>
      <c r="D1032" s="15" t="s">
        <v>78</v>
      </c>
      <c r="E1032" s="15" t="s">
        <v>65</v>
      </c>
      <c r="F1032" s="15" t="s">
        <v>390</v>
      </c>
      <c r="G1032" s="15" t="s">
        <v>149</v>
      </c>
      <c r="H1032" s="15" t="s">
        <v>3736</v>
      </c>
      <c r="I1032" s="15" t="s">
        <v>3737</v>
      </c>
      <c r="J1032" s="15" t="s">
        <v>3738</v>
      </c>
      <c r="K1032" s="15" t="s">
        <v>3739</v>
      </c>
      <c r="L1032" s="15" t="s">
        <v>3740</v>
      </c>
      <c r="M1032" s="15" t="n">
        <v>334.07</v>
      </c>
      <c r="N1032" s="15" t="n">
        <v>0.34</v>
      </c>
      <c r="O1032" s="15" t="n">
        <v>360</v>
      </c>
      <c r="P1032" s="15" t="s">
        <v>3741</v>
      </c>
      <c r="Q1032" s="15" t="s">
        <v>1235</v>
      </c>
      <c r="R1032" s="15" t="s">
        <v>2268</v>
      </c>
      <c r="S1032" s="15" t="s">
        <v>2268</v>
      </c>
      <c r="T1032" s="15" t="s">
        <v>61</v>
      </c>
      <c r="U1032" s="15" t="s">
        <v>283</v>
      </c>
    </row>
    <row r="1033" customFormat="false" ht="18" hidden="false" customHeight="true" outlineLevel="0" collapsed="false">
      <c r="A1033" s="13" t="n">
        <v>1032</v>
      </c>
      <c r="B1033" s="13" t="s">
        <v>6046</v>
      </c>
      <c r="C1033" s="13" t="s">
        <v>48</v>
      </c>
      <c r="D1033" s="13" t="s">
        <v>49</v>
      </c>
      <c r="E1033" s="13" t="s">
        <v>161</v>
      </c>
      <c r="F1033" s="13" t="s">
        <v>51</v>
      </c>
      <c r="G1033" s="13" t="s">
        <v>207</v>
      </c>
      <c r="H1033" s="13" t="s">
        <v>6047</v>
      </c>
      <c r="I1033" s="13" t="s">
        <v>6048</v>
      </c>
      <c r="J1033" s="13" t="s">
        <v>6049</v>
      </c>
      <c r="K1033" s="13" t="s">
        <v>4621</v>
      </c>
      <c r="L1033" s="13" t="s">
        <v>212</v>
      </c>
      <c r="M1033" s="13" t="n">
        <v>178.12</v>
      </c>
      <c r="N1033" s="13" t="n">
        <v>0.33</v>
      </c>
      <c r="O1033" s="13" t="n">
        <v>352</v>
      </c>
      <c r="P1033" s="13" t="s">
        <v>213</v>
      </c>
      <c r="Q1033" s="13" t="s">
        <v>3219</v>
      </c>
      <c r="R1033" s="13" t="s">
        <v>3080</v>
      </c>
      <c r="S1033" s="13" t="s">
        <v>3080</v>
      </c>
      <c r="T1033" s="13" t="s">
        <v>61</v>
      </c>
      <c r="U1033" s="13"/>
    </row>
    <row r="1034" customFormat="false" ht="18" hidden="false" customHeight="true" outlineLevel="0" collapsed="false">
      <c r="A1034" s="13" t="n">
        <v>1033</v>
      </c>
      <c r="B1034" s="13" t="s">
        <v>6050</v>
      </c>
      <c r="C1034" s="13" t="s">
        <v>125</v>
      </c>
      <c r="D1034" s="13" t="s">
        <v>126</v>
      </c>
      <c r="E1034" s="13" t="s">
        <v>161</v>
      </c>
      <c r="F1034" s="13" t="s">
        <v>51</v>
      </c>
      <c r="G1034" s="13" t="s">
        <v>296</v>
      </c>
      <c r="H1034" s="13" t="s">
        <v>6051</v>
      </c>
      <c r="I1034" s="13" t="s">
        <v>6052</v>
      </c>
      <c r="J1034" s="13" t="s">
        <v>6053</v>
      </c>
      <c r="K1034" s="13" t="s">
        <v>6054</v>
      </c>
      <c r="L1034" s="13" t="s">
        <v>861</v>
      </c>
      <c r="M1034" s="13" t="n">
        <v>292.61</v>
      </c>
      <c r="N1034" s="13" t="n">
        <v>0.23</v>
      </c>
      <c r="O1034" s="13" t="n">
        <v>39</v>
      </c>
      <c r="P1034" s="13" t="s">
        <v>862</v>
      </c>
      <c r="Q1034" s="13" t="s">
        <v>6055</v>
      </c>
      <c r="R1034" s="13" t="s">
        <v>585</v>
      </c>
      <c r="S1034" s="13" t="s">
        <v>585</v>
      </c>
      <c r="T1034" s="13" t="s">
        <v>61</v>
      </c>
      <c r="U1034" s="13"/>
    </row>
    <row r="1035" customFormat="false" ht="18" hidden="false" customHeight="true" outlineLevel="0" collapsed="false">
      <c r="A1035" s="15" t="n">
        <v>1034</v>
      </c>
      <c r="B1035" s="15" t="s">
        <v>6056</v>
      </c>
      <c r="C1035" s="15" t="s">
        <v>113</v>
      </c>
      <c r="D1035" s="15" t="s">
        <v>114</v>
      </c>
      <c r="E1035" s="15" t="s">
        <v>65</v>
      </c>
      <c r="F1035" s="15" t="s">
        <v>227</v>
      </c>
      <c r="G1035" s="15" t="s">
        <v>274</v>
      </c>
      <c r="H1035" s="15" t="s">
        <v>6057</v>
      </c>
      <c r="I1035" s="15" t="s">
        <v>6058</v>
      </c>
      <c r="J1035" s="15" t="s">
        <v>6059</v>
      </c>
      <c r="K1035" s="15" t="s">
        <v>278</v>
      </c>
      <c r="L1035" s="15" t="s">
        <v>279</v>
      </c>
      <c r="M1035" s="15" t="n">
        <v>62.09</v>
      </c>
      <c r="N1035" s="15" t="n">
        <v>1.47</v>
      </c>
      <c r="O1035" s="15" t="n">
        <v>466</v>
      </c>
      <c r="P1035" s="15" t="s">
        <v>280</v>
      </c>
      <c r="Q1035" s="15" t="s">
        <v>4436</v>
      </c>
      <c r="R1035" s="15" t="s">
        <v>2366</v>
      </c>
      <c r="S1035" s="15" t="s">
        <v>2366</v>
      </c>
      <c r="T1035" s="15" t="s">
        <v>61</v>
      </c>
      <c r="U1035" s="15" t="s">
        <v>243</v>
      </c>
    </row>
    <row r="1036" customFormat="false" ht="18" hidden="false" customHeight="true" outlineLevel="0" collapsed="false">
      <c r="A1036" s="13" t="n">
        <v>1035</v>
      </c>
      <c r="B1036" s="13" t="s">
        <v>2516</v>
      </c>
      <c r="C1036" s="13" t="s">
        <v>77</v>
      </c>
      <c r="D1036" s="13" t="s">
        <v>78</v>
      </c>
      <c r="E1036" s="13" t="s">
        <v>50</v>
      </c>
      <c r="F1036" s="13" t="s">
        <v>503</v>
      </c>
      <c r="G1036" s="13" t="s">
        <v>808</v>
      </c>
      <c r="H1036" s="13" t="s">
        <v>2517</v>
      </c>
      <c r="I1036" s="13" t="s">
        <v>2518</v>
      </c>
      <c r="J1036" s="13" t="s">
        <v>2519</v>
      </c>
      <c r="K1036" s="13" t="s">
        <v>2520</v>
      </c>
      <c r="L1036" s="13" t="s">
        <v>1340</v>
      </c>
      <c r="M1036" s="13" t="n">
        <v>435.89</v>
      </c>
      <c r="N1036" s="13" t="n">
        <v>0.76</v>
      </c>
      <c r="O1036" s="13" t="n">
        <v>442</v>
      </c>
      <c r="P1036" s="13" t="s">
        <v>1341</v>
      </c>
      <c r="Q1036" s="13" t="s">
        <v>2521</v>
      </c>
      <c r="R1036" s="13" t="s">
        <v>2305</v>
      </c>
      <c r="S1036" s="13" t="s">
        <v>2305</v>
      </c>
      <c r="T1036" s="13" t="s">
        <v>61</v>
      </c>
      <c r="U1036" s="13"/>
    </row>
    <row r="1037" customFormat="false" ht="18" hidden="false" customHeight="true" outlineLevel="0" collapsed="false">
      <c r="A1037" s="13" t="n">
        <v>1036</v>
      </c>
      <c r="B1037" s="13" t="s">
        <v>6060</v>
      </c>
      <c r="C1037" s="13" t="s">
        <v>113</v>
      </c>
      <c r="D1037" s="13" t="s">
        <v>114</v>
      </c>
      <c r="E1037" s="13" t="s">
        <v>65</v>
      </c>
      <c r="F1037" s="13" t="s">
        <v>227</v>
      </c>
      <c r="G1037" s="13" t="s">
        <v>103</v>
      </c>
      <c r="H1037" s="13" t="s">
        <v>6061</v>
      </c>
      <c r="I1037" s="13" t="s">
        <v>6062</v>
      </c>
      <c r="J1037" s="13" t="s">
        <v>6063</v>
      </c>
      <c r="K1037" s="13" t="s">
        <v>1926</v>
      </c>
      <c r="L1037" s="13" t="s">
        <v>1927</v>
      </c>
      <c r="M1037" s="13" t="n">
        <v>105.4</v>
      </c>
      <c r="N1037" s="13" t="n">
        <v>0.63</v>
      </c>
      <c r="O1037" s="13" t="n">
        <v>381</v>
      </c>
      <c r="P1037" s="13" t="s">
        <v>1928</v>
      </c>
      <c r="Q1037" s="13" t="s">
        <v>1156</v>
      </c>
      <c r="R1037" s="13" t="s">
        <v>585</v>
      </c>
      <c r="S1037" s="13" t="s">
        <v>585</v>
      </c>
      <c r="T1037" s="13" t="s">
        <v>61</v>
      </c>
      <c r="U1037" s="13"/>
    </row>
    <row r="1038" customFormat="false" ht="18" hidden="false" customHeight="true" outlineLevel="0" collapsed="false">
      <c r="A1038" s="15" t="n">
        <v>1037</v>
      </c>
      <c r="B1038" s="15" t="s">
        <v>2093</v>
      </c>
      <c r="C1038" s="15" t="s">
        <v>48</v>
      </c>
      <c r="D1038" s="15" t="s">
        <v>49</v>
      </c>
      <c r="E1038" s="15" t="s">
        <v>79</v>
      </c>
      <c r="F1038" s="15" t="s">
        <v>127</v>
      </c>
      <c r="G1038" s="15" t="s">
        <v>760</v>
      </c>
      <c r="H1038" s="15" t="s">
        <v>2094</v>
      </c>
      <c r="I1038" s="15" t="s">
        <v>2095</v>
      </c>
      <c r="J1038" s="15" t="s">
        <v>2096</v>
      </c>
      <c r="K1038" s="15" t="s">
        <v>1648</v>
      </c>
      <c r="L1038" s="15" t="s">
        <v>1649</v>
      </c>
      <c r="M1038" s="15" t="n">
        <v>1570.35</v>
      </c>
      <c r="N1038" s="15" t="n">
        <v>1.93</v>
      </c>
      <c r="O1038" s="15" t="n">
        <v>23</v>
      </c>
      <c r="P1038" s="15" t="s">
        <v>1650</v>
      </c>
      <c r="Q1038" s="15" t="s">
        <v>2097</v>
      </c>
      <c r="R1038" s="15" t="s">
        <v>1899</v>
      </c>
      <c r="S1038" s="15" t="s">
        <v>1899</v>
      </c>
      <c r="T1038" s="15" t="s">
        <v>61</v>
      </c>
      <c r="U1038" s="15" t="s">
        <v>283</v>
      </c>
    </row>
    <row r="1039" customFormat="false" ht="18" hidden="false" customHeight="true" outlineLevel="0" collapsed="false">
      <c r="A1039" s="13" t="n">
        <v>1038</v>
      </c>
      <c r="B1039" s="13" t="s">
        <v>3713</v>
      </c>
      <c r="C1039" s="13" t="s">
        <v>63</v>
      </c>
      <c r="D1039" s="13" t="s">
        <v>64</v>
      </c>
      <c r="E1039" s="13" t="s">
        <v>50</v>
      </c>
      <c r="F1039" s="13" t="s">
        <v>115</v>
      </c>
      <c r="G1039" s="13" t="s">
        <v>808</v>
      </c>
      <c r="H1039" s="13" t="s">
        <v>3714</v>
      </c>
      <c r="I1039" s="13" t="s">
        <v>3715</v>
      </c>
      <c r="J1039" s="13" t="s">
        <v>3716</v>
      </c>
      <c r="K1039" s="13" t="s">
        <v>2338</v>
      </c>
      <c r="L1039" s="13" t="s">
        <v>2339</v>
      </c>
      <c r="M1039" s="13" t="n">
        <v>1038.12</v>
      </c>
      <c r="N1039" s="13" t="n">
        <v>0.75</v>
      </c>
      <c r="O1039" s="13" t="n">
        <v>375</v>
      </c>
      <c r="P1039" s="13" t="s">
        <v>2340</v>
      </c>
      <c r="Q1039" s="13" t="s">
        <v>2596</v>
      </c>
      <c r="R1039" s="13" t="s">
        <v>2006</v>
      </c>
      <c r="S1039" s="13" t="s">
        <v>2006</v>
      </c>
      <c r="T1039" s="13" t="s">
        <v>61</v>
      </c>
      <c r="U1039" s="13"/>
    </row>
    <row r="1040" customFormat="false" ht="18" hidden="false" customHeight="true" outlineLevel="0" collapsed="false">
      <c r="A1040" s="13" t="n">
        <v>1039</v>
      </c>
      <c r="B1040" s="13" t="s">
        <v>6064</v>
      </c>
      <c r="C1040" s="13" t="s">
        <v>113</v>
      </c>
      <c r="D1040" s="13" t="s">
        <v>114</v>
      </c>
      <c r="E1040" s="13" t="s">
        <v>50</v>
      </c>
      <c r="F1040" s="13" t="s">
        <v>503</v>
      </c>
      <c r="G1040" s="13" t="s">
        <v>352</v>
      </c>
      <c r="H1040" s="13" t="s">
        <v>6065</v>
      </c>
      <c r="I1040" s="13" t="s">
        <v>6066</v>
      </c>
      <c r="J1040" s="13" t="s">
        <v>6067</v>
      </c>
      <c r="K1040" s="13" t="s">
        <v>5481</v>
      </c>
      <c r="L1040" s="13" t="s">
        <v>508</v>
      </c>
      <c r="M1040" s="13" t="n">
        <v>661.96</v>
      </c>
      <c r="N1040" s="13" t="n">
        <v>0.74</v>
      </c>
      <c r="O1040" s="13" t="n">
        <v>222</v>
      </c>
      <c r="P1040" s="13" t="s">
        <v>509</v>
      </c>
      <c r="Q1040" s="13" t="s">
        <v>5771</v>
      </c>
      <c r="R1040" s="13" t="s">
        <v>205</v>
      </c>
      <c r="S1040" s="13" t="s">
        <v>205</v>
      </c>
      <c r="T1040" s="13" t="s">
        <v>61</v>
      </c>
      <c r="U1040" s="13"/>
    </row>
    <row r="1041" customFormat="false" ht="18" hidden="false" customHeight="true" outlineLevel="0" collapsed="false">
      <c r="A1041" s="13" t="n">
        <v>1040</v>
      </c>
      <c r="B1041" s="13" t="s">
        <v>6068</v>
      </c>
      <c r="C1041" s="13" t="s">
        <v>63</v>
      </c>
      <c r="D1041" s="13" t="s">
        <v>64</v>
      </c>
      <c r="E1041" s="13" t="s">
        <v>50</v>
      </c>
      <c r="F1041" s="13" t="s">
        <v>115</v>
      </c>
      <c r="G1041" s="13" t="s">
        <v>352</v>
      </c>
      <c r="H1041" s="13" t="s">
        <v>6069</v>
      </c>
      <c r="I1041" s="13" t="s">
        <v>6070</v>
      </c>
      <c r="J1041" s="13" t="s">
        <v>6071</v>
      </c>
      <c r="K1041" s="13" t="s">
        <v>3491</v>
      </c>
      <c r="L1041" s="13" t="s">
        <v>1280</v>
      </c>
      <c r="M1041" s="13" t="n">
        <v>433.5</v>
      </c>
      <c r="N1041" s="13" t="n">
        <v>0.62</v>
      </c>
      <c r="O1041" s="13" t="n">
        <v>170</v>
      </c>
      <c r="P1041" s="13" t="s">
        <v>1281</v>
      </c>
      <c r="Q1041" s="13" t="s">
        <v>5776</v>
      </c>
      <c r="R1041" s="13" t="s">
        <v>2527</v>
      </c>
      <c r="S1041" s="13" t="s">
        <v>2527</v>
      </c>
      <c r="T1041" s="13" t="s">
        <v>61</v>
      </c>
      <c r="U1041" s="13"/>
    </row>
  </sheetData>
  <autoFilter ref="A1:U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0000"/>
    <pageSetUpPr fitToPage="false"/>
  </sheetPr>
  <dimension ref="A1:V10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45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2" min="12" style="1" width="22"/>
    <col collapsed="false" customWidth="true" hidden="false" outlineLevel="0" max="15" min="13" style="1" width="14"/>
    <col collapsed="false" customWidth="true" hidden="false" outlineLevel="0" max="16" min="16" style="1" width="16"/>
    <col collapsed="false" customWidth="true" hidden="false" outlineLevel="0" max="18" min="17" style="1" width="14"/>
    <col collapsed="false" customWidth="true" hidden="false" outlineLevel="0" max="21" min="19" style="1" width="12"/>
    <col collapsed="false" customWidth="true" hidden="false" outlineLevel="0" max="22" min="22" style="1" width="22"/>
  </cols>
  <sheetData>
    <row r="1" customFormat="false" ht="36" hidden="false" customHeight="true" outlineLevel="0" collapsed="false">
      <c r="A1" s="17" t="s">
        <v>6072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customFormat="false" ht="18" hidden="false" customHeight="true" outlineLevel="0" collapsed="false">
      <c r="A2" s="3" t="s">
        <v>6073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27.75" hidden="false" customHeight="true" outlineLevel="0" collapsed="false">
      <c r="A3" s="18" t="s">
        <v>26</v>
      </c>
      <c r="B3" s="18" t="s">
        <v>27</v>
      </c>
      <c r="C3" s="18" t="s">
        <v>28</v>
      </c>
      <c r="D3" s="18" t="s">
        <v>29</v>
      </c>
      <c r="E3" s="18" t="s">
        <v>30</v>
      </c>
      <c r="F3" s="18" t="s">
        <v>31</v>
      </c>
      <c r="G3" s="18" t="s">
        <v>34</v>
      </c>
      <c r="H3" s="18" t="s">
        <v>35</v>
      </c>
      <c r="I3" s="18" t="s">
        <v>36</v>
      </c>
      <c r="J3" s="18" t="s">
        <v>38</v>
      </c>
      <c r="K3" s="18" t="s">
        <v>44</v>
      </c>
      <c r="L3" s="18" t="s">
        <v>46</v>
      </c>
      <c r="M3" s="18" t="s">
        <v>6074</v>
      </c>
      <c r="N3" s="18" t="s">
        <v>6075</v>
      </c>
      <c r="O3" s="18" t="s">
        <v>6076</v>
      </c>
      <c r="P3" s="18" t="s">
        <v>6077</v>
      </c>
      <c r="Q3" s="18" t="s">
        <v>6078</v>
      </c>
      <c r="R3" s="18" t="s">
        <v>6079</v>
      </c>
      <c r="S3" s="18" t="s">
        <v>6080</v>
      </c>
      <c r="T3" s="18" t="s">
        <v>6081</v>
      </c>
      <c r="U3" s="18" t="s">
        <v>6082</v>
      </c>
      <c r="V3" s="18" t="s">
        <v>6083</v>
      </c>
    </row>
    <row r="4" customFormat="false" ht="18" hidden="false" customHeight="true" outlineLevel="0" collapsed="false">
      <c r="A4" s="19" t="s">
        <v>6084</v>
      </c>
      <c r="B4" s="19" t="s">
        <v>47</v>
      </c>
      <c r="C4" s="19" t="s">
        <v>48</v>
      </c>
      <c r="D4" s="19" t="s">
        <v>49</v>
      </c>
      <c r="E4" s="19" t="s">
        <v>50</v>
      </c>
      <c r="F4" s="19" t="s">
        <v>51</v>
      </c>
      <c r="G4" s="19" t="s">
        <v>54</v>
      </c>
      <c r="H4" s="19" t="s">
        <v>55</v>
      </c>
      <c r="I4" s="19" t="s">
        <v>56</v>
      </c>
      <c r="J4" s="19" t="n">
        <v>1222.55</v>
      </c>
      <c r="K4" s="19" t="s">
        <v>60</v>
      </c>
      <c r="L4" s="19"/>
      <c r="M4" s="20" t="str">
        <f aca="false">IF(G4&lt;&gt;"","PASS","FAIL - Missing UPC")</f>
        <v>PASS</v>
      </c>
      <c r="N4" s="20" t="str">
        <f aca="false">IF(AND(G4&lt;&gt;"",H4&lt;&gt;""),IF("0"&amp;G4=H4,"PASS","FAIL - GTIN Mismatch"),"SKIP")</f>
        <v>PASS</v>
      </c>
      <c r="O4" s="20" t="str">
        <f aca="false">IF(I4="","FAIL - No Title",IF(LEN(I4)&lt;=126,"PASS","FAIL - Title &gt;"&amp;126&amp;" chars"))</f>
        <v>PASS</v>
      </c>
      <c r="P4" s="20" t="str">
        <f aca="false">IF(J4&gt;0,IF(J4&lt;5000,"PASS","FLAG - Review Price"),"FAIL - Zero Price")</f>
        <v>PASS</v>
      </c>
      <c r="Q4" s="20" t="str">
        <f aca="false">IF('Raw Catalog'!P2&lt;&gt;"","PASS","FAIL - No Image")</f>
        <v>PASS</v>
      </c>
      <c r="R4" s="20" t="str">
        <f aca="false">IF(F4&lt;&gt;"","PASS","FAIL - No Brand")</f>
        <v>PASS</v>
      </c>
      <c r="S4" s="20" t="str">
        <f aca="true">IF(K4="","FAIL - No Date",IF(TODAY()-DATEVALUE(K4)&lt;=180,"PASS","FLAG - Stale &gt;180d"))</f>
        <v>FLAG - Stale &gt;180d</v>
      </c>
      <c r="T4" s="20" t="n">
        <f aca="false">COUNTIF(M4:S4,"FAIL*")+COUNTIF(M4:S4,"FLAG*")</f>
        <v>1</v>
      </c>
      <c r="U4" s="20" t="str">
        <f aca="false">IF(T4=0,"CLEAN",IF(T4=1,"MINOR",IF(T4&lt;=3,"MODERATE","CRITICAL")))</f>
        <v>MINOR</v>
      </c>
      <c r="V4" s="20" t="str">
        <f aca="false">IF(U4="CLEAN","None",IF(U4="MINOR","Seller Notify",IF(U4="MODERATE","Listing Suspended","Immediate Removal")))</f>
        <v>Seller Notify</v>
      </c>
    </row>
    <row r="5" customFormat="false" ht="18" hidden="false" customHeight="true" outlineLevel="0" collapsed="false">
      <c r="A5" s="19" t="s">
        <v>6085</v>
      </c>
      <c r="B5" s="19" t="s">
        <v>62</v>
      </c>
      <c r="C5" s="19" t="s">
        <v>63</v>
      </c>
      <c r="D5" s="19" t="s">
        <v>64</v>
      </c>
      <c r="E5" s="19" t="s">
        <v>65</v>
      </c>
      <c r="F5" s="19" t="s">
        <v>66</v>
      </c>
      <c r="G5" s="19" t="s">
        <v>69</v>
      </c>
      <c r="H5" s="19" t="s">
        <v>70</v>
      </c>
      <c r="I5" s="19" t="s">
        <v>71</v>
      </c>
      <c r="J5" s="19" t="n">
        <v>176.12</v>
      </c>
      <c r="K5" s="19" t="s">
        <v>75</v>
      </c>
      <c r="L5" s="19"/>
      <c r="M5" s="20" t="str">
        <f aca="false">IF(G5&lt;&gt;"","PASS","FAIL - Missing UPC")</f>
        <v>PASS</v>
      </c>
      <c r="N5" s="20" t="str">
        <f aca="false">IF(AND(G5&lt;&gt;"",H5&lt;&gt;""),IF("0"&amp;G5=H5,"PASS","FAIL - GTIN Mismatch"),"SKIP")</f>
        <v>PASS</v>
      </c>
      <c r="O5" s="20" t="str">
        <f aca="false">IF(I5="","FAIL - No Title",IF(LEN(I5)&lt;=126,"PASS","FAIL - Title &gt;"&amp;126&amp;" chars"))</f>
        <v>PASS</v>
      </c>
      <c r="P5" s="20" t="str">
        <f aca="false">IF(J5&gt;0,IF(J5&lt;5000,"PASS","FLAG - Review Price"),"FAIL - Zero Price")</f>
        <v>PASS</v>
      </c>
      <c r="Q5" s="20" t="str">
        <f aca="false">IF('Raw Catalog'!P3&lt;&gt;"","PASS","FAIL - No Image")</f>
        <v>PASS</v>
      </c>
      <c r="R5" s="20" t="str">
        <f aca="false">IF(F5&lt;&gt;"","PASS","FAIL - No Brand")</f>
        <v>PASS</v>
      </c>
      <c r="S5" s="20" t="str">
        <f aca="true">IF(K5="","FAIL - No Date",IF(TODAY()-DATEVALUE(K5)&lt;=180,"PASS","FLAG - Stale &gt;180d"))</f>
        <v>FLAG - Stale &gt;180d</v>
      </c>
      <c r="T5" s="20" t="n">
        <f aca="false">COUNTIF(M5:S5,"FAIL*")+COUNTIF(M5:S5,"FLAG*")</f>
        <v>1</v>
      </c>
      <c r="U5" s="20" t="str">
        <f aca="false">IF(T5=0,"CLEAN",IF(T5=1,"MINOR",IF(T5&lt;=3,"MODERATE","CRITICAL")))</f>
        <v>MINOR</v>
      </c>
      <c r="V5" s="20" t="str">
        <f aca="false">IF(U5="CLEAN","None",IF(U5="MINOR","Seller Notify",IF(U5="MODERATE","Listing Suspended","Immediate Removal")))</f>
        <v>Seller Notify</v>
      </c>
    </row>
    <row r="6" customFormat="false" ht="18" hidden="false" customHeight="true" outlineLevel="0" collapsed="false">
      <c r="A6" s="19" t="s">
        <v>6086</v>
      </c>
      <c r="B6" s="19" t="s">
        <v>76</v>
      </c>
      <c r="C6" s="19" t="s">
        <v>77</v>
      </c>
      <c r="D6" s="19" t="s">
        <v>78</v>
      </c>
      <c r="E6" s="19" t="s">
        <v>79</v>
      </c>
      <c r="F6" s="19"/>
      <c r="G6" s="19" t="s">
        <v>82</v>
      </c>
      <c r="H6" s="19" t="s">
        <v>83</v>
      </c>
      <c r="I6" s="19" t="s">
        <v>84</v>
      </c>
      <c r="J6" s="19" t="n">
        <v>1279.54</v>
      </c>
      <c r="K6" s="19" t="s">
        <v>88</v>
      </c>
      <c r="L6" s="21" t="s">
        <v>89</v>
      </c>
      <c r="M6" s="20" t="str">
        <f aca="false">IF(G6&lt;&gt;"","PASS","FAIL - Missing UPC")</f>
        <v>PASS</v>
      </c>
      <c r="N6" s="20" t="str">
        <f aca="false">IF(AND(G6&lt;&gt;"",H6&lt;&gt;""),IF("0"&amp;G6=H6,"PASS","FAIL - GTIN Mismatch"),"SKIP")</f>
        <v>PASS</v>
      </c>
      <c r="O6" s="20" t="str">
        <f aca="false">IF(I6="","FAIL - No Title",IF(LEN(I6)&lt;=126,"PASS","FAIL - Title &gt;"&amp;126&amp;" chars"))</f>
        <v>PASS</v>
      </c>
      <c r="P6" s="20" t="str">
        <f aca="false">IF(J6&gt;0,IF(J6&lt;5000,"PASS","FLAG - Review Price"),"FAIL - Zero Price")</f>
        <v>PASS</v>
      </c>
      <c r="Q6" s="20" t="str">
        <f aca="false">IF('Raw Catalog'!P4&lt;&gt;"","PASS","FAIL - No Image")</f>
        <v>PASS</v>
      </c>
      <c r="R6" s="20" t="str">
        <f aca="false">IF(F6&lt;&gt;"","PASS","FAIL - No Brand")</f>
        <v>FAIL - No Brand</v>
      </c>
      <c r="S6" s="20" t="str">
        <f aca="true">IF(K6="","FAIL - No Date",IF(TODAY()-DATEVALUE(K6)&lt;=180,"PASS","FLAG - Stale &gt;180d"))</f>
        <v>FLAG - Stale &gt;180d</v>
      </c>
      <c r="T6" s="20" t="n">
        <f aca="false">COUNTIF(M6:S6,"FAIL*")+COUNTIF(M6:S6,"FLAG*")</f>
        <v>2</v>
      </c>
      <c r="U6" s="20" t="str">
        <f aca="false">IF(T6=0,"CLEAN",IF(T6=1,"MINOR",IF(T6&lt;=3,"MODERATE","CRITICAL")))</f>
        <v>MODERATE</v>
      </c>
      <c r="V6" s="20" t="str">
        <f aca="false">IF(U6="CLEAN","None",IF(U6="MINOR","Seller Notify",IF(U6="MODERATE","Listing Suspended","Immediate Removal")))</f>
        <v>Listing Suspended</v>
      </c>
    </row>
    <row r="7" customFormat="false" ht="18" hidden="false" customHeight="true" outlineLevel="0" collapsed="false">
      <c r="A7" s="19" t="s">
        <v>6087</v>
      </c>
      <c r="B7" s="19" t="s">
        <v>90</v>
      </c>
      <c r="C7" s="19" t="s">
        <v>63</v>
      </c>
      <c r="D7" s="19" t="s">
        <v>64</v>
      </c>
      <c r="E7" s="19" t="s">
        <v>91</v>
      </c>
      <c r="F7" s="19" t="s">
        <v>92</v>
      </c>
      <c r="G7" s="19" t="s">
        <v>95</v>
      </c>
      <c r="H7" s="19" t="s">
        <v>96</v>
      </c>
      <c r="I7" s="19" t="s">
        <v>97</v>
      </c>
      <c r="J7" s="19" t="n">
        <v>3504.35</v>
      </c>
      <c r="K7" s="19" t="s">
        <v>101</v>
      </c>
      <c r="L7" s="19"/>
      <c r="M7" s="20" t="str">
        <f aca="false">IF(G7&lt;&gt;"","PASS","FAIL - Missing UPC")</f>
        <v>PASS</v>
      </c>
      <c r="N7" s="20" t="str">
        <f aca="false">IF(AND(G7&lt;&gt;"",H7&lt;&gt;""),IF("0"&amp;G7=H7,"PASS","FAIL - GTIN Mismatch"),"SKIP")</f>
        <v>PASS</v>
      </c>
      <c r="O7" s="20" t="str">
        <f aca="false">IF(I7="","FAIL - No Title",IF(LEN(I7)&lt;=126,"PASS","FAIL - Title &gt;"&amp;126&amp;" chars"))</f>
        <v>PASS</v>
      </c>
      <c r="P7" s="20" t="str">
        <f aca="false">IF(J7&gt;0,IF(J7&lt;5000,"PASS","FLAG - Review Price"),"FAIL - Zero Price")</f>
        <v>PASS</v>
      </c>
      <c r="Q7" s="20" t="str">
        <f aca="false">IF('Raw Catalog'!P5&lt;&gt;"","PASS","FAIL - No Image")</f>
        <v>PASS</v>
      </c>
      <c r="R7" s="20" t="str">
        <f aca="false">IF(F7&lt;&gt;"","PASS","FAIL - No Brand")</f>
        <v>PASS</v>
      </c>
      <c r="S7" s="20" t="str">
        <f aca="true">IF(K7="","FAIL - No Date",IF(TODAY()-DATEVALUE(K7)&lt;=180,"PASS","FLAG - Stale &gt;180d"))</f>
        <v>FLAG - Stale &gt;180d</v>
      </c>
      <c r="T7" s="20" t="n">
        <f aca="false">COUNTIF(M7:S7,"FAIL*")+COUNTIF(M7:S7,"FLAG*")</f>
        <v>1</v>
      </c>
      <c r="U7" s="20" t="str">
        <f aca="false">IF(T7=0,"CLEAN",IF(T7=1,"MINOR",IF(T7&lt;=3,"MODERATE","CRITICAL")))</f>
        <v>MINOR</v>
      </c>
      <c r="V7" s="20" t="str">
        <f aca="false">IF(U7="CLEAN","None",IF(U7="MINOR","Seller Notify",IF(U7="MODERATE","Listing Suspended","Immediate Removal")))</f>
        <v>Seller Notify</v>
      </c>
    </row>
    <row r="8" customFormat="false" ht="18" hidden="false" customHeight="true" outlineLevel="0" collapsed="false">
      <c r="A8" s="19" t="s">
        <v>6088</v>
      </c>
      <c r="B8" s="19" t="s">
        <v>102</v>
      </c>
      <c r="C8" s="19" t="s">
        <v>77</v>
      </c>
      <c r="D8" s="19" t="s">
        <v>78</v>
      </c>
      <c r="E8" s="19" t="s">
        <v>65</v>
      </c>
      <c r="F8" s="19" t="s">
        <v>66</v>
      </c>
      <c r="G8" s="19" t="s">
        <v>105</v>
      </c>
      <c r="H8" s="19" t="s">
        <v>106</v>
      </c>
      <c r="I8" s="19" t="s">
        <v>107</v>
      </c>
      <c r="J8" s="19" t="n">
        <v>109.17</v>
      </c>
      <c r="K8" s="19" t="s">
        <v>111</v>
      </c>
      <c r="L8" s="19"/>
      <c r="M8" s="20" t="str">
        <f aca="false">IF(G8&lt;&gt;"","PASS","FAIL - Missing UPC")</f>
        <v>PASS</v>
      </c>
      <c r="N8" s="20" t="str">
        <f aca="false">IF(AND(G8&lt;&gt;"",H8&lt;&gt;""),IF("0"&amp;G8=H8,"PASS","FAIL - GTIN Mismatch"),"SKIP")</f>
        <v>PASS</v>
      </c>
      <c r="O8" s="20" t="str">
        <f aca="false">IF(I8="","FAIL - No Title",IF(LEN(I8)&lt;=126,"PASS","FAIL - Title &gt;"&amp;126&amp;" chars"))</f>
        <v>PASS</v>
      </c>
      <c r="P8" s="20" t="str">
        <f aca="false">IF(J8&gt;0,IF(J8&lt;5000,"PASS","FLAG - Review Price"),"FAIL - Zero Price")</f>
        <v>PASS</v>
      </c>
      <c r="Q8" s="20" t="str">
        <f aca="false">IF('Raw Catalog'!P6&lt;&gt;"","PASS","FAIL - No Image")</f>
        <v>PASS</v>
      </c>
      <c r="R8" s="20" t="str">
        <f aca="false">IF(F8&lt;&gt;"","PASS","FAIL - No Brand")</f>
        <v>PASS</v>
      </c>
      <c r="S8" s="20" t="str">
        <f aca="true">IF(K8="","FAIL - No Date",IF(TODAY()-DATEVALUE(K8)&lt;=180,"PASS","FLAG - Stale &gt;180d"))</f>
        <v>FLAG - Stale &gt;180d</v>
      </c>
      <c r="T8" s="20" t="n">
        <f aca="false">COUNTIF(M8:S8,"FAIL*")+COUNTIF(M8:S8,"FLAG*")</f>
        <v>1</v>
      </c>
      <c r="U8" s="20" t="str">
        <f aca="false">IF(T8=0,"CLEAN",IF(T8=1,"MINOR",IF(T8&lt;=3,"MODERATE","CRITICAL")))</f>
        <v>MINOR</v>
      </c>
      <c r="V8" s="20" t="str">
        <f aca="false">IF(U8="CLEAN","None",IF(U8="MINOR","Seller Notify",IF(U8="MODERATE","Listing Suspended","Immediate Removal")))</f>
        <v>Seller Notify</v>
      </c>
    </row>
    <row r="9" customFormat="false" ht="18" hidden="false" customHeight="true" outlineLevel="0" collapsed="false">
      <c r="A9" s="19" t="s">
        <v>6089</v>
      </c>
      <c r="B9" s="19" t="s">
        <v>112</v>
      </c>
      <c r="C9" s="19" t="s">
        <v>113</v>
      </c>
      <c r="D9" s="19" t="s">
        <v>114</v>
      </c>
      <c r="E9" s="19" t="s">
        <v>50</v>
      </c>
      <c r="F9" s="19" t="s">
        <v>115</v>
      </c>
      <c r="G9" s="19" t="s">
        <v>117</v>
      </c>
      <c r="H9" s="19" t="s">
        <v>118</v>
      </c>
      <c r="I9" s="19" t="s">
        <v>119</v>
      </c>
      <c r="J9" s="19" t="n">
        <v>644.99</v>
      </c>
      <c r="K9" s="19" t="s">
        <v>123</v>
      </c>
      <c r="L9" s="19"/>
      <c r="M9" s="20" t="str">
        <f aca="false">IF(G9&lt;&gt;"","PASS","FAIL - Missing UPC")</f>
        <v>PASS</v>
      </c>
      <c r="N9" s="20" t="str">
        <f aca="false">IF(AND(G9&lt;&gt;"",H9&lt;&gt;""),IF("0"&amp;G9=H9,"PASS","FAIL - GTIN Mismatch"),"SKIP")</f>
        <v>PASS</v>
      </c>
      <c r="O9" s="20" t="str">
        <f aca="false">IF(I9="","FAIL - No Title",IF(LEN(I9)&lt;=126,"PASS","FAIL - Title &gt;"&amp;126&amp;" chars"))</f>
        <v>PASS</v>
      </c>
      <c r="P9" s="20" t="str">
        <f aca="false">IF(J9&gt;0,IF(J9&lt;5000,"PASS","FLAG - Review Price"),"FAIL - Zero Price")</f>
        <v>PASS</v>
      </c>
      <c r="Q9" s="20" t="str">
        <f aca="false">IF('Raw Catalog'!P7&lt;&gt;"","PASS","FAIL - No Image")</f>
        <v>PASS</v>
      </c>
      <c r="R9" s="20" t="str">
        <f aca="false">IF(F9&lt;&gt;"","PASS","FAIL - No Brand")</f>
        <v>PASS</v>
      </c>
      <c r="S9" s="20" t="str">
        <f aca="true">IF(K9="","FAIL - No Date",IF(TODAY()-DATEVALUE(K9)&lt;=180,"PASS","FLAG - Stale &gt;180d"))</f>
        <v>FLAG - Stale &gt;180d</v>
      </c>
      <c r="T9" s="20" t="n">
        <f aca="false">COUNTIF(M9:S9,"FAIL*")+COUNTIF(M9:S9,"FLAG*")</f>
        <v>1</v>
      </c>
      <c r="U9" s="20" t="str">
        <f aca="false">IF(T9=0,"CLEAN",IF(T9=1,"MINOR",IF(T9&lt;=3,"MODERATE","CRITICAL")))</f>
        <v>MINOR</v>
      </c>
      <c r="V9" s="20" t="str">
        <f aca="false">IF(U9="CLEAN","None",IF(U9="MINOR","Seller Notify",IF(U9="MODERATE","Listing Suspended","Immediate Removal")))</f>
        <v>Seller Notify</v>
      </c>
    </row>
    <row r="10" customFormat="false" ht="18" hidden="false" customHeight="true" outlineLevel="0" collapsed="false">
      <c r="A10" s="19" t="s">
        <v>6090</v>
      </c>
      <c r="B10" s="19" t="s">
        <v>124</v>
      </c>
      <c r="C10" s="19" t="s">
        <v>125</v>
      </c>
      <c r="D10" s="19" t="s">
        <v>126</v>
      </c>
      <c r="E10" s="19" t="s">
        <v>79</v>
      </c>
      <c r="F10" s="19" t="s">
        <v>127</v>
      </c>
      <c r="G10" s="19" t="s">
        <v>130</v>
      </c>
      <c r="H10" s="19" t="s">
        <v>131</v>
      </c>
      <c r="I10" s="19" t="s">
        <v>132</v>
      </c>
      <c r="J10" s="19" t="n">
        <v>1378.52</v>
      </c>
      <c r="K10" s="19" t="s">
        <v>136</v>
      </c>
      <c r="L10" s="19"/>
      <c r="M10" s="20" t="str">
        <f aca="false">IF(G10&lt;&gt;"","PASS","FAIL - Missing UPC")</f>
        <v>PASS</v>
      </c>
      <c r="N10" s="20" t="str">
        <f aca="false">IF(AND(G10&lt;&gt;"",H10&lt;&gt;""),IF("0"&amp;G10=H10,"PASS","FAIL - GTIN Mismatch"),"SKIP")</f>
        <v>PASS</v>
      </c>
      <c r="O10" s="20" t="str">
        <f aca="false">IF(I10="","FAIL - No Title",IF(LEN(I10)&lt;=126,"PASS","FAIL - Title &gt;"&amp;126&amp;" chars"))</f>
        <v>PASS</v>
      </c>
      <c r="P10" s="20" t="str">
        <f aca="false">IF(J10&gt;0,IF(J10&lt;5000,"PASS","FLAG - Review Price"),"FAIL - Zero Price")</f>
        <v>PASS</v>
      </c>
      <c r="Q10" s="20" t="str">
        <f aca="false">IF('Raw Catalog'!P8&lt;&gt;"","PASS","FAIL - No Image")</f>
        <v>PASS</v>
      </c>
      <c r="R10" s="20" t="str">
        <f aca="false">IF(F10&lt;&gt;"","PASS","FAIL - No Brand")</f>
        <v>PASS</v>
      </c>
      <c r="S10" s="20" t="str">
        <f aca="true">IF(K10="","FAIL - No Date",IF(TODAY()-DATEVALUE(K10)&lt;=180,"PASS","FLAG - Stale &gt;180d"))</f>
        <v>FLAG - Stale &gt;180d</v>
      </c>
      <c r="T10" s="20" t="n">
        <f aca="false">COUNTIF(M10:S10,"FAIL*")+COUNTIF(M10:S10,"FLAG*")</f>
        <v>1</v>
      </c>
      <c r="U10" s="20" t="str">
        <f aca="false">IF(T10=0,"CLEAN",IF(T10=1,"MINOR",IF(T10&lt;=3,"MODERATE","CRITICAL")))</f>
        <v>MINOR</v>
      </c>
      <c r="V10" s="20" t="str">
        <f aca="false">IF(U10="CLEAN","None",IF(U10="MINOR","Seller Notify",IF(U10="MODERATE","Listing Suspended","Immediate Removal")))</f>
        <v>Seller Notify</v>
      </c>
    </row>
    <row r="11" customFormat="false" ht="18" hidden="false" customHeight="true" outlineLevel="0" collapsed="false">
      <c r="A11" s="19" t="s">
        <v>6091</v>
      </c>
      <c r="B11" s="19" t="s">
        <v>137</v>
      </c>
      <c r="C11" s="19" t="s">
        <v>113</v>
      </c>
      <c r="D11" s="19" t="s">
        <v>114</v>
      </c>
      <c r="E11" s="19" t="s">
        <v>91</v>
      </c>
      <c r="F11" s="19" t="s">
        <v>138</v>
      </c>
      <c r="G11" s="19" t="s">
        <v>141</v>
      </c>
      <c r="H11" s="19" t="s">
        <v>142</v>
      </c>
      <c r="I11" s="19" t="s">
        <v>143</v>
      </c>
      <c r="J11" s="19" t="n">
        <v>2571.68</v>
      </c>
      <c r="K11" s="19" t="s">
        <v>147</v>
      </c>
      <c r="L11" s="19"/>
      <c r="M11" s="20" t="str">
        <f aca="false">IF(G11&lt;&gt;"","PASS","FAIL - Missing UPC")</f>
        <v>PASS</v>
      </c>
      <c r="N11" s="20" t="str">
        <f aca="false">IF(AND(G11&lt;&gt;"",H11&lt;&gt;""),IF("0"&amp;G11=H11,"PASS","FAIL - GTIN Mismatch"),"SKIP")</f>
        <v>PASS</v>
      </c>
      <c r="O11" s="20" t="str">
        <f aca="false">IF(I11="","FAIL - No Title",IF(LEN(I11)&lt;=126,"PASS","FAIL - Title &gt;"&amp;126&amp;" chars"))</f>
        <v>PASS</v>
      </c>
      <c r="P11" s="20" t="str">
        <f aca="false">IF(J11&gt;0,IF(J11&lt;5000,"PASS","FLAG - Review Price"),"FAIL - Zero Price")</f>
        <v>PASS</v>
      </c>
      <c r="Q11" s="20" t="str">
        <f aca="false">IF('Raw Catalog'!P9&lt;&gt;"","PASS","FAIL - No Image")</f>
        <v>PASS</v>
      </c>
      <c r="R11" s="20" t="str">
        <f aca="false">IF(F11&lt;&gt;"","PASS","FAIL - No Brand")</f>
        <v>PASS</v>
      </c>
      <c r="S11" s="20" t="str">
        <f aca="true">IF(K11="","FAIL - No Date",IF(TODAY()-DATEVALUE(K11)&lt;=180,"PASS","FLAG - Stale &gt;180d"))</f>
        <v>FLAG - Stale &gt;180d</v>
      </c>
      <c r="T11" s="20" t="n">
        <f aca="false">COUNTIF(M11:S11,"FAIL*")+COUNTIF(M11:S11,"FLAG*")</f>
        <v>1</v>
      </c>
      <c r="U11" s="20" t="str">
        <f aca="false">IF(T11=0,"CLEAN",IF(T11=1,"MINOR",IF(T11&lt;=3,"MODERATE","CRITICAL")))</f>
        <v>MINOR</v>
      </c>
      <c r="V11" s="20" t="str">
        <f aca="false">IF(U11="CLEAN","None",IF(U11="MINOR","Seller Notify",IF(U11="MODERATE","Listing Suspended","Immediate Removal")))</f>
        <v>Seller Notify</v>
      </c>
    </row>
    <row r="12" customFormat="false" ht="18" hidden="false" customHeight="true" outlineLevel="0" collapsed="false">
      <c r="A12" s="19" t="s">
        <v>6092</v>
      </c>
      <c r="B12" s="19" t="s">
        <v>148</v>
      </c>
      <c r="C12" s="19" t="s">
        <v>125</v>
      </c>
      <c r="D12" s="19" t="s">
        <v>126</v>
      </c>
      <c r="E12" s="19" t="s">
        <v>65</v>
      </c>
      <c r="F12" s="19" t="s">
        <v>115</v>
      </c>
      <c r="G12" s="19" t="s">
        <v>151</v>
      </c>
      <c r="H12" s="19" t="s">
        <v>152</v>
      </c>
      <c r="I12" s="19" t="s">
        <v>153</v>
      </c>
      <c r="J12" s="19" t="n">
        <v>114.95</v>
      </c>
      <c r="K12" s="19" t="s">
        <v>157</v>
      </c>
      <c r="L12" s="19"/>
      <c r="M12" s="20" t="str">
        <f aca="false">IF(G12&lt;&gt;"","PASS","FAIL - Missing UPC")</f>
        <v>PASS</v>
      </c>
      <c r="N12" s="20" t="str">
        <f aca="false">IF(AND(G12&lt;&gt;"",H12&lt;&gt;""),IF("0"&amp;G12=H12,"PASS","FAIL - GTIN Mismatch"),"SKIP")</f>
        <v>PASS</v>
      </c>
      <c r="O12" s="20" t="str">
        <f aca="false">IF(I12="","FAIL - No Title",IF(LEN(I12)&lt;=126,"PASS","FAIL - Title &gt;"&amp;126&amp;" chars"))</f>
        <v>PASS</v>
      </c>
      <c r="P12" s="20" t="str">
        <f aca="false">IF(J12&gt;0,IF(J12&lt;5000,"PASS","FLAG - Review Price"),"FAIL - Zero Price")</f>
        <v>PASS</v>
      </c>
      <c r="Q12" s="20" t="str">
        <f aca="false">IF('Raw Catalog'!P10&lt;&gt;"","PASS","FAIL - No Image")</f>
        <v>PASS</v>
      </c>
      <c r="R12" s="20" t="str">
        <f aca="false">IF(F12&lt;&gt;"","PASS","FAIL - No Brand")</f>
        <v>PASS</v>
      </c>
      <c r="S12" s="20" t="str">
        <f aca="true">IF(K12="","FAIL - No Date",IF(TODAY()-DATEVALUE(K12)&lt;=180,"PASS","FLAG - Stale &gt;180d"))</f>
        <v>FLAG - Stale &gt;180d</v>
      </c>
      <c r="T12" s="20" t="n">
        <f aca="false">COUNTIF(M12:S12,"FAIL*")+COUNTIF(M12:S12,"FLAG*")</f>
        <v>1</v>
      </c>
      <c r="U12" s="20" t="str">
        <f aca="false">IF(T12=0,"CLEAN",IF(T12=1,"MINOR",IF(T12&lt;=3,"MODERATE","CRITICAL")))</f>
        <v>MINOR</v>
      </c>
      <c r="V12" s="20" t="str">
        <f aca="false">IF(U12="CLEAN","None",IF(U12="MINOR","Seller Notify",IF(U12="MODERATE","Listing Suspended","Immediate Removal")))</f>
        <v>Seller Notify</v>
      </c>
    </row>
    <row r="13" customFormat="false" ht="18" hidden="false" customHeight="true" outlineLevel="0" collapsed="false">
      <c r="A13" s="19" t="s">
        <v>6093</v>
      </c>
      <c r="B13" s="19" t="s">
        <v>158</v>
      </c>
      <c r="C13" s="19" t="s">
        <v>159</v>
      </c>
      <c r="D13" s="19" t="s">
        <v>160</v>
      </c>
      <c r="E13" s="19" t="s">
        <v>161</v>
      </c>
      <c r="F13" s="19" t="s">
        <v>162</v>
      </c>
      <c r="G13" s="19" t="s">
        <v>165</v>
      </c>
      <c r="H13" s="19" t="s">
        <v>166</v>
      </c>
      <c r="I13" s="19" t="s">
        <v>167</v>
      </c>
      <c r="J13" s="19" t="n">
        <v>368.82</v>
      </c>
      <c r="K13" s="19" t="s">
        <v>171</v>
      </c>
      <c r="L13" s="19"/>
      <c r="M13" s="20" t="str">
        <f aca="false">IF(G13&lt;&gt;"","PASS","FAIL - Missing UPC")</f>
        <v>PASS</v>
      </c>
      <c r="N13" s="20" t="str">
        <f aca="false">IF(AND(G13&lt;&gt;"",H13&lt;&gt;""),IF("0"&amp;G13=H13,"PASS","FAIL - GTIN Mismatch"),"SKIP")</f>
        <v>PASS</v>
      </c>
      <c r="O13" s="20" t="str">
        <f aca="false">IF(I13="","FAIL - No Title",IF(LEN(I13)&lt;=126,"PASS","FAIL - Title &gt;"&amp;126&amp;" chars"))</f>
        <v>PASS</v>
      </c>
      <c r="P13" s="20" t="str">
        <f aca="false">IF(J13&gt;0,IF(J13&lt;5000,"PASS","FLAG - Review Price"),"FAIL - Zero Price")</f>
        <v>PASS</v>
      </c>
      <c r="Q13" s="20" t="str">
        <f aca="false">IF('Raw Catalog'!P11&lt;&gt;"","PASS","FAIL - No Image")</f>
        <v>PASS</v>
      </c>
      <c r="R13" s="20" t="str">
        <f aca="false">IF(F13&lt;&gt;"","PASS","FAIL - No Brand")</f>
        <v>PASS</v>
      </c>
      <c r="S13" s="20" t="str">
        <f aca="true">IF(K13="","FAIL - No Date",IF(TODAY()-DATEVALUE(K13)&lt;=180,"PASS","FLAG - Stale &gt;180d"))</f>
        <v>FLAG - Stale &gt;180d</v>
      </c>
      <c r="T13" s="20" t="n">
        <f aca="false">COUNTIF(M13:S13,"FAIL*")+COUNTIF(M13:S13,"FLAG*")</f>
        <v>1</v>
      </c>
      <c r="U13" s="20" t="str">
        <f aca="false">IF(T13=0,"CLEAN",IF(T13=1,"MINOR",IF(T13&lt;=3,"MODERATE","CRITICAL")))</f>
        <v>MINOR</v>
      </c>
      <c r="V13" s="20" t="str">
        <f aca="false">IF(U13="CLEAN","None",IF(U13="MINOR","Seller Notify",IF(U13="MODERATE","Listing Suspended","Immediate Removal")))</f>
        <v>Seller Notify</v>
      </c>
    </row>
    <row r="14" customFormat="false" ht="18" hidden="false" customHeight="true" outlineLevel="0" collapsed="false">
      <c r="A14" s="19" t="s">
        <v>6094</v>
      </c>
      <c r="B14" s="19" t="s">
        <v>172</v>
      </c>
      <c r="C14" s="19" t="s">
        <v>173</v>
      </c>
      <c r="D14" s="19" t="s">
        <v>174</v>
      </c>
      <c r="E14" s="19" t="s">
        <v>161</v>
      </c>
      <c r="F14" s="19" t="s">
        <v>51</v>
      </c>
      <c r="G14" s="19" t="s">
        <v>177</v>
      </c>
      <c r="H14" s="19" t="s">
        <v>178</v>
      </c>
      <c r="I14" s="19" t="s">
        <v>179</v>
      </c>
      <c r="J14" s="19" t="n">
        <v>354.48</v>
      </c>
      <c r="K14" s="19" t="s">
        <v>183</v>
      </c>
      <c r="L14" s="19"/>
      <c r="M14" s="20" t="str">
        <f aca="false">IF(G14&lt;&gt;"","PASS","FAIL - Missing UPC")</f>
        <v>PASS</v>
      </c>
      <c r="N14" s="20" t="str">
        <f aca="false">IF(AND(G14&lt;&gt;"",H14&lt;&gt;""),IF("0"&amp;G14=H14,"PASS","FAIL - GTIN Mismatch"),"SKIP")</f>
        <v>PASS</v>
      </c>
      <c r="O14" s="20" t="str">
        <f aca="false">IF(I14="","FAIL - No Title",IF(LEN(I14)&lt;=126,"PASS","FAIL - Title &gt;"&amp;126&amp;" chars"))</f>
        <v>PASS</v>
      </c>
      <c r="P14" s="20" t="str">
        <f aca="false">IF(J14&gt;0,IF(J14&lt;5000,"PASS","FLAG - Review Price"),"FAIL - Zero Price")</f>
        <v>PASS</v>
      </c>
      <c r="Q14" s="20" t="str">
        <f aca="false">IF('Raw Catalog'!P12&lt;&gt;"","PASS","FAIL - No Image")</f>
        <v>PASS</v>
      </c>
      <c r="R14" s="20" t="str">
        <f aca="false">IF(F14&lt;&gt;"","PASS","FAIL - No Brand")</f>
        <v>PASS</v>
      </c>
      <c r="S14" s="20" t="str">
        <f aca="true">IF(K14="","FAIL - No Date",IF(TODAY()-DATEVALUE(K14)&lt;=180,"PASS","FLAG - Stale &gt;180d"))</f>
        <v>FLAG - Stale &gt;180d</v>
      </c>
      <c r="T14" s="20" t="n">
        <f aca="false">COUNTIF(M14:S14,"FAIL*")+COUNTIF(M14:S14,"FLAG*")</f>
        <v>1</v>
      </c>
      <c r="U14" s="20" t="str">
        <f aca="false">IF(T14=0,"CLEAN",IF(T14=1,"MINOR",IF(T14&lt;=3,"MODERATE","CRITICAL")))</f>
        <v>MINOR</v>
      </c>
      <c r="V14" s="20" t="str">
        <f aca="false">IF(U14="CLEAN","None",IF(U14="MINOR","Seller Notify",IF(U14="MODERATE","Listing Suspended","Immediate Removal")))</f>
        <v>Seller Notify</v>
      </c>
    </row>
    <row r="15" customFormat="false" ht="18" hidden="false" customHeight="true" outlineLevel="0" collapsed="false">
      <c r="A15" s="19" t="s">
        <v>6095</v>
      </c>
      <c r="B15" s="19" t="s">
        <v>184</v>
      </c>
      <c r="C15" s="19" t="s">
        <v>173</v>
      </c>
      <c r="D15" s="19" t="s">
        <v>174</v>
      </c>
      <c r="E15" s="19" t="s">
        <v>91</v>
      </c>
      <c r="F15" s="19" t="s">
        <v>185</v>
      </c>
      <c r="G15" s="19" t="s">
        <v>188</v>
      </c>
      <c r="H15" s="19" t="s">
        <v>189</v>
      </c>
      <c r="I15" s="19" t="s">
        <v>190</v>
      </c>
      <c r="J15" s="19" t="n">
        <v>2129.62</v>
      </c>
      <c r="K15" s="19" t="s">
        <v>194</v>
      </c>
      <c r="L15" s="19"/>
      <c r="M15" s="20" t="str">
        <f aca="false">IF(G15&lt;&gt;"","PASS","FAIL - Missing UPC")</f>
        <v>PASS</v>
      </c>
      <c r="N15" s="20" t="str">
        <f aca="false">IF(AND(G15&lt;&gt;"",H15&lt;&gt;""),IF("0"&amp;G15=H15,"PASS","FAIL - GTIN Mismatch"),"SKIP")</f>
        <v>PASS</v>
      </c>
      <c r="O15" s="20" t="str">
        <f aca="false">IF(I15="","FAIL - No Title",IF(LEN(I15)&lt;=126,"PASS","FAIL - Title &gt;"&amp;126&amp;" chars"))</f>
        <v>PASS</v>
      </c>
      <c r="P15" s="20" t="str">
        <f aca="false">IF(J15&gt;0,IF(J15&lt;5000,"PASS","FLAG - Review Price"),"FAIL - Zero Price")</f>
        <v>PASS</v>
      </c>
      <c r="Q15" s="20" t="str">
        <f aca="false">IF('Raw Catalog'!P13&lt;&gt;"","PASS","FAIL - No Image")</f>
        <v>PASS</v>
      </c>
      <c r="R15" s="20" t="str">
        <f aca="false">IF(F15&lt;&gt;"","PASS","FAIL - No Brand")</f>
        <v>PASS</v>
      </c>
      <c r="S15" s="20" t="str">
        <f aca="true">IF(K15="","FAIL - No Date",IF(TODAY()-DATEVALUE(K15)&lt;=180,"PASS","FLAG - Stale &gt;180d"))</f>
        <v>FLAG - Stale &gt;180d</v>
      </c>
      <c r="T15" s="20" t="n">
        <f aca="false">COUNTIF(M15:S15,"FAIL*")+COUNTIF(M15:S15,"FLAG*")</f>
        <v>1</v>
      </c>
      <c r="U15" s="20" t="str">
        <f aca="false">IF(T15=0,"CLEAN",IF(T15=1,"MINOR",IF(T15&lt;=3,"MODERATE","CRITICAL")))</f>
        <v>MINOR</v>
      </c>
      <c r="V15" s="20" t="str">
        <f aca="false">IF(U15="CLEAN","None",IF(U15="MINOR","Seller Notify",IF(U15="MODERATE","Listing Suspended","Immediate Removal")))</f>
        <v>Seller Notify</v>
      </c>
    </row>
    <row r="16" customFormat="false" ht="18" hidden="false" customHeight="true" outlineLevel="0" collapsed="false">
      <c r="A16" s="19" t="s">
        <v>6096</v>
      </c>
      <c r="B16" s="19" t="s">
        <v>195</v>
      </c>
      <c r="C16" s="19" t="s">
        <v>63</v>
      </c>
      <c r="D16" s="19" t="s">
        <v>64</v>
      </c>
      <c r="E16" s="19" t="s">
        <v>79</v>
      </c>
      <c r="F16" s="19" t="s">
        <v>196</v>
      </c>
      <c r="G16" s="19" t="s">
        <v>199</v>
      </c>
      <c r="H16" s="19" t="s">
        <v>200</v>
      </c>
      <c r="I16" s="19" t="s">
        <v>201</v>
      </c>
      <c r="J16" s="19" t="n">
        <v>2396.23</v>
      </c>
      <c r="K16" s="19" t="s">
        <v>205</v>
      </c>
      <c r="L16" s="19"/>
      <c r="M16" s="20" t="str">
        <f aca="false">IF(G16&lt;&gt;"","PASS","FAIL - Missing UPC")</f>
        <v>PASS</v>
      </c>
      <c r="N16" s="20" t="str">
        <f aca="false">IF(AND(G16&lt;&gt;"",H16&lt;&gt;""),IF("0"&amp;G16=H16,"PASS","FAIL - GTIN Mismatch"),"SKIP")</f>
        <v>PASS</v>
      </c>
      <c r="O16" s="20" t="str">
        <f aca="false">IF(I16="","FAIL - No Title",IF(LEN(I16)&lt;=126,"PASS","FAIL - Title &gt;"&amp;126&amp;" chars"))</f>
        <v>PASS</v>
      </c>
      <c r="P16" s="20" t="str">
        <f aca="false">IF(J16&gt;0,IF(J16&lt;5000,"PASS","FLAG - Review Price"),"FAIL - Zero Price")</f>
        <v>PASS</v>
      </c>
      <c r="Q16" s="20" t="str">
        <f aca="false">IF('Raw Catalog'!P14&lt;&gt;"","PASS","FAIL - No Image")</f>
        <v>PASS</v>
      </c>
      <c r="R16" s="20" t="str">
        <f aca="false">IF(F16&lt;&gt;"","PASS","FAIL - No Brand")</f>
        <v>PASS</v>
      </c>
      <c r="S16" s="20" t="str">
        <f aca="true">IF(K16="","FAIL - No Date",IF(TODAY()-DATEVALUE(K16)&lt;=180,"PASS","FLAG - Stale &gt;180d"))</f>
        <v>FLAG - Stale &gt;180d</v>
      </c>
      <c r="T16" s="20" t="n">
        <f aca="false">COUNTIF(M16:S16,"FAIL*")+COUNTIF(M16:S16,"FLAG*")</f>
        <v>1</v>
      </c>
      <c r="U16" s="20" t="str">
        <f aca="false">IF(T16=0,"CLEAN",IF(T16=1,"MINOR",IF(T16&lt;=3,"MODERATE","CRITICAL")))</f>
        <v>MINOR</v>
      </c>
      <c r="V16" s="20" t="str">
        <f aca="false">IF(U16="CLEAN","None",IF(U16="MINOR","Seller Notify",IF(U16="MODERATE","Listing Suspended","Immediate Removal")))</f>
        <v>Seller Notify</v>
      </c>
    </row>
    <row r="17" customFormat="false" ht="18" hidden="false" customHeight="true" outlineLevel="0" collapsed="false">
      <c r="A17" s="19" t="s">
        <v>6097</v>
      </c>
      <c r="B17" s="19" t="s">
        <v>206</v>
      </c>
      <c r="C17" s="19" t="s">
        <v>48</v>
      </c>
      <c r="D17" s="19" t="s">
        <v>49</v>
      </c>
      <c r="E17" s="19" t="s">
        <v>161</v>
      </c>
      <c r="F17" s="19" t="s">
        <v>51</v>
      </c>
      <c r="G17" s="19" t="s">
        <v>209</v>
      </c>
      <c r="H17" s="19" t="s">
        <v>210</v>
      </c>
      <c r="I17" s="19" t="s">
        <v>211</v>
      </c>
      <c r="J17" s="19" t="n">
        <v>169.37</v>
      </c>
      <c r="K17" s="19" t="s">
        <v>215</v>
      </c>
      <c r="L17" s="19"/>
      <c r="M17" s="20" t="str">
        <f aca="false">IF(G17&lt;&gt;"","PASS","FAIL - Missing UPC")</f>
        <v>PASS</v>
      </c>
      <c r="N17" s="20" t="str">
        <f aca="false">IF(AND(G17&lt;&gt;"",H17&lt;&gt;""),IF("0"&amp;G17=H17,"PASS","FAIL - GTIN Mismatch"),"SKIP")</f>
        <v>PASS</v>
      </c>
      <c r="O17" s="20" t="str">
        <f aca="false">IF(I17="","FAIL - No Title",IF(LEN(I17)&lt;=126,"PASS","FAIL - Title &gt;"&amp;126&amp;" chars"))</f>
        <v>PASS</v>
      </c>
      <c r="P17" s="20" t="str">
        <f aca="false">IF(J17&gt;0,IF(J17&lt;5000,"PASS","FLAG - Review Price"),"FAIL - Zero Price")</f>
        <v>PASS</v>
      </c>
      <c r="Q17" s="20" t="str">
        <f aca="false">IF('Raw Catalog'!P15&lt;&gt;"","PASS","FAIL - No Image")</f>
        <v>PASS</v>
      </c>
      <c r="R17" s="20" t="str">
        <f aca="false">IF(F17&lt;&gt;"","PASS","FAIL - No Brand")</f>
        <v>PASS</v>
      </c>
      <c r="S17" s="20" t="str">
        <f aca="true">IF(K17="","FAIL - No Date",IF(TODAY()-DATEVALUE(K17)&lt;=180,"PASS","FLAG - Stale &gt;180d"))</f>
        <v>FLAG - Stale &gt;180d</v>
      </c>
      <c r="T17" s="20" t="n">
        <f aca="false">COUNTIF(M17:S17,"FAIL*")+COUNTIF(M17:S17,"FLAG*")</f>
        <v>1</v>
      </c>
      <c r="U17" s="20" t="str">
        <f aca="false">IF(T17=0,"CLEAN",IF(T17=1,"MINOR",IF(T17&lt;=3,"MODERATE","CRITICAL")))</f>
        <v>MINOR</v>
      </c>
      <c r="V17" s="20" t="str">
        <f aca="false">IF(U17="CLEAN","None",IF(U17="MINOR","Seller Notify",IF(U17="MODERATE","Listing Suspended","Immediate Removal")))</f>
        <v>Seller Notify</v>
      </c>
    </row>
    <row r="18" customFormat="false" ht="18" hidden="false" customHeight="true" outlineLevel="0" collapsed="false">
      <c r="A18" s="19" t="s">
        <v>6098</v>
      </c>
      <c r="B18" s="19" t="s">
        <v>216</v>
      </c>
      <c r="C18" s="19" t="s">
        <v>48</v>
      </c>
      <c r="D18" s="19" t="s">
        <v>49</v>
      </c>
      <c r="E18" s="19" t="s">
        <v>50</v>
      </c>
      <c r="F18" s="19" t="s">
        <v>127</v>
      </c>
      <c r="G18" s="19" t="s">
        <v>219</v>
      </c>
      <c r="H18" s="19" t="s">
        <v>220</v>
      </c>
      <c r="I18" s="19" t="s">
        <v>221</v>
      </c>
      <c r="J18" s="19" t="n">
        <v>253.91</v>
      </c>
      <c r="K18" s="19" t="s">
        <v>225</v>
      </c>
      <c r="L18" s="19"/>
      <c r="M18" s="20" t="str">
        <f aca="false">IF(G18&lt;&gt;"","PASS","FAIL - Missing UPC")</f>
        <v>PASS</v>
      </c>
      <c r="N18" s="20" t="str">
        <f aca="false">IF(AND(G18&lt;&gt;"",H18&lt;&gt;""),IF("0"&amp;G18=H18,"PASS","FAIL - GTIN Mismatch"),"SKIP")</f>
        <v>PASS</v>
      </c>
      <c r="O18" s="20" t="str">
        <f aca="false">IF(I18="","FAIL - No Title",IF(LEN(I18)&lt;=126,"PASS","FAIL - Title &gt;"&amp;126&amp;" chars"))</f>
        <v>PASS</v>
      </c>
      <c r="P18" s="20" t="str">
        <f aca="false">IF(J18&gt;0,IF(J18&lt;5000,"PASS","FLAG - Review Price"),"FAIL - Zero Price")</f>
        <v>PASS</v>
      </c>
      <c r="Q18" s="20" t="str">
        <f aca="false">IF('Raw Catalog'!P16&lt;&gt;"","PASS","FAIL - No Image")</f>
        <v>PASS</v>
      </c>
      <c r="R18" s="20" t="str">
        <f aca="false">IF(F18&lt;&gt;"","PASS","FAIL - No Brand")</f>
        <v>PASS</v>
      </c>
      <c r="S18" s="20" t="str">
        <f aca="true">IF(K18="","FAIL - No Date",IF(TODAY()-DATEVALUE(K18)&lt;=180,"PASS","FLAG - Stale &gt;180d"))</f>
        <v>FLAG - Stale &gt;180d</v>
      </c>
      <c r="T18" s="20" t="n">
        <f aca="false">COUNTIF(M18:S18,"FAIL*")+COUNTIF(M18:S18,"FLAG*")</f>
        <v>1</v>
      </c>
      <c r="U18" s="20" t="str">
        <f aca="false">IF(T18=0,"CLEAN",IF(T18=1,"MINOR",IF(T18&lt;=3,"MODERATE","CRITICAL")))</f>
        <v>MINOR</v>
      </c>
      <c r="V18" s="20" t="str">
        <f aca="false">IF(U18="CLEAN","None",IF(U18="MINOR","Seller Notify",IF(U18="MODERATE","Listing Suspended","Immediate Removal")))</f>
        <v>Seller Notify</v>
      </c>
    </row>
    <row r="19" customFormat="false" ht="18" hidden="false" customHeight="true" outlineLevel="0" collapsed="false">
      <c r="A19" s="19" t="s">
        <v>6099</v>
      </c>
      <c r="B19" s="19" t="s">
        <v>226</v>
      </c>
      <c r="C19" s="19" t="s">
        <v>159</v>
      </c>
      <c r="D19" s="19" t="s">
        <v>160</v>
      </c>
      <c r="E19" s="19" t="s">
        <v>65</v>
      </c>
      <c r="F19" s="19" t="s">
        <v>227</v>
      </c>
      <c r="G19" s="19" t="s">
        <v>229</v>
      </c>
      <c r="H19" s="19" t="s">
        <v>230</v>
      </c>
      <c r="I19" s="19" t="s">
        <v>231</v>
      </c>
      <c r="J19" s="19" t="n">
        <v>289.81</v>
      </c>
      <c r="K19" s="19" t="s">
        <v>235</v>
      </c>
      <c r="L19" s="19"/>
      <c r="M19" s="20" t="str">
        <f aca="false">IF(G19&lt;&gt;"","PASS","FAIL - Missing UPC")</f>
        <v>PASS</v>
      </c>
      <c r="N19" s="20" t="str">
        <f aca="false">IF(AND(G19&lt;&gt;"",H19&lt;&gt;""),IF("0"&amp;G19=H19,"PASS","FAIL - GTIN Mismatch"),"SKIP")</f>
        <v>PASS</v>
      </c>
      <c r="O19" s="20" t="str">
        <f aca="false">IF(I19="","FAIL - No Title",IF(LEN(I19)&lt;=126,"PASS","FAIL - Title &gt;"&amp;126&amp;" chars"))</f>
        <v>PASS</v>
      </c>
      <c r="P19" s="20" t="str">
        <f aca="false">IF(J19&gt;0,IF(J19&lt;5000,"PASS","FLAG - Review Price"),"FAIL - Zero Price")</f>
        <v>PASS</v>
      </c>
      <c r="Q19" s="20" t="str">
        <f aca="false">IF('Raw Catalog'!P17&lt;&gt;"","PASS","FAIL - No Image")</f>
        <v>PASS</v>
      </c>
      <c r="R19" s="20" t="str">
        <f aca="false">IF(F19&lt;&gt;"","PASS","FAIL - No Brand")</f>
        <v>PASS</v>
      </c>
      <c r="S19" s="20" t="str">
        <f aca="true">IF(K19="","FAIL - No Date",IF(TODAY()-DATEVALUE(K19)&lt;=180,"PASS","FLAG - Stale &gt;180d"))</f>
        <v>FLAG - Stale &gt;180d</v>
      </c>
      <c r="T19" s="20" t="n">
        <f aca="false">COUNTIF(M19:S19,"FAIL*")+COUNTIF(M19:S19,"FLAG*")</f>
        <v>1</v>
      </c>
      <c r="U19" s="20" t="str">
        <f aca="false">IF(T19=0,"CLEAN",IF(T19=1,"MINOR",IF(T19&lt;=3,"MODERATE","CRITICAL")))</f>
        <v>MINOR</v>
      </c>
      <c r="V19" s="20" t="str">
        <f aca="false">IF(U19="CLEAN","None",IF(U19="MINOR","Seller Notify",IF(U19="MODERATE","Listing Suspended","Immediate Removal")))</f>
        <v>Seller Notify</v>
      </c>
    </row>
    <row r="20" customFormat="false" ht="18" hidden="false" customHeight="true" outlineLevel="0" collapsed="false">
      <c r="A20" s="19" t="s">
        <v>6100</v>
      </c>
      <c r="B20" s="19" t="s">
        <v>236</v>
      </c>
      <c r="C20" s="19" t="s">
        <v>159</v>
      </c>
      <c r="D20" s="19" t="s">
        <v>160</v>
      </c>
      <c r="E20" s="19" t="s">
        <v>50</v>
      </c>
      <c r="F20" s="19" t="s">
        <v>127</v>
      </c>
      <c r="G20" s="19" t="s">
        <v>238</v>
      </c>
      <c r="H20" s="19" t="s">
        <v>239</v>
      </c>
      <c r="I20" s="19" t="s">
        <v>240</v>
      </c>
      <c r="J20" s="19" t="n">
        <v>348.05</v>
      </c>
      <c r="K20" s="19" t="s">
        <v>242</v>
      </c>
      <c r="L20" s="21" t="s">
        <v>243</v>
      </c>
      <c r="M20" s="20" t="str">
        <f aca="false">IF(G20&lt;&gt;"","PASS","FAIL - Missing UPC")</f>
        <v>PASS</v>
      </c>
      <c r="N20" s="20" t="str">
        <f aca="false">IF(AND(G20&lt;&gt;"",H20&lt;&gt;""),IF("0"&amp;G20=H20,"PASS","FAIL - GTIN Mismatch"),"SKIP")</f>
        <v>FAIL - GTIN Mismatch</v>
      </c>
      <c r="O20" s="20" t="str">
        <f aca="false">IF(I20="","FAIL - No Title",IF(LEN(I20)&lt;=126,"PASS","FAIL - Title &gt;"&amp;126&amp;" chars"))</f>
        <v>PASS</v>
      </c>
      <c r="P20" s="20" t="str">
        <f aca="false">IF(J20&gt;0,IF(J20&lt;5000,"PASS","FLAG - Review Price"),"FAIL - Zero Price")</f>
        <v>PASS</v>
      </c>
      <c r="Q20" s="20" t="str">
        <f aca="false">IF('Raw Catalog'!P18&lt;&gt;"","PASS","FAIL - No Image")</f>
        <v>PASS</v>
      </c>
      <c r="R20" s="20" t="str">
        <f aca="false">IF(F20&lt;&gt;"","PASS","FAIL - No Brand")</f>
        <v>PASS</v>
      </c>
      <c r="S20" s="20" t="str">
        <f aca="true">IF(K20="","FAIL - No Date",IF(TODAY()-DATEVALUE(K20)&lt;=180,"PASS","FLAG - Stale &gt;180d"))</f>
        <v>FLAG - Stale &gt;180d</v>
      </c>
      <c r="T20" s="20" t="n">
        <f aca="false">COUNTIF(M20:S20,"FAIL*")+COUNTIF(M20:S20,"FLAG*")</f>
        <v>2</v>
      </c>
      <c r="U20" s="20" t="str">
        <f aca="false">IF(T20=0,"CLEAN",IF(T20=1,"MINOR",IF(T20&lt;=3,"MODERATE","CRITICAL")))</f>
        <v>MODERATE</v>
      </c>
      <c r="V20" s="20" t="str">
        <f aca="false">IF(U20="CLEAN","None",IF(U20="MINOR","Seller Notify",IF(U20="MODERATE","Listing Suspended","Immediate Removal")))</f>
        <v>Listing Suspended</v>
      </c>
    </row>
    <row r="21" customFormat="false" ht="18" hidden="false" customHeight="true" outlineLevel="0" collapsed="false">
      <c r="A21" s="19" t="s">
        <v>6101</v>
      </c>
      <c r="B21" s="19" t="s">
        <v>244</v>
      </c>
      <c r="C21" s="19" t="s">
        <v>113</v>
      </c>
      <c r="D21" s="19" t="s">
        <v>114</v>
      </c>
      <c r="E21" s="19" t="s">
        <v>65</v>
      </c>
      <c r="F21" s="19" t="s">
        <v>245</v>
      </c>
      <c r="G21" s="19" t="s">
        <v>247</v>
      </c>
      <c r="H21" s="19" t="s">
        <v>248</v>
      </c>
      <c r="I21" s="19" t="s">
        <v>249</v>
      </c>
      <c r="J21" s="19" t="n">
        <v>492.05</v>
      </c>
      <c r="K21" s="19" t="s">
        <v>253</v>
      </c>
      <c r="L21" s="19"/>
      <c r="M21" s="20" t="str">
        <f aca="false">IF(G21&lt;&gt;"","PASS","FAIL - Missing UPC")</f>
        <v>PASS</v>
      </c>
      <c r="N21" s="20" t="str">
        <f aca="false">IF(AND(G21&lt;&gt;"",H21&lt;&gt;""),IF("0"&amp;G21=H21,"PASS","FAIL - GTIN Mismatch"),"SKIP")</f>
        <v>PASS</v>
      </c>
      <c r="O21" s="20" t="str">
        <f aca="false">IF(I21="","FAIL - No Title",IF(LEN(I21)&lt;=126,"PASS","FAIL - Title &gt;"&amp;126&amp;" chars"))</f>
        <v>PASS</v>
      </c>
      <c r="P21" s="20" t="str">
        <f aca="false">IF(J21&gt;0,IF(J21&lt;5000,"PASS","FLAG - Review Price"),"FAIL - Zero Price")</f>
        <v>PASS</v>
      </c>
      <c r="Q21" s="20" t="str">
        <f aca="false">IF('Raw Catalog'!P19&lt;&gt;"","PASS","FAIL - No Image")</f>
        <v>PASS</v>
      </c>
      <c r="R21" s="20" t="str">
        <f aca="false">IF(F21&lt;&gt;"","PASS","FAIL - No Brand")</f>
        <v>PASS</v>
      </c>
      <c r="S21" s="20" t="str">
        <f aca="true">IF(K21="","FAIL - No Date",IF(TODAY()-DATEVALUE(K21)&lt;=180,"PASS","FLAG - Stale &gt;180d"))</f>
        <v>FLAG - Stale &gt;180d</v>
      </c>
      <c r="T21" s="20" t="n">
        <f aca="false">COUNTIF(M21:S21,"FAIL*")+COUNTIF(M21:S21,"FLAG*")</f>
        <v>1</v>
      </c>
      <c r="U21" s="20" t="str">
        <f aca="false">IF(T21=0,"CLEAN",IF(T21=1,"MINOR",IF(T21&lt;=3,"MODERATE","CRITICAL")))</f>
        <v>MINOR</v>
      </c>
      <c r="V21" s="20" t="str">
        <f aca="false">IF(U21="CLEAN","None",IF(U21="MINOR","Seller Notify",IF(U21="MODERATE","Listing Suspended","Immediate Removal")))</f>
        <v>Seller Notify</v>
      </c>
    </row>
    <row r="22" customFormat="false" ht="18" hidden="false" customHeight="true" outlineLevel="0" collapsed="false">
      <c r="A22" s="19" t="s">
        <v>15</v>
      </c>
      <c r="B22" s="19" t="s">
        <v>254</v>
      </c>
      <c r="C22" s="19" t="s">
        <v>255</v>
      </c>
      <c r="D22" s="19" t="s">
        <v>256</v>
      </c>
      <c r="E22" s="19" t="s">
        <v>161</v>
      </c>
      <c r="F22" s="19" t="s">
        <v>162</v>
      </c>
      <c r="G22" s="19" t="s">
        <v>259</v>
      </c>
      <c r="H22" s="19" t="s">
        <v>260</v>
      </c>
      <c r="I22" s="19" t="s">
        <v>261</v>
      </c>
      <c r="J22" s="19" t="n">
        <v>515.19</v>
      </c>
      <c r="K22" s="19" t="s">
        <v>265</v>
      </c>
      <c r="L22" s="19"/>
      <c r="M22" s="20" t="str">
        <f aca="false">IF(G22&lt;&gt;"","PASS","FAIL - Missing UPC")</f>
        <v>PASS</v>
      </c>
      <c r="N22" s="20" t="str">
        <f aca="false">IF(AND(G22&lt;&gt;"",H22&lt;&gt;""),IF("0"&amp;G22=H22,"PASS","FAIL - GTIN Mismatch"),"SKIP")</f>
        <v>PASS</v>
      </c>
      <c r="O22" s="20" t="str">
        <f aca="false">IF(I22="","FAIL - No Title",IF(LEN(I22)&lt;=126,"PASS","FAIL - Title &gt;"&amp;126&amp;" chars"))</f>
        <v>PASS</v>
      </c>
      <c r="P22" s="20" t="str">
        <f aca="false">IF(J22&gt;0,IF(J22&lt;5000,"PASS","FLAG - Review Price"),"FAIL - Zero Price")</f>
        <v>PASS</v>
      </c>
      <c r="Q22" s="20" t="str">
        <f aca="false">IF('Raw Catalog'!P20&lt;&gt;"","PASS","FAIL - No Image")</f>
        <v>PASS</v>
      </c>
      <c r="R22" s="20" t="str">
        <f aca="false">IF(F22&lt;&gt;"","PASS","FAIL - No Brand")</f>
        <v>PASS</v>
      </c>
      <c r="S22" s="20" t="str">
        <f aca="true">IF(K22="","FAIL - No Date",IF(TODAY()-DATEVALUE(K22)&lt;=180,"PASS","FLAG - Stale &gt;180d"))</f>
        <v>FLAG - Stale &gt;180d</v>
      </c>
      <c r="T22" s="20" t="n">
        <f aca="false">COUNTIF(M22:S22,"FAIL*")+COUNTIF(M22:S22,"FLAG*")</f>
        <v>1</v>
      </c>
      <c r="U22" s="20" t="str">
        <f aca="false">IF(T22=0,"CLEAN",IF(T22=1,"MINOR",IF(T22&lt;=3,"MODERATE","CRITICAL")))</f>
        <v>MINOR</v>
      </c>
      <c r="V22" s="20" t="str">
        <f aca="false">IF(U22="CLEAN","None",IF(U22="MINOR","Seller Notify",IF(U22="MODERATE","Listing Suspended","Immediate Removal")))</f>
        <v>Seller Notify</v>
      </c>
    </row>
    <row r="23" customFormat="false" ht="18" hidden="false" customHeight="true" outlineLevel="0" collapsed="false">
      <c r="A23" s="19" t="s">
        <v>6102</v>
      </c>
      <c r="B23" s="19" t="s">
        <v>266</v>
      </c>
      <c r="C23" s="19" t="s">
        <v>48</v>
      </c>
      <c r="D23" s="19" t="s">
        <v>49</v>
      </c>
      <c r="E23" s="19" t="s">
        <v>50</v>
      </c>
      <c r="F23" s="19" t="s">
        <v>51</v>
      </c>
      <c r="G23" s="19"/>
      <c r="H23" s="19" t="s">
        <v>268</v>
      </c>
      <c r="I23" s="19" t="s">
        <v>269</v>
      </c>
      <c r="J23" s="19" t="n">
        <v>924.13</v>
      </c>
      <c r="K23" s="19" t="s">
        <v>271</v>
      </c>
      <c r="L23" s="21" t="s">
        <v>272</v>
      </c>
      <c r="M23" s="20" t="str">
        <f aca="false">IF(G23&lt;&gt;"","PASS","FAIL - Missing UPC")</f>
        <v>FAIL - Missing UPC</v>
      </c>
      <c r="N23" s="20" t="str">
        <f aca="false">IF(AND(G23&lt;&gt;"",H23&lt;&gt;""),IF("0"&amp;G23=H23,"PASS","FAIL - GTIN Mismatch"),"SKIP")</f>
        <v>SKIP</v>
      </c>
      <c r="O23" s="20" t="str">
        <f aca="false">IF(I23="","FAIL - No Title",IF(LEN(I23)&lt;=126,"PASS","FAIL - Title &gt;"&amp;126&amp;" chars"))</f>
        <v>PASS</v>
      </c>
      <c r="P23" s="20" t="str">
        <f aca="false">IF(J23&gt;0,IF(J23&lt;5000,"PASS","FLAG - Review Price"),"FAIL - Zero Price")</f>
        <v>PASS</v>
      </c>
      <c r="Q23" s="20" t="str">
        <f aca="false">IF('Raw Catalog'!P21&lt;&gt;"","PASS","FAIL - No Image")</f>
        <v>PASS</v>
      </c>
      <c r="R23" s="20" t="str">
        <f aca="false">IF(F23&lt;&gt;"","PASS","FAIL - No Brand")</f>
        <v>PASS</v>
      </c>
      <c r="S23" s="20" t="str">
        <f aca="true">IF(K23="","FAIL - No Date",IF(TODAY()-DATEVALUE(K23)&lt;=180,"PASS","FLAG - Stale &gt;180d"))</f>
        <v>FLAG - Stale &gt;180d</v>
      </c>
      <c r="T23" s="20" t="n">
        <f aca="false">COUNTIF(M23:S23,"FAIL*")+COUNTIF(M23:S23,"FLAG*")</f>
        <v>2</v>
      </c>
      <c r="U23" s="20" t="str">
        <f aca="false">IF(T23=0,"CLEAN",IF(T23=1,"MINOR",IF(T23&lt;=3,"MODERATE","CRITICAL")))</f>
        <v>MODERATE</v>
      </c>
      <c r="V23" s="20" t="str">
        <f aca="false">IF(U23="CLEAN","None",IF(U23="MINOR","Seller Notify",IF(U23="MODERATE","Listing Suspended","Immediate Removal")))</f>
        <v>Listing Suspended</v>
      </c>
    </row>
    <row r="24" customFormat="false" ht="18" hidden="false" customHeight="true" outlineLevel="0" collapsed="false">
      <c r="A24" s="19" t="s">
        <v>6103</v>
      </c>
      <c r="B24" s="19" t="s">
        <v>273</v>
      </c>
      <c r="C24" s="19" t="s">
        <v>113</v>
      </c>
      <c r="D24" s="19" t="s">
        <v>114</v>
      </c>
      <c r="E24" s="19" t="s">
        <v>65</v>
      </c>
      <c r="F24" s="19" t="s">
        <v>227</v>
      </c>
      <c r="G24" s="19" t="s">
        <v>276</v>
      </c>
      <c r="H24" s="19" t="s">
        <v>277</v>
      </c>
      <c r="I24" s="19" t="s">
        <v>278</v>
      </c>
      <c r="J24" s="19" t="n">
        <v>48.28</v>
      </c>
      <c r="K24" s="19" t="s">
        <v>282</v>
      </c>
      <c r="L24" s="21" t="s">
        <v>283</v>
      </c>
      <c r="M24" s="20" t="str">
        <f aca="false">IF(G24&lt;&gt;"","PASS","FAIL - Missing UPC")</f>
        <v>PASS</v>
      </c>
      <c r="N24" s="20" t="str">
        <f aca="false">IF(AND(G24&lt;&gt;"",H24&lt;&gt;""),IF("0"&amp;G24=H24,"PASS","FAIL - GTIN Mismatch"),"SKIP")</f>
        <v>PASS</v>
      </c>
      <c r="O24" s="20" t="str">
        <f aca="false">IF(I24="","FAIL - No Title",IF(LEN(I24)&lt;=126,"PASS","FAIL - Title &gt;"&amp;126&amp;" chars"))</f>
        <v>PASS</v>
      </c>
      <c r="P24" s="20" t="str">
        <f aca="false">IF(J24&gt;0,IF(J24&lt;5000,"PASS","FLAG - Review Price"),"FAIL - Zero Price")</f>
        <v>PASS</v>
      </c>
      <c r="Q24" s="20" t="str">
        <f aca="false">IF('Raw Catalog'!P22&lt;&gt;"","PASS","FAIL - No Image")</f>
        <v>PASS</v>
      </c>
      <c r="R24" s="20" t="str">
        <f aca="false">IF(F24&lt;&gt;"","PASS","FAIL - No Brand")</f>
        <v>PASS</v>
      </c>
      <c r="S24" s="20" t="str">
        <f aca="true">IF(K24="","FAIL - No Date",IF(TODAY()-DATEVALUE(K24)&lt;=180,"PASS","FLAG - Stale &gt;180d"))</f>
        <v>FLAG - Stale &gt;180d</v>
      </c>
      <c r="T24" s="20" t="n">
        <f aca="false">COUNTIF(M24:S24,"FAIL*")+COUNTIF(M24:S24,"FLAG*")</f>
        <v>1</v>
      </c>
      <c r="U24" s="20" t="str">
        <f aca="false">IF(T24=0,"CLEAN",IF(T24=1,"MINOR",IF(T24&lt;=3,"MODERATE","CRITICAL")))</f>
        <v>MINOR</v>
      </c>
      <c r="V24" s="20" t="str">
        <f aca="false">IF(U24="CLEAN","None",IF(U24="MINOR","Seller Notify",IF(U24="MODERATE","Listing Suspended","Immediate Removal")))</f>
        <v>Seller Notify</v>
      </c>
    </row>
    <row r="25" customFormat="false" ht="18" hidden="false" customHeight="true" outlineLevel="0" collapsed="false">
      <c r="A25" s="19" t="s">
        <v>6104</v>
      </c>
      <c r="B25" s="19" t="s">
        <v>284</v>
      </c>
      <c r="C25" s="19" t="s">
        <v>113</v>
      </c>
      <c r="D25" s="19" t="s">
        <v>114</v>
      </c>
      <c r="E25" s="19" t="s">
        <v>161</v>
      </c>
      <c r="F25" s="19" t="s">
        <v>51</v>
      </c>
      <c r="G25" s="19" t="s">
        <v>287</v>
      </c>
      <c r="H25" s="19" t="s">
        <v>288</v>
      </c>
      <c r="I25" s="19" t="s">
        <v>289</v>
      </c>
      <c r="J25" s="19" t="n">
        <v>145.08</v>
      </c>
      <c r="K25" s="19" t="s">
        <v>293</v>
      </c>
      <c r="L25" s="19"/>
      <c r="M25" s="20" t="str">
        <f aca="false">IF(G25&lt;&gt;"","PASS","FAIL - Missing UPC")</f>
        <v>PASS</v>
      </c>
      <c r="N25" s="20" t="str">
        <f aca="false">IF(AND(G25&lt;&gt;"",H25&lt;&gt;""),IF("0"&amp;G25=H25,"PASS","FAIL - GTIN Mismatch"),"SKIP")</f>
        <v>PASS</v>
      </c>
      <c r="O25" s="20" t="str">
        <f aca="false">IF(I25="","FAIL - No Title",IF(LEN(I25)&lt;=126,"PASS","FAIL - Title &gt;"&amp;126&amp;" chars"))</f>
        <v>PASS</v>
      </c>
      <c r="P25" s="20" t="str">
        <f aca="false">IF(J25&gt;0,IF(J25&lt;5000,"PASS","FLAG - Review Price"),"FAIL - Zero Price")</f>
        <v>PASS</v>
      </c>
      <c r="Q25" s="20" t="str">
        <f aca="false">IF('Raw Catalog'!P23&lt;&gt;"","PASS","FAIL - No Image")</f>
        <v>PASS</v>
      </c>
      <c r="R25" s="20" t="str">
        <f aca="false">IF(F25&lt;&gt;"","PASS","FAIL - No Brand")</f>
        <v>PASS</v>
      </c>
      <c r="S25" s="20" t="str">
        <f aca="true">IF(K25="","FAIL - No Date",IF(TODAY()-DATEVALUE(K25)&lt;=180,"PASS","FLAG - Stale &gt;180d"))</f>
        <v>FLAG - Stale &gt;180d</v>
      </c>
      <c r="T25" s="20" t="n">
        <f aca="false">COUNTIF(M25:S25,"FAIL*")+COUNTIF(M25:S25,"FLAG*")</f>
        <v>1</v>
      </c>
      <c r="U25" s="20" t="str">
        <f aca="false">IF(T25=0,"CLEAN",IF(T25=1,"MINOR",IF(T25&lt;=3,"MODERATE","CRITICAL")))</f>
        <v>MINOR</v>
      </c>
      <c r="V25" s="20" t="str">
        <f aca="false">IF(U25="CLEAN","None",IF(U25="MINOR","Seller Notify",IF(U25="MODERATE","Listing Suspended","Immediate Removal")))</f>
        <v>Seller Notify</v>
      </c>
    </row>
    <row r="26" customFormat="false" ht="18" hidden="false" customHeight="true" outlineLevel="0" collapsed="false">
      <c r="A26" s="19" t="s">
        <v>6105</v>
      </c>
      <c r="B26" s="19" t="s">
        <v>294</v>
      </c>
      <c r="C26" s="19" t="s">
        <v>125</v>
      </c>
      <c r="D26" s="19" t="s">
        <v>126</v>
      </c>
      <c r="E26" s="19" t="s">
        <v>161</v>
      </c>
      <c r="F26" s="19" t="s">
        <v>295</v>
      </c>
      <c r="G26" s="19" t="s">
        <v>298</v>
      </c>
      <c r="H26" s="19" t="s">
        <v>299</v>
      </c>
      <c r="I26" s="19" t="s">
        <v>300</v>
      </c>
      <c r="J26" s="19" t="n">
        <v>320.12</v>
      </c>
      <c r="K26" s="19" t="s">
        <v>304</v>
      </c>
      <c r="L26" s="19"/>
      <c r="M26" s="20" t="str">
        <f aca="false">IF(G26&lt;&gt;"","PASS","FAIL - Missing UPC")</f>
        <v>PASS</v>
      </c>
      <c r="N26" s="20" t="str">
        <f aca="false">IF(AND(G26&lt;&gt;"",H26&lt;&gt;""),IF("0"&amp;G26=H26,"PASS","FAIL - GTIN Mismatch"),"SKIP")</f>
        <v>PASS</v>
      </c>
      <c r="O26" s="20" t="str">
        <f aca="false">IF(I26="","FAIL - No Title",IF(LEN(I26)&lt;=126,"PASS","FAIL - Title &gt;"&amp;126&amp;" chars"))</f>
        <v>PASS</v>
      </c>
      <c r="P26" s="20" t="str">
        <f aca="false">IF(J26&gt;0,IF(J26&lt;5000,"PASS","FLAG - Review Price"),"FAIL - Zero Price")</f>
        <v>PASS</v>
      </c>
      <c r="Q26" s="20" t="str">
        <f aca="false">IF('Raw Catalog'!P24&lt;&gt;"","PASS","FAIL - No Image")</f>
        <v>PASS</v>
      </c>
      <c r="R26" s="20" t="str">
        <f aca="false">IF(F26&lt;&gt;"","PASS","FAIL - No Brand")</f>
        <v>PASS</v>
      </c>
      <c r="S26" s="20" t="str">
        <f aca="true">IF(K26="","FAIL - No Date",IF(TODAY()-DATEVALUE(K26)&lt;=180,"PASS","FLAG - Stale &gt;180d"))</f>
        <v>FLAG - Stale &gt;180d</v>
      </c>
      <c r="T26" s="20" t="n">
        <f aca="false">COUNTIF(M26:S26,"FAIL*")+COUNTIF(M26:S26,"FLAG*")</f>
        <v>1</v>
      </c>
      <c r="U26" s="20" t="str">
        <f aca="false">IF(T26=0,"CLEAN",IF(T26=1,"MINOR",IF(T26&lt;=3,"MODERATE","CRITICAL")))</f>
        <v>MINOR</v>
      </c>
      <c r="V26" s="20" t="str">
        <f aca="false">IF(U26="CLEAN","None",IF(U26="MINOR","Seller Notify",IF(U26="MODERATE","Listing Suspended","Immediate Removal")))</f>
        <v>Seller Notify</v>
      </c>
    </row>
    <row r="27" customFormat="false" ht="18" hidden="false" customHeight="true" outlineLevel="0" collapsed="false">
      <c r="A27" s="19" t="s">
        <v>6106</v>
      </c>
      <c r="B27" s="19" t="s">
        <v>305</v>
      </c>
      <c r="C27" s="19" t="s">
        <v>125</v>
      </c>
      <c r="D27" s="19" t="s">
        <v>126</v>
      </c>
      <c r="E27" s="19" t="s">
        <v>161</v>
      </c>
      <c r="F27" s="19" t="s">
        <v>306</v>
      </c>
      <c r="G27" s="19" t="s">
        <v>308</v>
      </c>
      <c r="H27" s="19" t="s">
        <v>309</v>
      </c>
      <c r="I27" s="19" t="s">
        <v>310</v>
      </c>
      <c r="J27" s="19" t="n">
        <v>430.19</v>
      </c>
      <c r="K27" s="19" t="s">
        <v>314</v>
      </c>
      <c r="L27" s="19"/>
      <c r="M27" s="20" t="str">
        <f aca="false">IF(G27&lt;&gt;"","PASS","FAIL - Missing UPC")</f>
        <v>PASS</v>
      </c>
      <c r="N27" s="20" t="str">
        <f aca="false">IF(AND(G27&lt;&gt;"",H27&lt;&gt;""),IF("0"&amp;G27=H27,"PASS","FAIL - GTIN Mismatch"),"SKIP")</f>
        <v>PASS</v>
      </c>
      <c r="O27" s="20" t="str">
        <f aca="false">IF(I27="","FAIL - No Title",IF(LEN(I27)&lt;=126,"PASS","FAIL - Title &gt;"&amp;126&amp;" chars"))</f>
        <v>PASS</v>
      </c>
      <c r="P27" s="20" t="str">
        <f aca="false">IF(J27&gt;0,IF(J27&lt;5000,"PASS","FLAG - Review Price"),"FAIL - Zero Price")</f>
        <v>PASS</v>
      </c>
      <c r="Q27" s="20" t="str">
        <f aca="false">IF('Raw Catalog'!P25&lt;&gt;"","PASS","FAIL - No Image")</f>
        <v>PASS</v>
      </c>
      <c r="R27" s="20" t="str">
        <f aca="false">IF(F27&lt;&gt;"","PASS","FAIL - No Brand")</f>
        <v>PASS</v>
      </c>
      <c r="S27" s="20" t="str">
        <f aca="true">IF(K27="","FAIL - No Date",IF(TODAY()-DATEVALUE(K27)&lt;=180,"PASS","FLAG - Stale &gt;180d"))</f>
        <v>FLAG - Stale &gt;180d</v>
      </c>
      <c r="T27" s="20" t="n">
        <f aca="false">COUNTIF(M27:S27,"FAIL*")+COUNTIF(M27:S27,"FLAG*")</f>
        <v>1</v>
      </c>
      <c r="U27" s="20" t="str">
        <f aca="false">IF(T27=0,"CLEAN",IF(T27=1,"MINOR",IF(T27&lt;=3,"MODERATE","CRITICAL")))</f>
        <v>MINOR</v>
      </c>
      <c r="V27" s="20" t="str">
        <f aca="false">IF(U27="CLEAN","None",IF(U27="MINOR","Seller Notify",IF(U27="MODERATE","Listing Suspended","Immediate Removal")))</f>
        <v>Seller Notify</v>
      </c>
    </row>
    <row r="28" customFormat="false" ht="18" hidden="false" customHeight="true" outlineLevel="0" collapsed="false">
      <c r="A28" s="19" t="s">
        <v>6107</v>
      </c>
      <c r="B28" s="19" t="s">
        <v>315</v>
      </c>
      <c r="C28" s="19" t="s">
        <v>125</v>
      </c>
      <c r="D28" s="19" t="s">
        <v>126</v>
      </c>
      <c r="E28" s="19" t="s">
        <v>161</v>
      </c>
      <c r="F28" s="19" t="s">
        <v>306</v>
      </c>
      <c r="G28" s="19" t="s">
        <v>317</v>
      </c>
      <c r="H28" s="19" t="s">
        <v>318</v>
      </c>
      <c r="I28" s="19" t="s">
        <v>319</v>
      </c>
      <c r="J28" s="19" t="n">
        <v>164.35</v>
      </c>
      <c r="K28" s="19" t="s">
        <v>324</v>
      </c>
      <c r="L28" s="21" t="s">
        <v>325</v>
      </c>
      <c r="M28" s="20" t="str">
        <f aca="false">IF(G28&lt;&gt;"","PASS","FAIL - Missing UPC")</f>
        <v>PASS</v>
      </c>
      <c r="N28" s="20" t="str">
        <f aca="false">IF(AND(G28&lt;&gt;"",H28&lt;&gt;""),IF("0"&amp;G28=H28,"PASS","FAIL - GTIN Mismatch"),"SKIP")</f>
        <v>PASS</v>
      </c>
      <c r="O28" s="20" t="str">
        <f aca="false">IF(I28="","FAIL - No Title",IF(LEN(I28)&lt;=126,"PASS","FAIL - Title &gt;"&amp;126&amp;" chars"))</f>
        <v>PASS</v>
      </c>
      <c r="P28" s="20" t="str">
        <f aca="false">IF(J28&gt;0,IF(J28&lt;5000,"PASS","FLAG - Review Price"),"FAIL - Zero Price")</f>
        <v>PASS</v>
      </c>
      <c r="Q28" s="20" t="str">
        <f aca="false">IF('Raw Catalog'!P26&lt;&gt;"","PASS","FAIL - No Image")</f>
        <v>PASS</v>
      </c>
      <c r="R28" s="20" t="str">
        <f aca="false">IF(F28&lt;&gt;"","PASS","FAIL - No Brand")</f>
        <v>PASS</v>
      </c>
      <c r="S28" s="20" t="str">
        <f aca="true">IF(K28="","FAIL - No Date",IF(TODAY()-DATEVALUE(K28)&lt;=180,"PASS","FLAG - Stale &gt;180d"))</f>
        <v>FLAG - Stale &gt;180d</v>
      </c>
      <c r="T28" s="20" t="n">
        <f aca="false">COUNTIF(M28:S28,"FAIL*")+COUNTIF(M28:S28,"FLAG*")</f>
        <v>1</v>
      </c>
      <c r="U28" s="20" t="str">
        <f aca="false">IF(T28=0,"CLEAN",IF(T28=1,"MINOR",IF(T28&lt;=3,"MODERATE","CRITICAL")))</f>
        <v>MINOR</v>
      </c>
      <c r="V28" s="20" t="str">
        <f aca="false">IF(U28="CLEAN","None",IF(U28="MINOR","Seller Notify",IF(U28="MODERATE","Listing Suspended","Immediate Removal")))</f>
        <v>Seller Notify</v>
      </c>
    </row>
    <row r="29" customFormat="false" ht="18" hidden="false" customHeight="true" outlineLevel="0" collapsed="false">
      <c r="A29" s="19" t="s">
        <v>6108</v>
      </c>
      <c r="B29" s="19" t="s">
        <v>326</v>
      </c>
      <c r="C29" s="19" t="s">
        <v>255</v>
      </c>
      <c r="D29" s="19" t="s">
        <v>256</v>
      </c>
      <c r="E29" s="19" t="s">
        <v>91</v>
      </c>
      <c r="F29" s="19" t="s">
        <v>185</v>
      </c>
      <c r="G29" s="19" t="s">
        <v>328</v>
      </c>
      <c r="H29" s="19" t="s">
        <v>329</v>
      </c>
      <c r="I29" s="19" t="s">
        <v>330</v>
      </c>
      <c r="J29" s="19" t="n">
        <v>1945.54</v>
      </c>
      <c r="K29" s="19" t="s">
        <v>332</v>
      </c>
      <c r="L29" s="19"/>
      <c r="M29" s="20" t="str">
        <f aca="false">IF(G29&lt;&gt;"","PASS","FAIL - Missing UPC")</f>
        <v>PASS</v>
      </c>
      <c r="N29" s="20" t="str">
        <f aca="false">IF(AND(G29&lt;&gt;"",H29&lt;&gt;""),IF("0"&amp;G29=H29,"PASS","FAIL - GTIN Mismatch"),"SKIP")</f>
        <v>PASS</v>
      </c>
      <c r="O29" s="20" t="str">
        <f aca="false">IF(I29="","FAIL - No Title",IF(LEN(I29)&lt;=126,"PASS","FAIL - Title &gt;"&amp;126&amp;" chars"))</f>
        <v>PASS</v>
      </c>
      <c r="P29" s="20" t="str">
        <f aca="false">IF(J29&gt;0,IF(J29&lt;5000,"PASS","FLAG - Review Price"),"FAIL - Zero Price")</f>
        <v>PASS</v>
      </c>
      <c r="Q29" s="20" t="str">
        <f aca="false">IF('Raw Catalog'!P27&lt;&gt;"","PASS","FAIL - No Image")</f>
        <v>PASS</v>
      </c>
      <c r="R29" s="20" t="str">
        <f aca="false">IF(F29&lt;&gt;"","PASS","FAIL - No Brand")</f>
        <v>PASS</v>
      </c>
      <c r="S29" s="20" t="str">
        <f aca="true">IF(K29="","FAIL - No Date",IF(TODAY()-DATEVALUE(K29)&lt;=180,"PASS","FLAG - Stale &gt;180d"))</f>
        <v>FLAG - Stale &gt;180d</v>
      </c>
      <c r="T29" s="20" t="n">
        <f aca="false">COUNTIF(M29:S29,"FAIL*")+COUNTIF(M29:S29,"FLAG*")</f>
        <v>1</v>
      </c>
      <c r="U29" s="20" t="str">
        <f aca="false">IF(T29=0,"CLEAN",IF(T29=1,"MINOR",IF(T29&lt;=3,"MODERATE","CRITICAL")))</f>
        <v>MINOR</v>
      </c>
      <c r="V29" s="20" t="str">
        <f aca="false">IF(U29="CLEAN","None",IF(U29="MINOR","Seller Notify",IF(U29="MODERATE","Listing Suspended","Immediate Removal")))</f>
        <v>Seller Notify</v>
      </c>
    </row>
    <row r="30" customFormat="false" ht="18" hidden="false" customHeight="true" outlineLevel="0" collapsed="false">
      <c r="A30" s="19" t="s">
        <v>6109</v>
      </c>
      <c r="B30" s="19" t="s">
        <v>333</v>
      </c>
      <c r="C30" s="19" t="s">
        <v>77</v>
      </c>
      <c r="D30" s="19" t="s">
        <v>78</v>
      </c>
      <c r="E30" s="19" t="s">
        <v>161</v>
      </c>
      <c r="F30" s="19" t="s">
        <v>162</v>
      </c>
      <c r="G30" s="19" t="s">
        <v>336</v>
      </c>
      <c r="H30" s="19" t="s">
        <v>337</v>
      </c>
      <c r="I30" s="19" t="s">
        <v>338</v>
      </c>
      <c r="J30" s="19" t="n">
        <v>3839.84</v>
      </c>
      <c r="K30" s="19" t="s">
        <v>342</v>
      </c>
      <c r="L30" s="21" t="s">
        <v>343</v>
      </c>
      <c r="M30" s="20" t="str">
        <f aca="false">IF(G30&lt;&gt;"","PASS","FAIL - Missing UPC")</f>
        <v>PASS</v>
      </c>
      <c r="N30" s="20" t="str">
        <f aca="false">IF(AND(G30&lt;&gt;"",H30&lt;&gt;""),IF("0"&amp;G30=H30,"PASS","FAIL - GTIN Mismatch"),"SKIP")</f>
        <v>PASS</v>
      </c>
      <c r="O30" s="20" t="str">
        <f aca="false">IF(I30="","FAIL - No Title",IF(LEN(I30)&lt;=126,"PASS","FAIL - Title &gt;"&amp;126&amp;" chars"))</f>
        <v>PASS</v>
      </c>
      <c r="P30" s="20" t="str">
        <f aca="false">IF(J30&gt;0,IF(J30&lt;5000,"PASS","FLAG - Review Price"),"FAIL - Zero Price")</f>
        <v>PASS</v>
      </c>
      <c r="Q30" s="20" t="str">
        <f aca="false">IF('Raw Catalog'!P28&lt;&gt;"","PASS","FAIL - No Image")</f>
        <v>PASS</v>
      </c>
      <c r="R30" s="20" t="str">
        <f aca="false">IF(F30&lt;&gt;"","PASS","FAIL - No Brand")</f>
        <v>PASS</v>
      </c>
      <c r="S30" s="20" t="str">
        <f aca="true">IF(K30="","FAIL - No Date",IF(TODAY()-DATEVALUE(K30)&lt;=180,"PASS","FLAG - Stale &gt;180d"))</f>
        <v>FLAG - Stale &gt;180d</v>
      </c>
      <c r="T30" s="20" t="n">
        <f aca="false">COUNTIF(M30:S30,"FAIL*")+COUNTIF(M30:S30,"FLAG*")</f>
        <v>1</v>
      </c>
      <c r="U30" s="20" t="str">
        <f aca="false">IF(T30=0,"CLEAN",IF(T30=1,"MINOR",IF(T30&lt;=3,"MODERATE","CRITICAL")))</f>
        <v>MINOR</v>
      </c>
      <c r="V30" s="20" t="str">
        <f aca="false">IF(U30="CLEAN","None",IF(U30="MINOR","Seller Notify",IF(U30="MODERATE","Listing Suspended","Immediate Removal")))</f>
        <v>Seller Notify</v>
      </c>
    </row>
    <row r="31" customFormat="false" ht="18" hidden="false" customHeight="true" outlineLevel="0" collapsed="false">
      <c r="A31" s="19" t="s">
        <v>6110</v>
      </c>
      <c r="B31" s="19" t="s">
        <v>344</v>
      </c>
      <c r="C31" s="19" t="s">
        <v>159</v>
      </c>
      <c r="D31" s="19" t="s">
        <v>160</v>
      </c>
      <c r="E31" s="19" t="s">
        <v>161</v>
      </c>
      <c r="F31" s="19" t="s">
        <v>51</v>
      </c>
      <c r="G31" s="19" t="s">
        <v>346</v>
      </c>
      <c r="H31" s="19" t="s">
        <v>347</v>
      </c>
      <c r="I31" s="19" t="s">
        <v>348</v>
      </c>
      <c r="J31" s="19" t="n">
        <v>102.69</v>
      </c>
      <c r="K31" s="19" t="s">
        <v>350</v>
      </c>
      <c r="L31" s="19"/>
      <c r="M31" s="20" t="str">
        <f aca="false">IF(G31&lt;&gt;"","PASS","FAIL - Missing UPC")</f>
        <v>PASS</v>
      </c>
      <c r="N31" s="20" t="str">
        <f aca="false">IF(AND(G31&lt;&gt;"",H31&lt;&gt;""),IF("0"&amp;G31=H31,"PASS","FAIL - GTIN Mismatch"),"SKIP")</f>
        <v>PASS</v>
      </c>
      <c r="O31" s="20" t="str">
        <f aca="false">IF(I31="","FAIL - No Title",IF(LEN(I31)&lt;=126,"PASS","FAIL - Title &gt;"&amp;126&amp;" chars"))</f>
        <v>PASS</v>
      </c>
      <c r="P31" s="20" t="str">
        <f aca="false">IF(J31&gt;0,IF(J31&lt;5000,"PASS","FLAG - Review Price"),"FAIL - Zero Price")</f>
        <v>PASS</v>
      </c>
      <c r="Q31" s="20" t="str">
        <f aca="false">IF('Raw Catalog'!P29&lt;&gt;"","PASS","FAIL - No Image")</f>
        <v>PASS</v>
      </c>
      <c r="R31" s="20" t="str">
        <f aca="false">IF(F31&lt;&gt;"","PASS","FAIL - No Brand")</f>
        <v>PASS</v>
      </c>
      <c r="S31" s="20" t="str">
        <f aca="true">IF(K31="","FAIL - No Date",IF(TODAY()-DATEVALUE(K31)&lt;=180,"PASS","FLAG - Stale &gt;180d"))</f>
        <v>FLAG - Stale &gt;180d</v>
      </c>
      <c r="T31" s="20" t="n">
        <f aca="false">COUNTIF(M31:S31,"FAIL*")+COUNTIF(M31:S31,"FLAG*")</f>
        <v>1</v>
      </c>
      <c r="U31" s="20" t="str">
        <f aca="false">IF(T31=0,"CLEAN",IF(T31=1,"MINOR",IF(T31&lt;=3,"MODERATE","CRITICAL")))</f>
        <v>MINOR</v>
      </c>
      <c r="V31" s="20" t="str">
        <f aca="false">IF(U31="CLEAN","None",IF(U31="MINOR","Seller Notify",IF(U31="MODERATE","Listing Suspended","Immediate Removal")))</f>
        <v>Seller Notify</v>
      </c>
    </row>
    <row r="32" customFormat="false" ht="18" hidden="false" customHeight="true" outlineLevel="0" collapsed="false">
      <c r="A32" s="19" t="s">
        <v>6111</v>
      </c>
      <c r="B32" s="19" t="s">
        <v>351</v>
      </c>
      <c r="C32" s="19" t="s">
        <v>255</v>
      </c>
      <c r="D32" s="19" t="s">
        <v>256</v>
      </c>
      <c r="E32" s="19" t="s">
        <v>50</v>
      </c>
      <c r="F32" s="19" t="s">
        <v>51</v>
      </c>
      <c r="G32" s="19" t="s">
        <v>354</v>
      </c>
      <c r="H32" s="19" t="s">
        <v>355</v>
      </c>
      <c r="I32" s="19" t="s">
        <v>356</v>
      </c>
      <c r="J32" s="19" t="n">
        <v>447.47</v>
      </c>
      <c r="K32" s="19" t="s">
        <v>360</v>
      </c>
      <c r="L32" s="19"/>
      <c r="M32" s="20" t="str">
        <f aca="false">IF(G32&lt;&gt;"","PASS","FAIL - Missing UPC")</f>
        <v>PASS</v>
      </c>
      <c r="N32" s="20" t="str">
        <f aca="false">IF(AND(G32&lt;&gt;"",H32&lt;&gt;""),IF("0"&amp;G32=H32,"PASS","FAIL - GTIN Mismatch"),"SKIP")</f>
        <v>PASS</v>
      </c>
      <c r="O32" s="20" t="str">
        <f aca="false">IF(I32="","FAIL - No Title",IF(LEN(I32)&lt;=126,"PASS","FAIL - Title &gt;"&amp;126&amp;" chars"))</f>
        <v>PASS</v>
      </c>
      <c r="P32" s="20" t="str">
        <f aca="false">IF(J32&gt;0,IF(J32&lt;5000,"PASS","FLAG - Review Price"),"FAIL - Zero Price")</f>
        <v>PASS</v>
      </c>
      <c r="Q32" s="20" t="str">
        <f aca="false">IF('Raw Catalog'!P30&lt;&gt;"","PASS","FAIL - No Image")</f>
        <v>PASS</v>
      </c>
      <c r="R32" s="20" t="str">
        <f aca="false">IF(F32&lt;&gt;"","PASS","FAIL - No Brand")</f>
        <v>PASS</v>
      </c>
      <c r="S32" s="20" t="str">
        <f aca="true">IF(K32="","FAIL - No Date",IF(TODAY()-DATEVALUE(K32)&lt;=180,"PASS","FLAG - Stale &gt;180d"))</f>
        <v>FLAG - Stale &gt;180d</v>
      </c>
      <c r="T32" s="20" t="n">
        <f aca="false">COUNTIF(M32:S32,"FAIL*")+COUNTIF(M32:S32,"FLAG*")</f>
        <v>1</v>
      </c>
      <c r="U32" s="20" t="str">
        <f aca="false">IF(T32=0,"CLEAN",IF(T32=1,"MINOR",IF(T32&lt;=3,"MODERATE","CRITICAL")))</f>
        <v>MINOR</v>
      </c>
      <c r="V32" s="20" t="str">
        <f aca="false">IF(U32="CLEAN","None",IF(U32="MINOR","Seller Notify",IF(U32="MODERATE","Listing Suspended","Immediate Removal")))</f>
        <v>Seller Notify</v>
      </c>
    </row>
    <row r="33" customFormat="false" ht="18" hidden="false" customHeight="true" outlineLevel="0" collapsed="false">
      <c r="A33" s="19" t="s">
        <v>6112</v>
      </c>
      <c r="B33" s="19" t="s">
        <v>361</v>
      </c>
      <c r="C33" s="19" t="s">
        <v>125</v>
      </c>
      <c r="D33" s="19" t="s">
        <v>126</v>
      </c>
      <c r="E33" s="19" t="s">
        <v>50</v>
      </c>
      <c r="F33" s="19" t="s">
        <v>115</v>
      </c>
      <c r="G33" s="19" t="s">
        <v>363</v>
      </c>
      <c r="H33" s="19" t="s">
        <v>364</v>
      </c>
      <c r="I33" s="19" t="s">
        <v>365</v>
      </c>
      <c r="J33" s="19" t="n">
        <v>718.58</v>
      </c>
      <c r="K33" s="19" t="s">
        <v>369</v>
      </c>
      <c r="L33" s="19"/>
      <c r="M33" s="20" t="str">
        <f aca="false">IF(G33&lt;&gt;"","PASS","FAIL - Missing UPC")</f>
        <v>PASS</v>
      </c>
      <c r="N33" s="20" t="str">
        <f aca="false">IF(AND(G33&lt;&gt;"",H33&lt;&gt;""),IF("0"&amp;G33=H33,"PASS","FAIL - GTIN Mismatch"),"SKIP")</f>
        <v>PASS</v>
      </c>
      <c r="O33" s="20" t="str">
        <f aca="false">IF(I33="","FAIL - No Title",IF(LEN(I33)&lt;=126,"PASS","FAIL - Title &gt;"&amp;126&amp;" chars"))</f>
        <v>PASS</v>
      </c>
      <c r="P33" s="20" t="str">
        <f aca="false">IF(J33&gt;0,IF(J33&lt;5000,"PASS","FLAG - Review Price"),"FAIL - Zero Price")</f>
        <v>PASS</v>
      </c>
      <c r="Q33" s="20" t="str">
        <f aca="false">IF('Raw Catalog'!P31&lt;&gt;"","PASS","FAIL - No Image")</f>
        <v>PASS</v>
      </c>
      <c r="R33" s="20" t="str">
        <f aca="false">IF(F33&lt;&gt;"","PASS","FAIL - No Brand")</f>
        <v>PASS</v>
      </c>
      <c r="S33" s="20" t="str">
        <f aca="true">IF(K33="","FAIL - No Date",IF(TODAY()-DATEVALUE(K33)&lt;=180,"PASS","FLAG - Stale &gt;180d"))</f>
        <v>FLAG - Stale &gt;180d</v>
      </c>
      <c r="T33" s="20" t="n">
        <f aca="false">COUNTIF(M33:S33,"FAIL*")+COUNTIF(M33:S33,"FLAG*")</f>
        <v>1</v>
      </c>
      <c r="U33" s="20" t="str">
        <f aca="false">IF(T33=0,"CLEAN",IF(T33=1,"MINOR",IF(T33&lt;=3,"MODERATE","CRITICAL")))</f>
        <v>MINOR</v>
      </c>
      <c r="V33" s="20" t="str">
        <f aca="false">IF(U33="CLEAN","None",IF(U33="MINOR","Seller Notify",IF(U33="MODERATE","Listing Suspended","Immediate Removal")))</f>
        <v>Seller Notify</v>
      </c>
    </row>
    <row r="34" customFormat="false" ht="18" hidden="false" customHeight="true" outlineLevel="0" collapsed="false">
      <c r="A34" s="19" t="s">
        <v>6113</v>
      </c>
      <c r="B34" s="19" t="s">
        <v>370</v>
      </c>
      <c r="C34" s="19" t="s">
        <v>77</v>
      </c>
      <c r="D34" s="19" t="s">
        <v>78</v>
      </c>
      <c r="E34" s="19" t="s">
        <v>65</v>
      </c>
      <c r="F34" s="19" t="s">
        <v>371</v>
      </c>
      <c r="G34" s="19" t="s">
        <v>374</v>
      </c>
      <c r="H34" s="19" t="s">
        <v>375</v>
      </c>
      <c r="I34" s="19" t="s">
        <v>376</v>
      </c>
      <c r="J34" s="19" t="n">
        <v>284.1</v>
      </c>
      <c r="K34" s="19" t="s">
        <v>380</v>
      </c>
      <c r="L34" s="19"/>
      <c r="M34" s="20" t="str">
        <f aca="false">IF(G34&lt;&gt;"","PASS","FAIL - Missing UPC")</f>
        <v>PASS</v>
      </c>
      <c r="N34" s="20" t="str">
        <f aca="false">IF(AND(G34&lt;&gt;"",H34&lt;&gt;""),IF("0"&amp;G34=H34,"PASS","FAIL - GTIN Mismatch"),"SKIP")</f>
        <v>PASS</v>
      </c>
      <c r="O34" s="20" t="str">
        <f aca="false">IF(I34="","FAIL - No Title",IF(LEN(I34)&lt;=126,"PASS","FAIL - Title &gt;"&amp;126&amp;" chars"))</f>
        <v>PASS</v>
      </c>
      <c r="P34" s="20" t="str">
        <f aca="false">IF(J34&gt;0,IF(J34&lt;5000,"PASS","FLAG - Review Price"),"FAIL - Zero Price")</f>
        <v>PASS</v>
      </c>
      <c r="Q34" s="20" t="str">
        <f aca="false">IF('Raw Catalog'!P32&lt;&gt;"","PASS","FAIL - No Image")</f>
        <v>PASS</v>
      </c>
      <c r="R34" s="20" t="str">
        <f aca="false">IF(F34&lt;&gt;"","PASS","FAIL - No Brand")</f>
        <v>PASS</v>
      </c>
      <c r="S34" s="20" t="str">
        <f aca="true">IF(K34="","FAIL - No Date",IF(TODAY()-DATEVALUE(K34)&lt;=180,"PASS","FLAG - Stale &gt;180d"))</f>
        <v>FLAG - Stale &gt;180d</v>
      </c>
      <c r="T34" s="20" t="n">
        <f aca="false">COUNTIF(M34:S34,"FAIL*")+COUNTIF(M34:S34,"FLAG*")</f>
        <v>1</v>
      </c>
      <c r="U34" s="20" t="str">
        <f aca="false">IF(T34=0,"CLEAN",IF(T34=1,"MINOR",IF(T34&lt;=3,"MODERATE","CRITICAL")))</f>
        <v>MINOR</v>
      </c>
      <c r="V34" s="20" t="str">
        <f aca="false">IF(U34="CLEAN","None",IF(U34="MINOR","Seller Notify",IF(U34="MODERATE","Listing Suspended","Immediate Removal")))</f>
        <v>Seller Notify</v>
      </c>
    </row>
    <row r="35" customFormat="false" ht="18" hidden="false" customHeight="true" outlineLevel="0" collapsed="false">
      <c r="A35" s="19" t="s">
        <v>6114</v>
      </c>
      <c r="B35" s="19" t="s">
        <v>381</v>
      </c>
      <c r="C35" s="19" t="s">
        <v>173</v>
      </c>
      <c r="D35" s="19" t="s">
        <v>174</v>
      </c>
      <c r="E35" s="19" t="s">
        <v>50</v>
      </c>
      <c r="F35" s="19" t="s">
        <v>138</v>
      </c>
      <c r="G35" s="19" t="s">
        <v>383</v>
      </c>
      <c r="H35" s="19" t="s">
        <v>384</v>
      </c>
      <c r="I35" s="19" t="s">
        <v>385</v>
      </c>
      <c r="J35" s="19" t="n">
        <v>654.88</v>
      </c>
      <c r="K35" s="19" t="s">
        <v>157</v>
      </c>
      <c r="L35" s="19"/>
      <c r="M35" s="20" t="str">
        <f aca="false">IF(G35&lt;&gt;"","PASS","FAIL - Missing UPC")</f>
        <v>PASS</v>
      </c>
      <c r="N35" s="20" t="str">
        <f aca="false">IF(AND(G35&lt;&gt;"",H35&lt;&gt;""),IF("0"&amp;G35=H35,"PASS","FAIL - GTIN Mismatch"),"SKIP")</f>
        <v>PASS</v>
      </c>
      <c r="O35" s="20" t="str">
        <f aca="false">IF(I35="","FAIL - No Title",IF(LEN(I35)&lt;=126,"PASS","FAIL - Title &gt;"&amp;126&amp;" chars"))</f>
        <v>PASS</v>
      </c>
      <c r="P35" s="20" t="str">
        <f aca="false">IF(J35&gt;0,IF(J35&lt;5000,"PASS","FLAG - Review Price"),"FAIL - Zero Price")</f>
        <v>PASS</v>
      </c>
      <c r="Q35" s="20" t="str">
        <f aca="false">IF('Raw Catalog'!P33&lt;&gt;"","PASS","FAIL - No Image")</f>
        <v>PASS</v>
      </c>
      <c r="R35" s="20" t="str">
        <f aca="false">IF(F35&lt;&gt;"","PASS","FAIL - No Brand")</f>
        <v>PASS</v>
      </c>
      <c r="S35" s="20" t="str">
        <f aca="true">IF(K35="","FAIL - No Date",IF(TODAY()-DATEVALUE(K35)&lt;=180,"PASS","FLAG - Stale &gt;180d"))</f>
        <v>FLAG - Stale &gt;180d</v>
      </c>
      <c r="T35" s="20" t="n">
        <f aca="false">COUNTIF(M35:S35,"FAIL*")+COUNTIF(M35:S35,"FLAG*")</f>
        <v>1</v>
      </c>
      <c r="U35" s="20" t="str">
        <f aca="false">IF(T35=0,"CLEAN",IF(T35=1,"MINOR",IF(T35&lt;=3,"MODERATE","CRITICAL")))</f>
        <v>MINOR</v>
      </c>
      <c r="V35" s="20" t="str">
        <f aca="false">IF(U35="CLEAN","None",IF(U35="MINOR","Seller Notify",IF(U35="MODERATE","Listing Suspended","Immediate Removal")))</f>
        <v>Seller Notify</v>
      </c>
    </row>
    <row r="36" customFormat="false" ht="18" hidden="false" customHeight="true" outlineLevel="0" collapsed="false">
      <c r="A36" s="19" t="s">
        <v>6115</v>
      </c>
      <c r="B36" s="19" t="s">
        <v>389</v>
      </c>
      <c r="C36" s="19" t="s">
        <v>159</v>
      </c>
      <c r="D36" s="19" t="s">
        <v>160</v>
      </c>
      <c r="E36" s="19" t="s">
        <v>65</v>
      </c>
      <c r="F36" s="19" t="s">
        <v>390</v>
      </c>
      <c r="G36" s="19" t="s">
        <v>393</v>
      </c>
      <c r="H36" s="19" t="s">
        <v>394</v>
      </c>
      <c r="I36" s="19" t="s">
        <v>395</v>
      </c>
      <c r="J36" s="19" t="n">
        <v>362.4</v>
      </c>
      <c r="K36" s="19" t="s">
        <v>400</v>
      </c>
      <c r="L36" s="21" t="s">
        <v>325</v>
      </c>
      <c r="M36" s="20" t="str">
        <f aca="false">IF(G36&lt;&gt;"","PASS","FAIL - Missing UPC")</f>
        <v>PASS</v>
      </c>
      <c r="N36" s="20" t="str">
        <f aca="false">IF(AND(G36&lt;&gt;"",H36&lt;&gt;""),IF("0"&amp;G36=H36,"PASS","FAIL - GTIN Mismatch"),"SKIP")</f>
        <v>PASS</v>
      </c>
      <c r="O36" s="20" t="str">
        <f aca="false">IF(I36="","FAIL - No Title",IF(LEN(I36)&lt;=126,"PASS","FAIL - Title &gt;"&amp;126&amp;" chars"))</f>
        <v>PASS</v>
      </c>
      <c r="P36" s="20" t="str">
        <f aca="false">IF(J36&gt;0,IF(J36&lt;5000,"PASS","FLAG - Review Price"),"FAIL - Zero Price")</f>
        <v>PASS</v>
      </c>
      <c r="Q36" s="20" t="str">
        <f aca="false">IF('Raw Catalog'!P34&lt;&gt;"","PASS","FAIL - No Image")</f>
        <v>PASS</v>
      </c>
      <c r="R36" s="20" t="str">
        <f aca="false">IF(F36&lt;&gt;"","PASS","FAIL - No Brand")</f>
        <v>PASS</v>
      </c>
      <c r="S36" s="20" t="str">
        <f aca="true">IF(K36="","FAIL - No Date",IF(TODAY()-DATEVALUE(K36)&lt;=180,"PASS","FLAG - Stale &gt;180d"))</f>
        <v>FLAG - Stale &gt;180d</v>
      </c>
      <c r="T36" s="20" t="n">
        <f aca="false">COUNTIF(M36:S36,"FAIL*")+COUNTIF(M36:S36,"FLAG*")</f>
        <v>1</v>
      </c>
      <c r="U36" s="20" t="str">
        <f aca="false">IF(T36=0,"CLEAN",IF(T36=1,"MINOR",IF(T36&lt;=3,"MODERATE","CRITICAL")))</f>
        <v>MINOR</v>
      </c>
      <c r="V36" s="20" t="str">
        <f aca="false">IF(U36="CLEAN","None",IF(U36="MINOR","Seller Notify",IF(U36="MODERATE","Listing Suspended","Immediate Removal")))</f>
        <v>Seller Notify</v>
      </c>
    </row>
    <row r="37" customFormat="false" ht="18" hidden="false" customHeight="true" outlineLevel="0" collapsed="false">
      <c r="A37" s="19" t="s">
        <v>6116</v>
      </c>
      <c r="B37" s="19" t="s">
        <v>401</v>
      </c>
      <c r="C37" s="19" t="s">
        <v>173</v>
      </c>
      <c r="D37" s="19" t="s">
        <v>174</v>
      </c>
      <c r="E37" s="19" t="s">
        <v>50</v>
      </c>
      <c r="F37" s="19" t="s">
        <v>115</v>
      </c>
      <c r="G37" s="19" t="s">
        <v>403</v>
      </c>
      <c r="H37" s="19" t="s">
        <v>404</v>
      </c>
      <c r="I37" s="19" t="s">
        <v>405</v>
      </c>
      <c r="J37" s="19" t="n">
        <v>1093.17</v>
      </c>
      <c r="K37" s="19" t="s">
        <v>408</v>
      </c>
      <c r="L37" s="21" t="s">
        <v>325</v>
      </c>
      <c r="M37" s="20" t="str">
        <f aca="false">IF(G37&lt;&gt;"","PASS","FAIL - Missing UPC")</f>
        <v>PASS</v>
      </c>
      <c r="N37" s="20" t="str">
        <f aca="false">IF(AND(G37&lt;&gt;"",H37&lt;&gt;""),IF("0"&amp;G37=H37,"PASS","FAIL - GTIN Mismatch"),"SKIP")</f>
        <v>PASS</v>
      </c>
      <c r="O37" s="20" t="str">
        <f aca="false">IF(I37="","FAIL - No Title",IF(LEN(I37)&lt;=126,"PASS","FAIL - Title &gt;"&amp;126&amp;" chars"))</f>
        <v>PASS</v>
      </c>
      <c r="P37" s="20" t="str">
        <f aca="false">IF(J37&gt;0,IF(J37&lt;5000,"PASS","FLAG - Review Price"),"FAIL - Zero Price")</f>
        <v>PASS</v>
      </c>
      <c r="Q37" s="20" t="str">
        <f aca="false">IF('Raw Catalog'!P35&lt;&gt;"","PASS","FAIL - No Image")</f>
        <v>PASS</v>
      </c>
      <c r="R37" s="20" t="str">
        <f aca="false">IF(F37&lt;&gt;"","PASS","FAIL - No Brand")</f>
        <v>PASS</v>
      </c>
      <c r="S37" s="20" t="str">
        <f aca="true">IF(K37="","FAIL - No Date",IF(TODAY()-DATEVALUE(K37)&lt;=180,"PASS","FLAG - Stale &gt;180d"))</f>
        <v>FLAG - Stale &gt;180d</v>
      </c>
      <c r="T37" s="20" t="n">
        <f aca="false">COUNTIF(M37:S37,"FAIL*")+COUNTIF(M37:S37,"FLAG*")</f>
        <v>1</v>
      </c>
      <c r="U37" s="20" t="str">
        <f aca="false">IF(T37=0,"CLEAN",IF(T37=1,"MINOR",IF(T37&lt;=3,"MODERATE","CRITICAL")))</f>
        <v>MINOR</v>
      </c>
      <c r="V37" s="20" t="str">
        <f aca="false">IF(U37="CLEAN","None",IF(U37="MINOR","Seller Notify",IF(U37="MODERATE","Listing Suspended","Immediate Removal")))</f>
        <v>Seller Notify</v>
      </c>
    </row>
    <row r="38" customFormat="false" ht="18" hidden="false" customHeight="true" outlineLevel="0" collapsed="false">
      <c r="A38" s="19" t="s">
        <v>6117</v>
      </c>
      <c r="B38" s="19" t="s">
        <v>409</v>
      </c>
      <c r="C38" s="19" t="s">
        <v>255</v>
      </c>
      <c r="D38" s="19" t="s">
        <v>256</v>
      </c>
      <c r="E38" s="19" t="s">
        <v>161</v>
      </c>
      <c r="F38" s="19" t="s">
        <v>162</v>
      </c>
      <c r="G38" s="19" t="s">
        <v>411</v>
      </c>
      <c r="H38" s="19" t="s">
        <v>412</v>
      </c>
      <c r="I38" s="19" t="s">
        <v>413</v>
      </c>
      <c r="J38" s="19" t="n">
        <v>32.47</v>
      </c>
      <c r="K38" s="19" t="s">
        <v>417</v>
      </c>
      <c r="L38" s="19"/>
      <c r="M38" s="20" t="str">
        <f aca="false">IF(G38&lt;&gt;"","PASS","FAIL - Missing UPC")</f>
        <v>PASS</v>
      </c>
      <c r="N38" s="20" t="str">
        <f aca="false">IF(AND(G38&lt;&gt;"",H38&lt;&gt;""),IF("0"&amp;G38=H38,"PASS","FAIL - GTIN Mismatch"),"SKIP")</f>
        <v>PASS</v>
      </c>
      <c r="O38" s="20" t="str">
        <f aca="false">IF(I38="","FAIL - No Title",IF(LEN(I38)&lt;=126,"PASS","FAIL - Title &gt;"&amp;126&amp;" chars"))</f>
        <v>PASS</v>
      </c>
      <c r="P38" s="20" t="str">
        <f aca="false">IF(J38&gt;0,IF(J38&lt;5000,"PASS","FLAG - Review Price"),"FAIL - Zero Price")</f>
        <v>PASS</v>
      </c>
      <c r="Q38" s="20" t="str">
        <f aca="false">IF('Raw Catalog'!P36&lt;&gt;"","PASS","FAIL - No Image")</f>
        <v>PASS</v>
      </c>
      <c r="R38" s="20" t="str">
        <f aca="false">IF(F38&lt;&gt;"","PASS","FAIL - No Brand")</f>
        <v>PASS</v>
      </c>
      <c r="S38" s="20" t="str">
        <f aca="true">IF(K38="","FAIL - No Date",IF(TODAY()-DATEVALUE(K38)&lt;=180,"PASS","FLAG - Stale &gt;180d"))</f>
        <v>FLAG - Stale &gt;180d</v>
      </c>
      <c r="T38" s="20" t="n">
        <f aca="false">COUNTIF(M38:S38,"FAIL*")+COUNTIF(M38:S38,"FLAG*")</f>
        <v>1</v>
      </c>
      <c r="U38" s="20" t="str">
        <f aca="false">IF(T38=0,"CLEAN",IF(T38=1,"MINOR",IF(T38&lt;=3,"MODERATE","CRITICAL")))</f>
        <v>MINOR</v>
      </c>
      <c r="V38" s="20" t="str">
        <f aca="false">IF(U38="CLEAN","None",IF(U38="MINOR","Seller Notify",IF(U38="MODERATE","Listing Suspended","Immediate Removal")))</f>
        <v>Seller Notify</v>
      </c>
    </row>
    <row r="39" customFormat="false" ht="18" hidden="false" customHeight="true" outlineLevel="0" collapsed="false">
      <c r="A39" s="19" t="s">
        <v>6118</v>
      </c>
      <c r="B39" s="19" t="s">
        <v>418</v>
      </c>
      <c r="C39" s="19" t="s">
        <v>113</v>
      </c>
      <c r="D39" s="19" t="s">
        <v>114</v>
      </c>
      <c r="E39" s="19" t="s">
        <v>91</v>
      </c>
      <c r="F39" s="19" t="s">
        <v>419</v>
      </c>
      <c r="G39" s="19" t="s">
        <v>422</v>
      </c>
      <c r="H39" s="19" t="s">
        <v>423</v>
      </c>
      <c r="I39" s="19" t="s">
        <v>424</v>
      </c>
      <c r="J39" s="19" t="n">
        <v>3715.17</v>
      </c>
      <c r="K39" s="19" t="s">
        <v>123</v>
      </c>
      <c r="L39" s="19"/>
      <c r="M39" s="20" t="str">
        <f aca="false">IF(G39&lt;&gt;"","PASS","FAIL - Missing UPC")</f>
        <v>PASS</v>
      </c>
      <c r="N39" s="20" t="str">
        <f aca="false">IF(AND(G39&lt;&gt;"",H39&lt;&gt;""),IF("0"&amp;G39=H39,"PASS","FAIL - GTIN Mismatch"),"SKIP")</f>
        <v>PASS</v>
      </c>
      <c r="O39" s="20" t="str">
        <f aca="false">IF(I39="","FAIL - No Title",IF(LEN(I39)&lt;=126,"PASS","FAIL - Title &gt;"&amp;126&amp;" chars"))</f>
        <v>PASS</v>
      </c>
      <c r="P39" s="20" t="str">
        <f aca="false">IF(J39&gt;0,IF(J39&lt;5000,"PASS","FLAG - Review Price"),"FAIL - Zero Price")</f>
        <v>PASS</v>
      </c>
      <c r="Q39" s="20" t="str">
        <f aca="false">IF('Raw Catalog'!P37&lt;&gt;"","PASS","FAIL - No Image")</f>
        <v>PASS</v>
      </c>
      <c r="R39" s="20" t="str">
        <f aca="false">IF(F39&lt;&gt;"","PASS","FAIL - No Brand")</f>
        <v>PASS</v>
      </c>
      <c r="S39" s="20" t="str">
        <f aca="true">IF(K39="","FAIL - No Date",IF(TODAY()-DATEVALUE(K39)&lt;=180,"PASS","FLAG - Stale &gt;180d"))</f>
        <v>FLAG - Stale &gt;180d</v>
      </c>
      <c r="T39" s="20" t="n">
        <f aca="false">COUNTIF(M39:S39,"FAIL*")+COUNTIF(M39:S39,"FLAG*")</f>
        <v>1</v>
      </c>
      <c r="U39" s="20" t="str">
        <f aca="false">IF(T39=0,"CLEAN",IF(T39=1,"MINOR",IF(T39&lt;=3,"MODERATE","CRITICAL")))</f>
        <v>MINOR</v>
      </c>
      <c r="V39" s="20" t="str">
        <f aca="false">IF(U39="CLEAN","None",IF(U39="MINOR","Seller Notify",IF(U39="MODERATE","Listing Suspended","Immediate Removal")))</f>
        <v>Seller Notify</v>
      </c>
    </row>
    <row r="40" customFormat="false" ht="18" hidden="false" customHeight="true" outlineLevel="0" collapsed="false">
      <c r="A40" s="19" t="s">
        <v>6119</v>
      </c>
      <c r="B40" s="19" t="s">
        <v>428</v>
      </c>
      <c r="C40" s="19" t="s">
        <v>255</v>
      </c>
      <c r="D40" s="19" t="s">
        <v>256</v>
      </c>
      <c r="E40" s="19" t="s">
        <v>161</v>
      </c>
      <c r="F40" s="19" t="s">
        <v>429</v>
      </c>
      <c r="G40" s="19" t="s">
        <v>431</v>
      </c>
      <c r="H40" s="19" t="s">
        <v>432</v>
      </c>
      <c r="I40" s="19" t="s">
        <v>433</v>
      </c>
      <c r="J40" s="19" t="n">
        <v>73.73</v>
      </c>
      <c r="K40" s="19" t="s">
        <v>225</v>
      </c>
      <c r="L40" s="19"/>
      <c r="M40" s="20" t="str">
        <f aca="false">IF(G40&lt;&gt;"","PASS","FAIL - Missing UPC")</f>
        <v>PASS</v>
      </c>
      <c r="N40" s="20" t="str">
        <f aca="false">IF(AND(G40&lt;&gt;"",H40&lt;&gt;""),IF("0"&amp;G40=H40,"PASS","FAIL - GTIN Mismatch"),"SKIP")</f>
        <v>PASS</v>
      </c>
      <c r="O40" s="20" t="str">
        <f aca="false">IF(I40="","FAIL - No Title",IF(LEN(I40)&lt;=126,"PASS","FAIL - Title &gt;"&amp;126&amp;" chars"))</f>
        <v>PASS</v>
      </c>
      <c r="P40" s="20" t="str">
        <f aca="false">IF(J40&gt;0,IF(J40&lt;5000,"PASS","FLAG - Review Price"),"FAIL - Zero Price")</f>
        <v>PASS</v>
      </c>
      <c r="Q40" s="20" t="str">
        <f aca="false">IF('Raw Catalog'!P38&lt;&gt;"","PASS","FAIL - No Image")</f>
        <v>PASS</v>
      </c>
      <c r="R40" s="20" t="str">
        <f aca="false">IF(F40&lt;&gt;"","PASS","FAIL - No Brand")</f>
        <v>PASS</v>
      </c>
      <c r="S40" s="20" t="str">
        <f aca="true">IF(K40="","FAIL - No Date",IF(TODAY()-DATEVALUE(K40)&lt;=180,"PASS","FLAG - Stale &gt;180d"))</f>
        <v>FLAG - Stale &gt;180d</v>
      </c>
      <c r="T40" s="20" t="n">
        <f aca="false">COUNTIF(M40:S40,"FAIL*")+COUNTIF(M40:S40,"FLAG*")</f>
        <v>1</v>
      </c>
      <c r="U40" s="20" t="str">
        <f aca="false">IF(T40=0,"CLEAN",IF(T40=1,"MINOR",IF(T40&lt;=3,"MODERATE","CRITICAL")))</f>
        <v>MINOR</v>
      </c>
      <c r="V40" s="20" t="str">
        <f aca="false">IF(U40="CLEAN","None",IF(U40="MINOR","Seller Notify",IF(U40="MODERATE","Listing Suspended","Immediate Removal")))</f>
        <v>Seller Notify</v>
      </c>
    </row>
    <row r="41" customFormat="false" ht="18" hidden="false" customHeight="true" outlineLevel="0" collapsed="false">
      <c r="A41" s="19" t="s">
        <v>6120</v>
      </c>
      <c r="B41" s="19" t="s">
        <v>437</v>
      </c>
      <c r="C41" s="19" t="s">
        <v>48</v>
      </c>
      <c r="D41" s="19" t="s">
        <v>49</v>
      </c>
      <c r="E41" s="19" t="s">
        <v>65</v>
      </c>
      <c r="F41" s="19" t="s">
        <v>438</v>
      </c>
      <c r="G41" s="19" t="s">
        <v>440</v>
      </c>
      <c r="H41" s="19" t="s">
        <v>441</v>
      </c>
      <c r="I41" s="19" t="s">
        <v>442</v>
      </c>
      <c r="J41" s="19" t="n">
        <v>115.92</v>
      </c>
      <c r="K41" s="19" t="s">
        <v>445</v>
      </c>
      <c r="L41" s="19"/>
      <c r="M41" s="20" t="str">
        <f aca="false">IF(G41&lt;&gt;"","PASS","FAIL - Missing UPC")</f>
        <v>PASS</v>
      </c>
      <c r="N41" s="20" t="str">
        <f aca="false">IF(AND(G41&lt;&gt;"",H41&lt;&gt;""),IF("0"&amp;G41=H41,"PASS","FAIL - GTIN Mismatch"),"SKIP")</f>
        <v>PASS</v>
      </c>
      <c r="O41" s="20" t="str">
        <f aca="false">IF(I41="","FAIL - No Title",IF(LEN(I41)&lt;=126,"PASS","FAIL - Title &gt;"&amp;126&amp;" chars"))</f>
        <v>PASS</v>
      </c>
      <c r="P41" s="20" t="str">
        <f aca="false">IF(J41&gt;0,IF(J41&lt;5000,"PASS","FLAG - Review Price"),"FAIL - Zero Price")</f>
        <v>PASS</v>
      </c>
      <c r="Q41" s="20" t="str">
        <f aca="false">IF('Raw Catalog'!P39&lt;&gt;"","PASS","FAIL - No Image")</f>
        <v>PASS</v>
      </c>
      <c r="R41" s="20" t="str">
        <f aca="false">IF(F41&lt;&gt;"","PASS","FAIL - No Brand")</f>
        <v>PASS</v>
      </c>
      <c r="S41" s="20" t="str">
        <f aca="true">IF(K41="","FAIL - No Date",IF(TODAY()-DATEVALUE(K41)&lt;=180,"PASS","FLAG - Stale &gt;180d"))</f>
        <v>FLAG - Stale &gt;180d</v>
      </c>
      <c r="T41" s="20" t="n">
        <f aca="false">COUNTIF(M41:S41,"FAIL*")+COUNTIF(M41:S41,"FLAG*")</f>
        <v>1</v>
      </c>
      <c r="U41" s="20" t="str">
        <f aca="false">IF(T41=0,"CLEAN",IF(T41=1,"MINOR",IF(T41&lt;=3,"MODERATE","CRITICAL")))</f>
        <v>MINOR</v>
      </c>
      <c r="V41" s="20" t="str">
        <f aca="false">IF(U41="CLEAN","None",IF(U41="MINOR","Seller Notify",IF(U41="MODERATE","Listing Suspended","Immediate Removal")))</f>
        <v>Seller Notify</v>
      </c>
    </row>
    <row r="42" customFormat="false" ht="18" hidden="false" customHeight="true" outlineLevel="0" collapsed="false">
      <c r="A42" s="19" t="s">
        <v>6121</v>
      </c>
      <c r="B42" s="19" t="s">
        <v>446</v>
      </c>
      <c r="C42" s="19" t="s">
        <v>63</v>
      </c>
      <c r="D42" s="19" t="s">
        <v>64</v>
      </c>
      <c r="E42" s="19" t="s">
        <v>91</v>
      </c>
      <c r="F42" s="19" t="s">
        <v>127</v>
      </c>
      <c r="G42" s="19" t="s">
        <v>448</v>
      </c>
      <c r="H42" s="19" t="s">
        <v>449</v>
      </c>
      <c r="I42" s="19" t="s">
        <v>450</v>
      </c>
      <c r="J42" s="19" t="n">
        <v>1014.11</v>
      </c>
      <c r="K42" s="19" t="s">
        <v>452</v>
      </c>
      <c r="L42" s="21" t="s">
        <v>453</v>
      </c>
      <c r="M42" s="20" t="str">
        <f aca="false">IF(G42&lt;&gt;"","PASS","FAIL - Missing UPC")</f>
        <v>PASS</v>
      </c>
      <c r="N42" s="20" t="str">
        <f aca="false">IF(AND(G42&lt;&gt;"",H42&lt;&gt;""),IF("0"&amp;G42=H42,"PASS","FAIL - GTIN Mismatch"),"SKIP")</f>
        <v>PASS</v>
      </c>
      <c r="O42" s="20" t="str">
        <f aca="false">IF(I42="","FAIL - No Title",IF(LEN(I42)&lt;=126,"PASS","FAIL - Title &gt;"&amp;126&amp;" chars"))</f>
        <v>PASS</v>
      </c>
      <c r="P42" s="20" t="str">
        <f aca="false">IF(J42&gt;0,IF(J42&lt;5000,"PASS","FLAG - Review Price"),"FAIL - Zero Price")</f>
        <v>PASS</v>
      </c>
      <c r="Q42" s="20" t="str">
        <f aca="false">IF('Raw Catalog'!P40&lt;&gt;"","PASS","FAIL - No Image")</f>
        <v>PASS</v>
      </c>
      <c r="R42" s="20" t="str">
        <f aca="false">IF(F42&lt;&gt;"","PASS","FAIL - No Brand")</f>
        <v>PASS</v>
      </c>
      <c r="S42" s="20" t="str">
        <f aca="true">IF(K42="","FAIL - No Date",IF(TODAY()-DATEVALUE(K42)&lt;=180,"PASS","FLAG - Stale &gt;180d"))</f>
        <v>FLAG - Stale &gt;180d</v>
      </c>
      <c r="T42" s="20" t="n">
        <f aca="false">COUNTIF(M42:S42,"FAIL*")+COUNTIF(M42:S42,"FLAG*")</f>
        <v>1</v>
      </c>
      <c r="U42" s="20" t="str">
        <f aca="false">IF(T42=0,"CLEAN",IF(T42=1,"MINOR",IF(T42&lt;=3,"MODERATE","CRITICAL")))</f>
        <v>MINOR</v>
      </c>
      <c r="V42" s="20" t="str">
        <f aca="false">IF(U42="CLEAN","None",IF(U42="MINOR","Seller Notify",IF(U42="MODERATE","Listing Suspended","Immediate Removal")))</f>
        <v>Seller Notify</v>
      </c>
    </row>
    <row r="43" customFormat="false" ht="18" hidden="false" customHeight="true" outlineLevel="0" collapsed="false">
      <c r="A43" s="19" t="s">
        <v>13</v>
      </c>
      <c r="B43" s="19" t="s">
        <v>454</v>
      </c>
      <c r="C43" s="19" t="s">
        <v>125</v>
      </c>
      <c r="D43" s="19" t="s">
        <v>126</v>
      </c>
      <c r="E43" s="19" t="s">
        <v>161</v>
      </c>
      <c r="F43" s="19" t="s">
        <v>429</v>
      </c>
      <c r="G43" s="19" t="s">
        <v>456</v>
      </c>
      <c r="H43" s="19" t="s">
        <v>457</v>
      </c>
      <c r="I43" s="19" t="s">
        <v>458</v>
      </c>
      <c r="J43" s="19" t="n">
        <v>488.58</v>
      </c>
      <c r="K43" s="19" t="s">
        <v>463</v>
      </c>
      <c r="L43" s="21" t="s">
        <v>325</v>
      </c>
      <c r="M43" s="20" t="str">
        <f aca="false">IF(G43&lt;&gt;"","PASS","FAIL - Missing UPC")</f>
        <v>PASS</v>
      </c>
      <c r="N43" s="20" t="str">
        <f aca="false">IF(AND(G43&lt;&gt;"",H43&lt;&gt;""),IF("0"&amp;G43=H43,"PASS","FAIL - GTIN Mismatch"),"SKIP")</f>
        <v>PASS</v>
      </c>
      <c r="O43" s="20" t="str">
        <f aca="false">IF(I43="","FAIL - No Title",IF(LEN(I43)&lt;=126,"PASS","FAIL - Title &gt;"&amp;126&amp;" chars"))</f>
        <v>PASS</v>
      </c>
      <c r="P43" s="20" t="str">
        <f aca="false">IF(J43&gt;0,IF(J43&lt;5000,"PASS","FLAG - Review Price"),"FAIL - Zero Price")</f>
        <v>PASS</v>
      </c>
      <c r="Q43" s="20" t="str">
        <f aca="false">IF('Raw Catalog'!P41&lt;&gt;"","PASS","FAIL - No Image")</f>
        <v>PASS</v>
      </c>
      <c r="R43" s="20" t="str">
        <f aca="false">IF(F43&lt;&gt;"","PASS","FAIL - No Brand")</f>
        <v>PASS</v>
      </c>
      <c r="S43" s="20" t="str">
        <f aca="true">IF(K43="","FAIL - No Date",IF(TODAY()-DATEVALUE(K43)&lt;=180,"PASS","FLAG - Stale &gt;180d"))</f>
        <v>FLAG - Stale &gt;180d</v>
      </c>
      <c r="T43" s="20" t="n">
        <f aca="false">COUNTIF(M43:S43,"FAIL*")+COUNTIF(M43:S43,"FLAG*")</f>
        <v>1</v>
      </c>
      <c r="U43" s="20" t="str">
        <f aca="false">IF(T43=0,"CLEAN",IF(T43=1,"MINOR",IF(T43&lt;=3,"MODERATE","CRITICAL")))</f>
        <v>MINOR</v>
      </c>
      <c r="V43" s="20" t="str">
        <f aca="false">IF(U43="CLEAN","None",IF(U43="MINOR","Seller Notify",IF(U43="MODERATE","Listing Suspended","Immediate Removal")))</f>
        <v>Seller Notify</v>
      </c>
    </row>
    <row r="44" customFormat="false" ht="18" hidden="false" customHeight="true" outlineLevel="0" collapsed="false">
      <c r="A44" s="19" t="s">
        <v>6122</v>
      </c>
      <c r="B44" s="19" t="s">
        <v>464</v>
      </c>
      <c r="C44" s="19" t="s">
        <v>77</v>
      </c>
      <c r="D44" s="19" t="s">
        <v>78</v>
      </c>
      <c r="E44" s="19" t="s">
        <v>79</v>
      </c>
      <c r="F44" s="19" t="s">
        <v>465</v>
      </c>
      <c r="G44" s="19" t="s">
        <v>467</v>
      </c>
      <c r="H44" s="19" t="s">
        <v>468</v>
      </c>
      <c r="I44" s="19" t="s">
        <v>469</v>
      </c>
      <c r="J44" s="19" t="n">
        <v>1026.09</v>
      </c>
      <c r="K44" s="19" t="s">
        <v>473</v>
      </c>
      <c r="L44" s="19"/>
      <c r="M44" s="20" t="str">
        <f aca="false">IF(G44&lt;&gt;"","PASS","FAIL - Missing UPC")</f>
        <v>PASS</v>
      </c>
      <c r="N44" s="20" t="str">
        <f aca="false">IF(AND(G44&lt;&gt;"",H44&lt;&gt;""),IF("0"&amp;G44=H44,"PASS","FAIL - GTIN Mismatch"),"SKIP")</f>
        <v>PASS</v>
      </c>
      <c r="O44" s="20" t="str">
        <f aca="false">IF(I44="","FAIL - No Title",IF(LEN(I44)&lt;=126,"PASS","FAIL - Title &gt;"&amp;126&amp;" chars"))</f>
        <v>PASS</v>
      </c>
      <c r="P44" s="20" t="str">
        <f aca="false">IF(J44&gt;0,IF(J44&lt;5000,"PASS","FLAG - Review Price"),"FAIL - Zero Price")</f>
        <v>PASS</v>
      </c>
      <c r="Q44" s="20" t="str">
        <f aca="false">IF('Raw Catalog'!P42&lt;&gt;"","PASS","FAIL - No Image")</f>
        <v>PASS</v>
      </c>
      <c r="R44" s="20" t="str">
        <f aca="false">IF(F44&lt;&gt;"","PASS","FAIL - No Brand")</f>
        <v>PASS</v>
      </c>
      <c r="S44" s="20" t="str">
        <f aca="true">IF(K44="","FAIL - No Date",IF(TODAY()-DATEVALUE(K44)&lt;=180,"PASS","FLAG - Stale &gt;180d"))</f>
        <v>FLAG - Stale &gt;180d</v>
      </c>
      <c r="T44" s="20" t="n">
        <f aca="false">COUNTIF(M44:S44,"FAIL*")+COUNTIF(M44:S44,"FLAG*")</f>
        <v>1</v>
      </c>
      <c r="U44" s="20" t="str">
        <f aca="false">IF(T44=0,"CLEAN",IF(T44=1,"MINOR",IF(T44&lt;=3,"MODERATE","CRITICAL")))</f>
        <v>MINOR</v>
      </c>
      <c r="V44" s="20" t="str">
        <f aca="false">IF(U44="CLEAN","None",IF(U44="MINOR","Seller Notify",IF(U44="MODERATE","Listing Suspended","Immediate Removal")))</f>
        <v>Seller Notify</v>
      </c>
    </row>
    <row r="45" customFormat="false" ht="18" hidden="false" customHeight="true" outlineLevel="0" collapsed="false">
      <c r="A45" s="19" t="s">
        <v>11</v>
      </c>
      <c r="B45" s="19" t="s">
        <v>474</v>
      </c>
      <c r="C45" s="19" t="s">
        <v>173</v>
      </c>
      <c r="D45" s="19" t="s">
        <v>174</v>
      </c>
      <c r="E45" s="19" t="s">
        <v>91</v>
      </c>
      <c r="F45" s="19" t="s">
        <v>138</v>
      </c>
      <c r="G45" s="19" t="s">
        <v>476</v>
      </c>
      <c r="H45" s="19" t="s">
        <v>477</v>
      </c>
      <c r="I45" s="19" t="s">
        <v>478</v>
      </c>
      <c r="J45" s="19" t="n">
        <v>3369.2</v>
      </c>
      <c r="K45" s="19" t="s">
        <v>482</v>
      </c>
      <c r="L45" s="19"/>
      <c r="M45" s="20" t="str">
        <f aca="false">IF(G45&lt;&gt;"","PASS","FAIL - Missing UPC")</f>
        <v>PASS</v>
      </c>
      <c r="N45" s="20" t="str">
        <f aca="false">IF(AND(G45&lt;&gt;"",H45&lt;&gt;""),IF("0"&amp;G45=H45,"PASS","FAIL - GTIN Mismatch"),"SKIP")</f>
        <v>PASS</v>
      </c>
      <c r="O45" s="20" t="str">
        <f aca="false">IF(I45="","FAIL - No Title",IF(LEN(I45)&lt;=126,"PASS","FAIL - Title &gt;"&amp;126&amp;" chars"))</f>
        <v>PASS</v>
      </c>
      <c r="P45" s="20" t="str">
        <f aca="false">IF(J45&gt;0,IF(J45&lt;5000,"PASS","FLAG - Review Price"),"FAIL - Zero Price")</f>
        <v>PASS</v>
      </c>
      <c r="Q45" s="20" t="str">
        <f aca="false">IF('Raw Catalog'!P43&lt;&gt;"","PASS","FAIL - No Image")</f>
        <v>PASS</v>
      </c>
      <c r="R45" s="20" t="str">
        <f aca="false">IF(F45&lt;&gt;"","PASS","FAIL - No Brand")</f>
        <v>PASS</v>
      </c>
      <c r="S45" s="20" t="str">
        <f aca="true">IF(K45="","FAIL - No Date",IF(TODAY()-DATEVALUE(K45)&lt;=180,"PASS","FLAG - Stale &gt;180d"))</f>
        <v>FLAG - Stale &gt;180d</v>
      </c>
      <c r="T45" s="20" t="n">
        <f aca="false">COUNTIF(M45:S45,"FAIL*")+COUNTIF(M45:S45,"FLAG*")</f>
        <v>1</v>
      </c>
      <c r="U45" s="20" t="str">
        <f aca="false">IF(T45=0,"CLEAN",IF(T45=1,"MINOR",IF(T45&lt;=3,"MODERATE","CRITICAL")))</f>
        <v>MINOR</v>
      </c>
      <c r="V45" s="20" t="str">
        <f aca="false">IF(U45="CLEAN","None",IF(U45="MINOR","Seller Notify",IF(U45="MODERATE","Listing Suspended","Immediate Removal")))</f>
        <v>Seller Notify</v>
      </c>
    </row>
    <row r="46" customFormat="false" ht="18" hidden="false" customHeight="true" outlineLevel="0" collapsed="false">
      <c r="A46" s="19" t="s">
        <v>6123</v>
      </c>
      <c r="B46" s="19" t="s">
        <v>483</v>
      </c>
      <c r="C46" s="19" t="s">
        <v>48</v>
      </c>
      <c r="D46" s="19" t="s">
        <v>49</v>
      </c>
      <c r="E46" s="19" t="s">
        <v>161</v>
      </c>
      <c r="F46" s="19" t="s">
        <v>429</v>
      </c>
      <c r="G46" s="19" t="s">
        <v>485</v>
      </c>
      <c r="H46" s="19" t="s">
        <v>486</v>
      </c>
      <c r="I46" s="19" t="s">
        <v>487</v>
      </c>
      <c r="J46" s="19" t="n">
        <v>311.46</v>
      </c>
      <c r="K46" s="19" t="s">
        <v>491</v>
      </c>
      <c r="L46" s="19"/>
      <c r="M46" s="20" t="str">
        <f aca="false">IF(G46&lt;&gt;"","PASS","FAIL - Missing UPC")</f>
        <v>PASS</v>
      </c>
      <c r="N46" s="20" t="str">
        <f aca="false">IF(AND(G46&lt;&gt;"",H46&lt;&gt;""),IF("0"&amp;G46=H46,"PASS","FAIL - GTIN Mismatch"),"SKIP")</f>
        <v>PASS</v>
      </c>
      <c r="O46" s="20" t="str">
        <f aca="false">IF(I46="","FAIL - No Title",IF(LEN(I46)&lt;=126,"PASS","FAIL - Title &gt;"&amp;126&amp;" chars"))</f>
        <v>PASS</v>
      </c>
      <c r="P46" s="20" t="str">
        <f aca="false">IF(J46&gt;0,IF(J46&lt;5000,"PASS","FLAG - Review Price"),"FAIL - Zero Price")</f>
        <v>PASS</v>
      </c>
      <c r="Q46" s="20" t="str">
        <f aca="false">IF('Raw Catalog'!P44&lt;&gt;"","PASS","FAIL - No Image")</f>
        <v>PASS</v>
      </c>
      <c r="R46" s="20" t="str">
        <f aca="false">IF(F46&lt;&gt;"","PASS","FAIL - No Brand")</f>
        <v>PASS</v>
      </c>
      <c r="S46" s="20" t="str">
        <f aca="true">IF(K46="","FAIL - No Date",IF(TODAY()-DATEVALUE(K46)&lt;=180,"PASS","FLAG - Stale &gt;180d"))</f>
        <v>FLAG - Stale &gt;180d</v>
      </c>
      <c r="T46" s="20" t="n">
        <f aca="false">COUNTIF(M46:S46,"FAIL*")+COUNTIF(M46:S46,"FLAG*")</f>
        <v>1</v>
      </c>
      <c r="U46" s="20" t="str">
        <f aca="false">IF(T46=0,"CLEAN",IF(T46=1,"MINOR",IF(T46&lt;=3,"MODERATE","CRITICAL")))</f>
        <v>MINOR</v>
      </c>
      <c r="V46" s="20" t="str">
        <f aca="false">IF(U46="CLEAN","None",IF(U46="MINOR","Seller Notify",IF(U46="MODERATE","Listing Suspended","Immediate Removal")))</f>
        <v>Seller Notify</v>
      </c>
    </row>
    <row r="47" customFormat="false" ht="18" hidden="false" customHeight="true" outlineLevel="0" collapsed="false">
      <c r="A47" s="19" t="s">
        <v>6124</v>
      </c>
      <c r="B47" s="19" t="s">
        <v>492</v>
      </c>
      <c r="C47" s="19" t="s">
        <v>173</v>
      </c>
      <c r="D47" s="19" t="s">
        <v>174</v>
      </c>
      <c r="E47" s="19" t="s">
        <v>65</v>
      </c>
      <c r="F47" s="19" t="s">
        <v>115</v>
      </c>
      <c r="G47" s="19" t="s">
        <v>494</v>
      </c>
      <c r="H47" s="19" t="s">
        <v>495</v>
      </c>
      <c r="I47" s="19" t="s">
        <v>496</v>
      </c>
      <c r="J47" s="19" t="n">
        <v>485.23</v>
      </c>
      <c r="K47" s="19" t="s">
        <v>501</v>
      </c>
      <c r="L47" s="21" t="s">
        <v>325</v>
      </c>
      <c r="M47" s="20" t="str">
        <f aca="false">IF(G47&lt;&gt;"","PASS","FAIL - Missing UPC")</f>
        <v>PASS</v>
      </c>
      <c r="N47" s="20" t="str">
        <f aca="false">IF(AND(G47&lt;&gt;"",H47&lt;&gt;""),IF("0"&amp;G47=H47,"PASS","FAIL - GTIN Mismatch"),"SKIP")</f>
        <v>PASS</v>
      </c>
      <c r="O47" s="20" t="str">
        <f aca="false">IF(I47="","FAIL - No Title",IF(LEN(I47)&lt;=126,"PASS","FAIL - Title &gt;"&amp;126&amp;" chars"))</f>
        <v>PASS</v>
      </c>
      <c r="P47" s="20" t="str">
        <f aca="false">IF(J47&gt;0,IF(J47&lt;5000,"PASS","FLAG - Review Price"),"FAIL - Zero Price")</f>
        <v>PASS</v>
      </c>
      <c r="Q47" s="20" t="str">
        <f aca="false">IF('Raw Catalog'!P45&lt;&gt;"","PASS","FAIL - No Image")</f>
        <v>PASS</v>
      </c>
      <c r="R47" s="20" t="str">
        <f aca="false">IF(F47&lt;&gt;"","PASS","FAIL - No Brand")</f>
        <v>PASS</v>
      </c>
      <c r="S47" s="20" t="str">
        <f aca="true">IF(K47="","FAIL - No Date",IF(TODAY()-DATEVALUE(K47)&lt;=180,"PASS","FLAG - Stale &gt;180d"))</f>
        <v>FLAG - Stale &gt;180d</v>
      </c>
      <c r="T47" s="20" t="n">
        <f aca="false">COUNTIF(M47:S47,"FAIL*")+COUNTIF(M47:S47,"FLAG*")</f>
        <v>1</v>
      </c>
      <c r="U47" s="20" t="str">
        <f aca="false">IF(T47=0,"CLEAN",IF(T47=1,"MINOR",IF(T47&lt;=3,"MODERATE","CRITICAL")))</f>
        <v>MINOR</v>
      </c>
      <c r="V47" s="20" t="str">
        <f aca="false">IF(U47="CLEAN","None",IF(U47="MINOR","Seller Notify",IF(U47="MODERATE","Listing Suspended","Immediate Removal")))</f>
        <v>Seller Notify</v>
      </c>
    </row>
    <row r="48" customFormat="false" ht="18" hidden="false" customHeight="true" outlineLevel="0" collapsed="false">
      <c r="A48" s="19" t="s">
        <v>6125</v>
      </c>
      <c r="B48" s="19" t="s">
        <v>502</v>
      </c>
      <c r="C48" s="19" t="s">
        <v>173</v>
      </c>
      <c r="D48" s="19" t="s">
        <v>174</v>
      </c>
      <c r="E48" s="19" t="s">
        <v>79</v>
      </c>
      <c r="F48" s="19" t="s">
        <v>503</v>
      </c>
      <c r="G48" s="19" t="s">
        <v>505</v>
      </c>
      <c r="H48" s="19" t="s">
        <v>506</v>
      </c>
      <c r="I48" s="19" t="s">
        <v>507</v>
      </c>
      <c r="J48" s="19" t="n">
        <v>910.33</v>
      </c>
      <c r="K48" s="19" t="s">
        <v>511</v>
      </c>
      <c r="L48" s="21" t="s">
        <v>453</v>
      </c>
      <c r="M48" s="20" t="str">
        <f aca="false">IF(G48&lt;&gt;"","PASS","FAIL - Missing UPC")</f>
        <v>PASS</v>
      </c>
      <c r="N48" s="20" t="str">
        <f aca="false">IF(AND(G48&lt;&gt;"",H48&lt;&gt;""),IF("0"&amp;G48=H48,"PASS","FAIL - GTIN Mismatch"),"SKIP")</f>
        <v>PASS</v>
      </c>
      <c r="O48" s="20" t="str">
        <f aca="false">IF(I48="","FAIL - No Title",IF(LEN(I48)&lt;=126,"PASS","FAIL - Title &gt;"&amp;126&amp;" chars"))</f>
        <v>PASS</v>
      </c>
      <c r="P48" s="20" t="str">
        <f aca="false">IF(J48&gt;0,IF(J48&lt;5000,"PASS","FLAG - Review Price"),"FAIL - Zero Price")</f>
        <v>PASS</v>
      </c>
      <c r="Q48" s="20" t="str">
        <f aca="false">IF('Raw Catalog'!P46&lt;&gt;"","PASS","FAIL - No Image")</f>
        <v>PASS</v>
      </c>
      <c r="R48" s="20" t="str">
        <f aca="false">IF(F48&lt;&gt;"","PASS","FAIL - No Brand")</f>
        <v>PASS</v>
      </c>
      <c r="S48" s="20" t="str">
        <f aca="true">IF(K48="","FAIL - No Date",IF(TODAY()-DATEVALUE(K48)&lt;=180,"PASS","FLAG - Stale &gt;180d"))</f>
        <v>FLAG - Stale &gt;180d</v>
      </c>
      <c r="T48" s="20" t="n">
        <f aca="false">COUNTIF(M48:S48,"FAIL*")+COUNTIF(M48:S48,"FLAG*")</f>
        <v>1</v>
      </c>
      <c r="U48" s="20" t="str">
        <f aca="false">IF(T48=0,"CLEAN",IF(T48=1,"MINOR",IF(T48&lt;=3,"MODERATE","CRITICAL")))</f>
        <v>MINOR</v>
      </c>
      <c r="V48" s="20" t="str">
        <f aca="false">IF(U48="CLEAN","None",IF(U48="MINOR","Seller Notify",IF(U48="MODERATE","Listing Suspended","Immediate Removal")))</f>
        <v>Seller Notify</v>
      </c>
    </row>
    <row r="49" customFormat="false" ht="18" hidden="false" customHeight="true" outlineLevel="0" collapsed="false">
      <c r="A49" s="19" t="s">
        <v>6126</v>
      </c>
      <c r="B49" s="19" t="s">
        <v>428</v>
      </c>
      <c r="C49" s="19" t="s">
        <v>159</v>
      </c>
      <c r="D49" s="19" t="s">
        <v>160</v>
      </c>
      <c r="E49" s="19" t="s">
        <v>161</v>
      </c>
      <c r="F49" s="19" t="s">
        <v>429</v>
      </c>
      <c r="G49" s="19" t="s">
        <v>431</v>
      </c>
      <c r="H49" s="19" t="s">
        <v>432</v>
      </c>
      <c r="I49" s="19" t="s">
        <v>433</v>
      </c>
      <c r="J49" s="19" t="n">
        <v>78.11</v>
      </c>
      <c r="K49" s="19" t="s">
        <v>225</v>
      </c>
      <c r="L49" s="21" t="s">
        <v>283</v>
      </c>
      <c r="M49" s="20" t="str">
        <f aca="false">IF(G49&lt;&gt;"","PASS","FAIL - Missing UPC")</f>
        <v>PASS</v>
      </c>
      <c r="N49" s="20" t="str">
        <f aca="false">IF(AND(G49&lt;&gt;"",H49&lt;&gt;""),IF("0"&amp;G49=H49,"PASS","FAIL - GTIN Mismatch"),"SKIP")</f>
        <v>PASS</v>
      </c>
      <c r="O49" s="20" t="str">
        <f aca="false">IF(I49="","FAIL - No Title",IF(LEN(I49)&lt;=126,"PASS","FAIL - Title &gt;"&amp;126&amp;" chars"))</f>
        <v>PASS</v>
      </c>
      <c r="P49" s="20" t="str">
        <f aca="false">IF(J49&gt;0,IF(J49&lt;5000,"PASS","FLAG - Review Price"),"FAIL - Zero Price")</f>
        <v>PASS</v>
      </c>
      <c r="Q49" s="20" t="str">
        <f aca="false">IF('Raw Catalog'!P47&lt;&gt;"","PASS","FAIL - No Image")</f>
        <v>PASS</v>
      </c>
      <c r="R49" s="20" t="str">
        <f aca="false">IF(F49&lt;&gt;"","PASS","FAIL - No Brand")</f>
        <v>PASS</v>
      </c>
      <c r="S49" s="20" t="str">
        <f aca="true">IF(K49="","FAIL - No Date",IF(TODAY()-DATEVALUE(K49)&lt;=180,"PASS","FLAG - Stale &gt;180d"))</f>
        <v>FLAG - Stale &gt;180d</v>
      </c>
      <c r="T49" s="20" t="n">
        <f aca="false">COUNTIF(M49:S49,"FAIL*")+COUNTIF(M49:S49,"FLAG*")</f>
        <v>1</v>
      </c>
      <c r="U49" s="20" t="str">
        <f aca="false">IF(T49=0,"CLEAN",IF(T49=1,"MINOR",IF(T49&lt;=3,"MODERATE","CRITICAL")))</f>
        <v>MINOR</v>
      </c>
      <c r="V49" s="20" t="str">
        <f aca="false">IF(U49="CLEAN","None",IF(U49="MINOR","Seller Notify",IF(U49="MODERATE","Listing Suspended","Immediate Removal")))</f>
        <v>Seller Notify</v>
      </c>
    </row>
    <row r="50" customFormat="false" ht="18" hidden="false" customHeight="true" outlineLevel="0" collapsed="false">
      <c r="A50" s="19" t="s">
        <v>6127</v>
      </c>
      <c r="B50" s="19" t="s">
        <v>512</v>
      </c>
      <c r="C50" s="19" t="s">
        <v>255</v>
      </c>
      <c r="D50" s="19" t="s">
        <v>256</v>
      </c>
      <c r="E50" s="19" t="s">
        <v>79</v>
      </c>
      <c r="F50" s="19" t="s">
        <v>513</v>
      </c>
      <c r="G50" s="19" t="s">
        <v>516</v>
      </c>
      <c r="H50" s="19" t="s">
        <v>517</v>
      </c>
      <c r="I50" s="19" t="s">
        <v>518</v>
      </c>
      <c r="J50" s="19" t="n">
        <v>798.29</v>
      </c>
      <c r="K50" s="19" t="s">
        <v>522</v>
      </c>
      <c r="L50" s="19"/>
      <c r="M50" s="20" t="str">
        <f aca="false">IF(G50&lt;&gt;"","PASS","FAIL - Missing UPC")</f>
        <v>PASS</v>
      </c>
      <c r="N50" s="20" t="str">
        <f aca="false">IF(AND(G50&lt;&gt;"",H50&lt;&gt;""),IF("0"&amp;G50=H50,"PASS","FAIL - GTIN Mismatch"),"SKIP")</f>
        <v>PASS</v>
      </c>
      <c r="O50" s="20" t="str">
        <f aca="false">IF(I50="","FAIL - No Title",IF(LEN(I50)&lt;=126,"PASS","FAIL - Title &gt;"&amp;126&amp;" chars"))</f>
        <v>PASS</v>
      </c>
      <c r="P50" s="20" t="str">
        <f aca="false">IF(J50&gt;0,IF(J50&lt;5000,"PASS","FLAG - Review Price"),"FAIL - Zero Price")</f>
        <v>PASS</v>
      </c>
      <c r="Q50" s="20" t="str">
        <f aca="false">IF('Raw Catalog'!P48&lt;&gt;"","PASS","FAIL - No Image")</f>
        <v>PASS</v>
      </c>
      <c r="R50" s="20" t="str">
        <f aca="false">IF(F50&lt;&gt;"","PASS","FAIL - No Brand")</f>
        <v>PASS</v>
      </c>
      <c r="S50" s="20" t="str">
        <f aca="true">IF(K50="","FAIL - No Date",IF(TODAY()-DATEVALUE(K50)&lt;=180,"PASS","FLAG - Stale &gt;180d"))</f>
        <v>FLAG - Stale &gt;180d</v>
      </c>
      <c r="T50" s="20" t="n">
        <f aca="false">COUNTIF(M50:S50,"FAIL*")+COUNTIF(M50:S50,"FLAG*")</f>
        <v>1</v>
      </c>
      <c r="U50" s="20" t="str">
        <f aca="false">IF(T50=0,"CLEAN",IF(T50=1,"MINOR",IF(T50&lt;=3,"MODERATE","CRITICAL")))</f>
        <v>MINOR</v>
      </c>
      <c r="V50" s="20" t="str">
        <f aca="false">IF(U50="CLEAN","None",IF(U50="MINOR","Seller Notify",IF(U50="MODERATE","Listing Suspended","Immediate Removal")))</f>
        <v>Seller Notify</v>
      </c>
    </row>
    <row r="51" customFormat="false" ht="18" hidden="false" customHeight="true" outlineLevel="0" collapsed="false">
      <c r="A51" s="19" t="s">
        <v>6128</v>
      </c>
      <c r="B51" s="19" t="s">
        <v>523</v>
      </c>
      <c r="C51" s="19" t="s">
        <v>125</v>
      </c>
      <c r="D51" s="19" t="s">
        <v>126</v>
      </c>
      <c r="E51" s="19" t="s">
        <v>91</v>
      </c>
      <c r="F51" s="19" t="s">
        <v>185</v>
      </c>
      <c r="G51" s="19" t="s">
        <v>525</v>
      </c>
      <c r="H51" s="19" t="s">
        <v>526</v>
      </c>
      <c r="I51" s="19" t="s">
        <v>527</v>
      </c>
      <c r="J51" s="19" t="n">
        <v>858.19</v>
      </c>
      <c r="K51" s="19" t="s">
        <v>531</v>
      </c>
      <c r="L51" s="19"/>
      <c r="M51" s="20" t="str">
        <f aca="false">IF(G51&lt;&gt;"","PASS","FAIL - Missing UPC")</f>
        <v>PASS</v>
      </c>
      <c r="N51" s="20" t="str">
        <f aca="false">IF(AND(G51&lt;&gt;"",H51&lt;&gt;""),IF("0"&amp;G51=H51,"PASS","FAIL - GTIN Mismatch"),"SKIP")</f>
        <v>PASS</v>
      </c>
      <c r="O51" s="20" t="str">
        <f aca="false">IF(I51="","FAIL - No Title",IF(LEN(I51)&lt;=126,"PASS","FAIL - Title &gt;"&amp;126&amp;" chars"))</f>
        <v>PASS</v>
      </c>
      <c r="P51" s="20" t="str">
        <f aca="false">IF(J51&gt;0,IF(J51&lt;5000,"PASS","FLAG - Review Price"),"FAIL - Zero Price")</f>
        <v>PASS</v>
      </c>
      <c r="Q51" s="20" t="str">
        <f aca="false">IF('Raw Catalog'!P49&lt;&gt;"","PASS","FAIL - No Image")</f>
        <v>PASS</v>
      </c>
      <c r="R51" s="20" t="str">
        <f aca="false">IF(F51&lt;&gt;"","PASS","FAIL - No Brand")</f>
        <v>PASS</v>
      </c>
      <c r="S51" s="20" t="str">
        <f aca="true">IF(K51="","FAIL - No Date",IF(TODAY()-DATEVALUE(K51)&lt;=180,"PASS","FLAG - Stale &gt;180d"))</f>
        <v>FLAG - Stale &gt;180d</v>
      </c>
      <c r="T51" s="20" t="n">
        <f aca="false">COUNTIF(M51:S51,"FAIL*")+COUNTIF(M51:S51,"FLAG*")</f>
        <v>1</v>
      </c>
      <c r="U51" s="20" t="str">
        <f aca="false">IF(T51=0,"CLEAN",IF(T51=1,"MINOR",IF(T51&lt;=3,"MODERATE","CRITICAL")))</f>
        <v>MINOR</v>
      </c>
      <c r="V51" s="20" t="str">
        <f aca="false">IF(U51="CLEAN","None",IF(U51="MINOR","Seller Notify",IF(U51="MODERATE","Listing Suspended","Immediate Removal")))</f>
        <v>Seller Notify</v>
      </c>
    </row>
    <row r="52" customFormat="false" ht="18" hidden="false" customHeight="true" outlineLevel="0" collapsed="false">
      <c r="A52" s="19" t="s">
        <v>6129</v>
      </c>
      <c r="B52" s="19" t="s">
        <v>532</v>
      </c>
      <c r="C52" s="19" t="s">
        <v>255</v>
      </c>
      <c r="D52" s="19" t="s">
        <v>256</v>
      </c>
      <c r="E52" s="19" t="s">
        <v>91</v>
      </c>
      <c r="F52" s="19" t="s">
        <v>138</v>
      </c>
      <c r="G52" s="19" t="s">
        <v>535</v>
      </c>
      <c r="H52" s="19" t="s">
        <v>536</v>
      </c>
      <c r="I52" s="19" t="s">
        <v>537</v>
      </c>
      <c r="J52" s="19" t="n">
        <v>2504.37</v>
      </c>
      <c r="K52" s="19" t="s">
        <v>541</v>
      </c>
      <c r="L52" s="19"/>
      <c r="M52" s="20" t="str">
        <f aca="false">IF(G52&lt;&gt;"","PASS","FAIL - Missing UPC")</f>
        <v>PASS</v>
      </c>
      <c r="N52" s="20" t="str">
        <f aca="false">IF(AND(G52&lt;&gt;"",H52&lt;&gt;""),IF("0"&amp;G52=H52,"PASS","FAIL - GTIN Mismatch"),"SKIP")</f>
        <v>PASS</v>
      </c>
      <c r="O52" s="20" t="str">
        <f aca="false">IF(I52="","FAIL - No Title",IF(LEN(I52)&lt;=126,"PASS","FAIL - Title &gt;"&amp;126&amp;" chars"))</f>
        <v>PASS</v>
      </c>
      <c r="P52" s="20" t="str">
        <f aca="false">IF(J52&gt;0,IF(J52&lt;5000,"PASS","FLAG - Review Price"),"FAIL - Zero Price")</f>
        <v>PASS</v>
      </c>
      <c r="Q52" s="20" t="str">
        <f aca="false">IF('Raw Catalog'!P50&lt;&gt;"","PASS","FAIL - No Image")</f>
        <v>PASS</v>
      </c>
      <c r="R52" s="20" t="str">
        <f aca="false">IF(F52&lt;&gt;"","PASS","FAIL - No Brand")</f>
        <v>PASS</v>
      </c>
      <c r="S52" s="20" t="str">
        <f aca="true">IF(K52="","FAIL - No Date",IF(TODAY()-DATEVALUE(K52)&lt;=180,"PASS","FLAG - Stale &gt;180d"))</f>
        <v>FLAG - Stale &gt;180d</v>
      </c>
      <c r="T52" s="20" t="n">
        <f aca="false">COUNTIF(M52:S52,"FAIL*")+COUNTIF(M52:S52,"FLAG*")</f>
        <v>1</v>
      </c>
      <c r="U52" s="20" t="str">
        <f aca="false">IF(T52=0,"CLEAN",IF(T52=1,"MINOR",IF(T52&lt;=3,"MODERATE","CRITICAL")))</f>
        <v>MINOR</v>
      </c>
      <c r="V52" s="20" t="str">
        <f aca="false">IF(U52="CLEAN","None",IF(U52="MINOR","Seller Notify",IF(U52="MODERATE","Listing Suspended","Immediate Removal")))</f>
        <v>Seller Notify</v>
      </c>
    </row>
    <row r="53" customFormat="false" ht="18" hidden="false" customHeight="true" outlineLevel="0" collapsed="false">
      <c r="A53" s="19" t="s">
        <v>6130</v>
      </c>
      <c r="B53" s="19" t="s">
        <v>542</v>
      </c>
      <c r="C53" s="19" t="s">
        <v>77</v>
      </c>
      <c r="D53" s="19" t="s">
        <v>78</v>
      </c>
      <c r="E53" s="19" t="s">
        <v>79</v>
      </c>
      <c r="F53" s="19" t="s">
        <v>51</v>
      </c>
      <c r="G53" s="19" t="s">
        <v>544</v>
      </c>
      <c r="H53" s="19" t="s">
        <v>545</v>
      </c>
      <c r="I53" s="19" t="s">
        <v>546</v>
      </c>
      <c r="J53" s="19" t="n">
        <v>1525.42</v>
      </c>
      <c r="K53" s="19" t="s">
        <v>407</v>
      </c>
      <c r="L53" s="21" t="s">
        <v>243</v>
      </c>
      <c r="M53" s="20" t="str">
        <f aca="false">IF(G53&lt;&gt;"","PASS","FAIL - Missing UPC")</f>
        <v>PASS</v>
      </c>
      <c r="N53" s="20" t="str">
        <f aca="false">IF(AND(G53&lt;&gt;"",H53&lt;&gt;""),IF("0"&amp;G53=H53,"PASS","FAIL - GTIN Mismatch"),"SKIP")</f>
        <v>FAIL - GTIN Mismatch</v>
      </c>
      <c r="O53" s="20" t="str">
        <f aca="false">IF(I53="","FAIL - No Title",IF(LEN(I53)&lt;=126,"PASS","FAIL - Title &gt;"&amp;126&amp;" chars"))</f>
        <v>PASS</v>
      </c>
      <c r="P53" s="20" t="str">
        <f aca="false">IF(J53&gt;0,IF(J53&lt;5000,"PASS","FLAG - Review Price"),"FAIL - Zero Price")</f>
        <v>PASS</v>
      </c>
      <c r="Q53" s="20" t="str">
        <f aca="false">IF('Raw Catalog'!P51&lt;&gt;"","PASS","FAIL - No Image")</f>
        <v>PASS</v>
      </c>
      <c r="R53" s="20" t="str">
        <f aca="false">IF(F53&lt;&gt;"","PASS","FAIL - No Brand")</f>
        <v>PASS</v>
      </c>
      <c r="S53" s="20" t="str">
        <f aca="true">IF(K53="","FAIL - No Date",IF(TODAY()-DATEVALUE(K53)&lt;=180,"PASS","FLAG - Stale &gt;180d"))</f>
        <v>FLAG - Stale &gt;180d</v>
      </c>
      <c r="T53" s="20" t="n">
        <f aca="false">COUNTIF(M53:S53,"FAIL*")+COUNTIF(M53:S53,"FLAG*")</f>
        <v>2</v>
      </c>
      <c r="U53" s="20" t="str">
        <f aca="false">IF(T53=0,"CLEAN",IF(T53=1,"MINOR",IF(T53&lt;=3,"MODERATE","CRITICAL")))</f>
        <v>MODERATE</v>
      </c>
      <c r="V53" s="20" t="str">
        <f aca="false">IF(U53="CLEAN","None",IF(U53="MINOR","Seller Notify",IF(U53="MODERATE","Listing Suspended","Immediate Removal")))</f>
        <v>Listing Suspended</v>
      </c>
    </row>
    <row r="54" customFormat="false" ht="18" hidden="false" customHeight="true" outlineLevel="0" collapsed="false">
      <c r="A54" s="19" t="s">
        <v>6131</v>
      </c>
      <c r="B54" s="19" t="s">
        <v>550</v>
      </c>
      <c r="C54" s="19" t="s">
        <v>125</v>
      </c>
      <c r="D54" s="19" t="s">
        <v>126</v>
      </c>
      <c r="E54" s="19" t="s">
        <v>65</v>
      </c>
      <c r="F54" s="19" t="s">
        <v>66</v>
      </c>
      <c r="G54" s="19" t="s">
        <v>552</v>
      </c>
      <c r="H54" s="19" t="s">
        <v>553</v>
      </c>
      <c r="I54" s="19" t="s">
        <v>71</v>
      </c>
      <c r="J54" s="19" t="n">
        <v>222.95</v>
      </c>
      <c r="K54" s="19" t="s">
        <v>554</v>
      </c>
      <c r="L54" s="19"/>
      <c r="M54" s="20" t="str">
        <f aca="false">IF(G54&lt;&gt;"","PASS","FAIL - Missing UPC")</f>
        <v>PASS</v>
      </c>
      <c r="N54" s="20" t="str">
        <f aca="false">IF(AND(G54&lt;&gt;"",H54&lt;&gt;""),IF("0"&amp;G54=H54,"PASS","FAIL - GTIN Mismatch"),"SKIP")</f>
        <v>PASS</v>
      </c>
      <c r="O54" s="20" t="str">
        <f aca="false">IF(I54="","FAIL - No Title",IF(LEN(I54)&lt;=126,"PASS","FAIL - Title &gt;"&amp;126&amp;" chars"))</f>
        <v>PASS</v>
      </c>
      <c r="P54" s="20" t="str">
        <f aca="false">IF(J54&gt;0,IF(J54&lt;5000,"PASS","FLAG - Review Price"),"FAIL - Zero Price")</f>
        <v>PASS</v>
      </c>
      <c r="Q54" s="20" t="str">
        <f aca="false">IF('Raw Catalog'!P52&lt;&gt;"","PASS","FAIL - No Image")</f>
        <v>PASS</v>
      </c>
      <c r="R54" s="20" t="str">
        <f aca="false">IF(F54&lt;&gt;"","PASS","FAIL - No Brand")</f>
        <v>PASS</v>
      </c>
      <c r="S54" s="20" t="str">
        <f aca="true">IF(K54="","FAIL - No Date",IF(TODAY()-DATEVALUE(K54)&lt;=180,"PASS","FLAG - Stale &gt;180d"))</f>
        <v>FLAG - Stale &gt;180d</v>
      </c>
      <c r="T54" s="20" t="n">
        <f aca="false">COUNTIF(M54:S54,"FAIL*")+COUNTIF(M54:S54,"FLAG*")</f>
        <v>1</v>
      </c>
      <c r="U54" s="20" t="str">
        <f aca="false">IF(T54=0,"CLEAN",IF(T54=1,"MINOR",IF(T54&lt;=3,"MODERATE","CRITICAL")))</f>
        <v>MINOR</v>
      </c>
      <c r="V54" s="20" t="str">
        <f aca="false">IF(U54="CLEAN","None",IF(U54="MINOR","Seller Notify",IF(U54="MODERATE","Listing Suspended","Immediate Removal")))</f>
        <v>Seller Notify</v>
      </c>
    </row>
    <row r="55" customFormat="false" ht="18" hidden="false" customHeight="true" outlineLevel="0" collapsed="false">
      <c r="A55" s="19" t="s">
        <v>6132</v>
      </c>
      <c r="B55" s="19" t="s">
        <v>555</v>
      </c>
      <c r="C55" s="19" t="s">
        <v>48</v>
      </c>
      <c r="D55" s="19" t="s">
        <v>49</v>
      </c>
      <c r="E55" s="19" t="s">
        <v>91</v>
      </c>
      <c r="F55" s="19" t="s">
        <v>138</v>
      </c>
      <c r="G55" s="19" t="s">
        <v>557</v>
      </c>
      <c r="H55" s="19" t="s">
        <v>558</v>
      </c>
      <c r="I55" s="19" t="s">
        <v>559</v>
      </c>
      <c r="J55" s="19" t="n">
        <v>503.82</v>
      </c>
      <c r="K55" s="19" t="s">
        <v>101</v>
      </c>
      <c r="L55" s="19"/>
      <c r="M55" s="20" t="str">
        <f aca="false">IF(G55&lt;&gt;"","PASS","FAIL - Missing UPC")</f>
        <v>PASS</v>
      </c>
      <c r="N55" s="20" t="str">
        <f aca="false">IF(AND(G55&lt;&gt;"",H55&lt;&gt;""),IF("0"&amp;G55=H55,"PASS","FAIL - GTIN Mismatch"),"SKIP")</f>
        <v>PASS</v>
      </c>
      <c r="O55" s="20" t="str">
        <f aca="false">IF(I55="","FAIL - No Title",IF(LEN(I55)&lt;=126,"PASS","FAIL - Title &gt;"&amp;126&amp;" chars"))</f>
        <v>PASS</v>
      </c>
      <c r="P55" s="20" t="str">
        <f aca="false">IF(J55&gt;0,IF(J55&lt;5000,"PASS","FLAG - Review Price"),"FAIL - Zero Price")</f>
        <v>PASS</v>
      </c>
      <c r="Q55" s="20" t="str">
        <f aca="false">IF('Raw Catalog'!P53&lt;&gt;"","PASS","FAIL - No Image")</f>
        <v>PASS</v>
      </c>
      <c r="R55" s="20" t="str">
        <f aca="false">IF(F55&lt;&gt;"","PASS","FAIL - No Brand")</f>
        <v>PASS</v>
      </c>
      <c r="S55" s="20" t="str">
        <f aca="true">IF(K55="","FAIL - No Date",IF(TODAY()-DATEVALUE(K55)&lt;=180,"PASS","FLAG - Stale &gt;180d"))</f>
        <v>FLAG - Stale &gt;180d</v>
      </c>
      <c r="T55" s="20" t="n">
        <f aca="false">COUNTIF(M55:S55,"FAIL*")+COUNTIF(M55:S55,"FLAG*")</f>
        <v>1</v>
      </c>
      <c r="U55" s="20" t="str">
        <f aca="false">IF(T55=0,"CLEAN",IF(T55=1,"MINOR",IF(T55&lt;=3,"MODERATE","CRITICAL")))</f>
        <v>MINOR</v>
      </c>
      <c r="V55" s="20" t="str">
        <f aca="false">IF(U55="CLEAN","None",IF(U55="MINOR","Seller Notify",IF(U55="MODERATE","Listing Suspended","Immediate Removal")))</f>
        <v>Seller Notify</v>
      </c>
    </row>
    <row r="56" customFormat="false" ht="18" hidden="false" customHeight="true" outlineLevel="0" collapsed="false">
      <c r="A56" s="19" t="s">
        <v>6133</v>
      </c>
      <c r="B56" s="19" t="s">
        <v>561</v>
      </c>
      <c r="C56" s="19" t="s">
        <v>77</v>
      </c>
      <c r="D56" s="19" t="s">
        <v>78</v>
      </c>
      <c r="E56" s="19" t="s">
        <v>79</v>
      </c>
      <c r="F56" s="19" t="s">
        <v>513</v>
      </c>
      <c r="G56" s="19" t="s">
        <v>564</v>
      </c>
      <c r="H56" s="19" t="s">
        <v>565</v>
      </c>
      <c r="I56" s="19" t="s">
        <v>566</v>
      </c>
      <c r="J56" s="19" t="n">
        <v>2467.96</v>
      </c>
      <c r="K56" s="19" t="s">
        <v>570</v>
      </c>
      <c r="L56" s="19"/>
      <c r="M56" s="20" t="str">
        <f aca="false">IF(G56&lt;&gt;"","PASS","FAIL - Missing UPC")</f>
        <v>PASS</v>
      </c>
      <c r="N56" s="20" t="str">
        <f aca="false">IF(AND(G56&lt;&gt;"",H56&lt;&gt;""),IF("0"&amp;G56=H56,"PASS","FAIL - GTIN Mismatch"),"SKIP")</f>
        <v>PASS</v>
      </c>
      <c r="O56" s="20" t="str">
        <f aca="false">IF(I56="","FAIL - No Title",IF(LEN(I56)&lt;=126,"PASS","FAIL - Title &gt;"&amp;126&amp;" chars"))</f>
        <v>PASS</v>
      </c>
      <c r="P56" s="20" t="str">
        <f aca="false">IF(J56&gt;0,IF(J56&lt;5000,"PASS","FLAG - Review Price"),"FAIL - Zero Price")</f>
        <v>PASS</v>
      </c>
      <c r="Q56" s="20" t="str">
        <f aca="false">IF('Raw Catalog'!P54&lt;&gt;"","PASS","FAIL - No Image")</f>
        <v>PASS</v>
      </c>
      <c r="R56" s="20" t="str">
        <f aca="false">IF(F56&lt;&gt;"","PASS","FAIL - No Brand")</f>
        <v>PASS</v>
      </c>
      <c r="S56" s="20" t="str">
        <f aca="true">IF(K56="","FAIL - No Date",IF(TODAY()-DATEVALUE(K56)&lt;=180,"PASS","FLAG - Stale &gt;180d"))</f>
        <v>FLAG - Stale &gt;180d</v>
      </c>
      <c r="T56" s="20" t="n">
        <f aca="false">COUNTIF(M56:S56,"FAIL*")+COUNTIF(M56:S56,"FLAG*")</f>
        <v>1</v>
      </c>
      <c r="U56" s="20" t="str">
        <f aca="false">IF(T56=0,"CLEAN",IF(T56=1,"MINOR",IF(T56&lt;=3,"MODERATE","CRITICAL")))</f>
        <v>MINOR</v>
      </c>
      <c r="V56" s="20" t="str">
        <f aca="false">IF(U56="CLEAN","None",IF(U56="MINOR","Seller Notify",IF(U56="MODERATE","Listing Suspended","Immediate Removal")))</f>
        <v>Seller Notify</v>
      </c>
    </row>
    <row r="57" customFormat="false" ht="18" hidden="false" customHeight="true" outlineLevel="0" collapsed="false">
      <c r="A57" s="19" t="s">
        <v>6134</v>
      </c>
      <c r="B57" s="19" t="s">
        <v>571</v>
      </c>
      <c r="C57" s="19" t="s">
        <v>48</v>
      </c>
      <c r="D57" s="19" t="s">
        <v>49</v>
      </c>
      <c r="E57" s="19" t="s">
        <v>65</v>
      </c>
      <c r="F57" s="19" t="s">
        <v>438</v>
      </c>
      <c r="G57" s="19" t="s">
        <v>573</v>
      </c>
      <c r="H57" s="19" t="s">
        <v>574</v>
      </c>
      <c r="I57" s="19" t="s">
        <v>442</v>
      </c>
      <c r="J57" s="19" t="n">
        <v>63.32</v>
      </c>
      <c r="K57" s="19" t="s">
        <v>576</v>
      </c>
      <c r="L57" s="19"/>
      <c r="M57" s="20" t="str">
        <f aca="false">IF(G57&lt;&gt;"","PASS","FAIL - Missing UPC")</f>
        <v>PASS</v>
      </c>
      <c r="N57" s="20" t="str">
        <f aca="false">IF(AND(G57&lt;&gt;"",H57&lt;&gt;""),IF("0"&amp;G57=H57,"PASS","FAIL - GTIN Mismatch"),"SKIP")</f>
        <v>PASS</v>
      </c>
      <c r="O57" s="20" t="str">
        <f aca="false">IF(I57="","FAIL - No Title",IF(LEN(I57)&lt;=126,"PASS","FAIL - Title &gt;"&amp;126&amp;" chars"))</f>
        <v>PASS</v>
      </c>
      <c r="P57" s="20" t="str">
        <f aca="false">IF(J57&gt;0,IF(J57&lt;5000,"PASS","FLAG - Review Price"),"FAIL - Zero Price")</f>
        <v>PASS</v>
      </c>
      <c r="Q57" s="20" t="str">
        <f aca="false">IF('Raw Catalog'!P55&lt;&gt;"","PASS","FAIL - No Image")</f>
        <v>PASS</v>
      </c>
      <c r="R57" s="20" t="str">
        <f aca="false">IF(F57&lt;&gt;"","PASS","FAIL - No Brand")</f>
        <v>PASS</v>
      </c>
      <c r="S57" s="20" t="str">
        <f aca="true">IF(K57="","FAIL - No Date",IF(TODAY()-DATEVALUE(K57)&lt;=180,"PASS","FLAG - Stale &gt;180d"))</f>
        <v>FLAG - Stale &gt;180d</v>
      </c>
      <c r="T57" s="20" t="n">
        <f aca="false">COUNTIF(M57:S57,"FAIL*")+COUNTIF(M57:S57,"FLAG*")</f>
        <v>1</v>
      </c>
      <c r="U57" s="20" t="str">
        <f aca="false">IF(T57=0,"CLEAN",IF(T57=1,"MINOR",IF(T57&lt;=3,"MODERATE","CRITICAL")))</f>
        <v>MINOR</v>
      </c>
      <c r="V57" s="20" t="str">
        <f aca="false">IF(U57="CLEAN","None",IF(U57="MINOR","Seller Notify",IF(U57="MODERATE","Listing Suspended","Immediate Removal")))</f>
        <v>Seller Notify</v>
      </c>
    </row>
    <row r="58" customFormat="false" ht="18" hidden="false" customHeight="true" outlineLevel="0" collapsed="false">
      <c r="A58" s="19" t="s">
        <v>6135</v>
      </c>
      <c r="B58" s="19" t="s">
        <v>577</v>
      </c>
      <c r="C58" s="19" t="s">
        <v>159</v>
      </c>
      <c r="D58" s="19" t="s">
        <v>160</v>
      </c>
      <c r="E58" s="19" t="s">
        <v>50</v>
      </c>
      <c r="F58" s="19" t="s">
        <v>127</v>
      </c>
      <c r="G58" s="19" t="s">
        <v>579</v>
      </c>
      <c r="H58" s="19" t="s">
        <v>580</v>
      </c>
      <c r="I58" s="19" t="s">
        <v>581</v>
      </c>
      <c r="J58" s="19" t="n">
        <v>371.69</v>
      </c>
      <c r="K58" s="19" t="s">
        <v>585</v>
      </c>
      <c r="L58" s="19"/>
      <c r="M58" s="20" t="str">
        <f aca="false">IF(G58&lt;&gt;"","PASS","FAIL - Missing UPC")</f>
        <v>PASS</v>
      </c>
      <c r="N58" s="20" t="str">
        <f aca="false">IF(AND(G58&lt;&gt;"",H58&lt;&gt;""),IF("0"&amp;G58=H58,"PASS","FAIL - GTIN Mismatch"),"SKIP")</f>
        <v>PASS</v>
      </c>
      <c r="O58" s="20" t="str">
        <f aca="false">IF(I58="","FAIL - No Title",IF(LEN(I58)&lt;=126,"PASS","FAIL - Title &gt;"&amp;126&amp;" chars"))</f>
        <v>PASS</v>
      </c>
      <c r="P58" s="20" t="str">
        <f aca="false">IF(J58&gt;0,IF(J58&lt;5000,"PASS","FLAG - Review Price"),"FAIL - Zero Price")</f>
        <v>PASS</v>
      </c>
      <c r="Q58" s="20" t="str">
        <f aca="false">IF('Raw Catalog'!P56&lt;&gt;"","PASS","FAIL - No Image")</f>
        <v>PASS</v>
      </c>
      <c r="R58" s="20" t="str">
        <f aca="false">IF(F58&lt;&gt;"","PASS","FAIL - No Brand")</f>
        <v>PASS</v>
      </c>
      <c r="S58" s="20" t="str">
        <f aca="true">IF(K58="","FAIL - No Date",IF(TODAY()-DATEVALUE(K58)&lt;=180,"PASS","FLAG - Stale &gt;180d"))</f>
        <v>FLAG - Stale &gt;180d</v>
      </c>
      <c r="T58" s="20" t="n">
        <f aca="false">COUNTIF(M58:S58,"FAIL*")+COUNTIF(M58:S58,"FLAG*")</f>
        <v>1</v>
      </c>
      <c r="U58" s="20" t="str">
        <f aca="false">IF(T58=0,"CLEAN",IF(T58=1,"MINOR",IF(T58&lt;=3,"MODERATE","CRITICAL")))</f>
        <v>MINOR</v>
      </c>
      <c r="V58" s="20" t="str">
        <f aca="false">IF(U58="CLEAN","None",IF(U58="MINOR","Seller Notify",IF(U58="MODERATE","Listing Suspended","Immediate Removal")))</f>
        <v>Seller Notify</v>
      </c>
    </row>
    <row r="59" customFormat="false" ht="18" hidden="false" customHeight="true" outlineLevel="0" collapsed="false">
      <c r="A59" s="19" t="s">
        <v>6136</v>
      </c>
      <c r="B59" s="19" t="s">
        <v>586</v>
      </c>
      <c r="C59" s="19" t="s">
        <v>113</v>
      </c>
      <c r="D59" s="19" t="s">
        <v>114</v>
      </c>
      <c r="E59" s="19" t="s">
        <v>91</v>
      </c>
      <c r="F59" s="19" t="s">
        <v>587</v>
      </c>
      <c r="G59" s="19" t="s">
        <v>589</v>
      </c>
      <c r="H59" s="19" t="s">
        <v>590</v>
      </c>
      <c r="I59" s="19" t="s">
        <v>591</v>
      </c>
      <c r="J59" s="19" t="n">
        <v>3756.02</v>
      </c>
      <c r="K59" s="19" t="s">
        <v>595</v>
      </c>
      <c r="L59" s="19"/>
      <c r="M59" s="20" t="str">
        <f aca="false">IF(G59&lt;&gt;"","PASS","FAIL - Missing UPC")</f>
        <v>PASS</v>
      </c>
      <c r="N59" s="20" t="str">
        <f aca="false">IF(AND(G59&lt;&gt;"",H59&lt;&gt;""),IF("0"&amp;G59=H59,"PASS","FAIL - GTIN Mismatch"),"SKIP")</f>
        <v>PASS</v>
      </c>
      <c r="O59" s="20" t="str">
        <f aca="false">IF(I59="","FAIL - No Title",IF(LEN(I59)&lt;=126,"PASS","FAIL - Title &gt;"&amp;126&amp;" chars"))</f>
        <v>PASS</v>
      </c>
      <c r="P59" s="20" t="str">
        <f aca="false">IF(J59&gt;0,IF(J59&lt;5000,"PASS","FLAG - Review Price"),"FAIL - Zero Price")</f>
        <v>PASS</v>
      </c>
      <c r="Q59" s="20" t="str">
        <f aca="false">IF('Raw Catalog'!P57&lt;&gt;"","PASS","FAIL - No Image")</f>
        <v>PASS</v>
      </c>
      <c r="R59" s="20" t="str">
        <f aca="false">IF(F59&lt;&gt;"","PASS","FAIL - No Brand")</f>
        <v>PASS</v>
      </c>
      <c r="S59" s="20" t="str">
        <f aca="true">IF(K59="","FAIL - No Date",IF(TODAY()-DATEVALUE(K59)&lt;=180,"PASS","FLAG - Stale &gt;180d"))</f>
        <v>FLAG - Stale &gt;180d</v>
      </c>
      <c r="T59" s="20" t="n">
        <f aca="false">COUNTIF(M59:S59,"FAIL*")+COUNTIF(M59:S59,"FLAG*")</f>
        <v>1</v>
      </c>
      <c r="U59" s="20" t="str">
        <f aca="false">IF(T59=0,"CLEAN",IF(T59=1,"MINOR",IF(T59&lt;=3,"MODERATE","CRITICAL")))</f>
        <v>MINOR</v>
      </c>
      <c r="V59" s="20" t="str">
        <f aca="false">IF(U59="CLEAN","None",IF(U59="MINOR","Seller Notify",IF(U59="MODERATE","Listing Suspended","Immediate Removal")))</f>
        <v>Seller Notify</v>
      </c>
    </row>
    <row r="60" customFormat="false" ht="18" hidden="false" customHeight="true" outlineLevel="0" collapsed="false">
      <c r="A60" s="19" t="s">
        <v>6137</v>
      </c>
      <c r="B60" s="19" t="s">
        <v>596</v>
      </c>
      <c r="C60" s="19" t="s">
        <v>113</v>
      </c>
      <c r="D60" s="19" t="s">
        <v>114</v>
      </c>
      <c r="E60" s="19" t="s">
        <v>79</v>
      </c>
      <c r="F60" s="19" t="s">
        <v>196</v>
      </c>
      <c r="G60" s="19" t="s">
        <v>598</v>
      </c>
      <c r="H60" s="19" t="s">
        <v>599</v>
      </c>
      <c r="I60" s="19" t="s">
        <v>600</v>
      </c>
      <c r="J60" s="19" t="n">
        <v>2145.09</v>
      </c>
      <c r="K60" s="19" t="s">
        <v>604</v>
      </c>
      <c r="L60" s="19"/>
      <c r="M60" s="20" t="str">
        <f aca="false">IF(G60&lt;&gt;"","PASS","FAIL - Missing UPC")</f>
        <v>PASS</v>
      </c>
      <c r="N60" s="20" t="str">
        <f aca="false">IF(AND(G60&lt;&gt;"",H60&lt;&gt;""),IF("0"&amp;G60=H60,"PASS","FAIL - GTIN Mismatch"),"SKIP")</f>
        <v>PASS</v>
      </c>
      <c r="O60" s="20" t="str">
        <f aca="false">IF(I60="","FAIL - No Title",IF(LEN(I60)&lt;=126,"PASS","FAIL - Title &gt;"&amp;126&amp;" chars"))</f>
        <v>PASS</v>
      </c>
      <c r="P60" s="20" t="str">
        <f aca="false">IF(J60&gt;0,IF(J60&lt;5000,"PASS","FLAG - Review Price"),"FAIL - Zero Price")</f>
        <v>PASS</v>
      </c>
      <c r="Q60" s="20" t="str">
        <f aca="false">IF('Raw Catalog'!P58&lt;&gt;"","PASS","FAIL - No Image")</f>
        <v>PASS</v>
      </c>
      <c r="R60" s="20" t="str">
        <f aca="false">IF(F60&lt;&gt;"","PASS","FAIL - No Brand")</f>
        <v>PASS</v>
      </c>
      <c r="S60" s="20" t="str">
        <f aca="true">IF(K60="","FAIL - No Date",IF(TODAY()-DATEVALUE(K60)&lt;=180,"PASS","FLAG - Stale &gt;180d"))</f>
        <v>FLAG - Stale &gt;180d</v>
      </c>
      <c r="T60" s="20" t="n">
        <f aca="false">COUNTIF(M60:S60,"FAIL*")+COUNTIF(M60:S60,"FLAG*")</f>
        <v>1</v>
      </c>
      <c r="U60" s="20" t="str">
        <f aca="false">IF(T60=0,"CLEAN",IF(T60=1,"MINOR",IF(T60&lt;=3,"MODERATE","CRITICAL")))</f>
        <v>MINOR</v>
      </c>
      <c r="V60" s="20" t="str">
        <f aca="false">IF(U60="CLEAN","None",IF(U60="MINOR","Seller Notify",IF(U60="MODERATE","Listing Suspended","Immediate Removal")))</f>
        <v>Seller Notify</v>
      </c>
    </row>
    <row r="61" customFormat="false" ht="18" hidden="false" customHeight="true" outlineLevel="0" collapsed="false">
      <c r="A61" s="19" t="s">
        <v>6138</v>
      </c>
      <c r="B61" s="19" t="s">
        <v>605</v>
      </c>
      <c r="C61" s="19" t="s">
        <v>255</v>
      </c>
      <c r="D61" s="19" t="s">
        <v>256</v>
      </c>
      <c r="E61" s="19" t="s">
        <v>91</v>
      </c>
      <c r="F61" s="19" t="s">
        <v>138</v>
      </c>
      <c r="G61" s="19" t="s">
        <v>607</v>
      </c>
      <c r="H61" s="19" t="s">
        <v>608</v>
      </c>
      <c r="I61" s="19" t="s">
        <v>609</v>
      </c>
      <c r="J61" s="19" t="n">
        <v>3893.45</v>
      </c>
      <c r="K61" s="19" t="s">
        <v>611</v>
      </c>
      <c r="L61" s="19"/>
      <c r="M61" s="20" t="str">
        <f aca="false">IF(G61&lt;&gt;"","PASS","FAIL - Missing UPC")</f>
        <v>PASS</v>
      </c>
      <c r="N61" s="20" t="str">
        <f aca="false">IF(AND(G61&lt;&gt;"",H61&lt;&gt;""),IF("0"&amp;G61=H61,"PASS","FAIL - GTIN Mismatch"),"SKIP")</f>
        <v>PASS</v>
      </c>
      <c r="O61" s="20" t="str">
        <f aca="false">IF(I61="","FAIL - No Title",IF(LEN(I61)&lt;=126,"PASS","FAIL - Title &gt;"&amp;126&amp;" chars"))</f>
        <v>PASS</v>
      </c>
      <c r="P61" s="20" t="str">
        <f aca="false">IF(J61&gt;0,IF(J61&lt;5000,"PASS","FLAG - Review Price"),"FAIL - Zero Price")</f>
        <v>PASS</v>
      </c>
      <c r="Q61" s="20" t="str">
        <f aca="false">IF('Raw Catalog'!P59&lt;&gt;"","PASS","FAIL - No Image")</f>
        <v>PASS</v>
      </c>
      <c r="R61" s="20" t="str">
        <f aca="false">IF(F61&lt;&gt;"","PASS","FAIL - No Brand")</f>
        <v>PASS</v>
      </c>
      <c r="S61" s="20" t="str">
        <f aca="true">IF(K61="","FAIL - No Date",IF(TODAY()-DATEVALUE(K61)&lt;=180,"PASS","FLAG - Stale &gt;180d"))</f>
        <v>FLAG - Stale &gt;180d</v>
      </c>
      <c r="T61" s="20" t="n">
        <f aca="false">COUNTIF(M61:S61,"FAIL*")+COUNTIF(M61:S61,"FLAG*")</f>
        <v>1</v>
      </c>
      <c r="U61" s="20" t="str">
        <f aca="false">IF(T61=0,"CLEAN",IF(T61=1,"MINOR",IF(T61&lt;=3,"MODERATE","CRITICAL")))</f>
        <v>MINOR</v>
      </c>
      <c r="V61" s="20" t="str">
        <f aca="false">IF(U61="CLEAN","None",IF(U61="MINOR","Seller Notify",IF(U61="MODERATE","Listing Suspended","Immediate Removal")))</f>
        <v>Seller Notify</v>
      </c>
    </row>
    <row r="62" customFormat="false" ht="18" hidden="false" customHeight="true" outlineLevel="0" collapsed="false">
      <c r="A62" s="19" t="s">
        <v>6139</v>
      </c>
      <c r="B62" s="19" t="s">
        <v>612</v>
      </c>
      <c r="C62" s="19" t="s">
        <v>255</v>
      </c>
      <c r="D62" s="19" t="s">
        <v>256</v>
      </c>
      <c r="E62" s="19" t="s">
        <v>79</v>
      </c>
      <c r="F62" s="19" t="s">
        <v>513</v>
      </c>
      <c r="G62" s="19" t="s">
        <v>614</v>
      </c>
      <c r="H62" s="19" t="s">
        <v>615</v>
      </c>
      <c r="I62" s="19" t="s">
        <v>616</v>
      </c>
      <c r="J62" s="19" t="n">
        <v>1549.68</v>
      </c>
      <c r="K62" s="19" t="s">
        <v>522</v>
      </c>
      <c r="L62" s="21" t="s">
        <v>243</v>
      </c>
      <c r="M62" s="20" t="str">
        <f aca="false">IF(G62&lt;&gt;"","PASS","FAIL - Missing UPC")</f>
        <v>PASS</v>
      </c>
      <c r="N62" s="20" t="str">
        <f aca="false">IF(AND(G62&lt;&gt;"",H62&lt;&gt;""),IF("0"&amp;G62=H62,"PASS","FAIL - GTIN Mismatch"),"SKIP")</f>
        <v>FAIL - GTIN Mismatch</v>
      </c>
      <c r="O62" s="20" t="str">
        <f aca="false">IF(I62="","FAIL - No Title",IF(LEN(I62)&lt;=126,"PASS","FAIL - Title &gt;"&amp;126&amp;" chars"))</f>
        <v>PASS</v>
      </c>
      <c r="P62" s="20" t="str">
        <f aca="false">IF(J62&gt;0,IF(J62&lt;5000,"PASS","FLAG - Review Price"),"FAIL - Zero Price")</f>
        <v>PASS</v>
      </c>
      <c r="Q62" s="20" t="str">
        <f aca="false">IF('Raw Catalog'!P60&lt;&gt;"","PASS","FAIL - No Image")</f>
        <v>PASS</v>
      </c>
      <c r="R62" s="20" t="str">
        <f aca="false">IF(F62&lt;&gt;"","PASS","FAIL - No Brand")</f>
        <v>PASS</v>
      </c>
      <c r="S62" s="20" t="str">
        <f aca="true">IF(K62="","FAIL - No Date",IF(TODAY()-DATEVALUE(K62)&lt;=180,"PASS","FLAG - Stale &gt;180d"))</f>
        <v>FLAG - Stale &gt;180d</v>
      </c>
      <c r="T62" s="20" t="n">
        <f aca="false">COUNTIF(M62:S62,"FAIL*")+COUNTIF(M62:S62,"FLAG*")</f>
        <v>2</v>
      </c>
      <c r="U62" s="20" t="str">
        <f aca="false">IF(T62=0,"CLEAN",IF(T62=1,"MINOR",IF(T62&lt;=3,"MODERATE","CRITICAL")))</f>
        <v>MODERATE</v>
      </c>
      <c r="V62" s="20" t="str">
        <f aca="false">IF(U62="CLEAN","None",IF(U62="MINOR","Seller Notify",IF(U62="MODERATE","Listing Suspended","Immediate Removal")))</f>
        <v>Listing Suspended</v>
      </c>
    </row>
    <row r="63" customFormat="false" ht="18" hidden="false" customHeight="true" outlineLevel="0" collapsed="false">
      <c r="A63" s="19" t="s">
        <v>6140</v>
      </c>
      <c r="B63" s="19" t="s">
        <v>620</v>
      </c>
      <c r="C63" s="19" t="s">
        <v>255</v>
      </c>
      <c r="D63" s="19" t="s">
        <v>256</v>
      </c>
      <c r="E63" s="19" t="s">
        <v>91</v>
      </c>
      <c r="F63" s="19" t="s">
        <v>419</v>
      </c>
      <c r="G63" s="19"/>
      <c r="H63" s="19" t="s">
        <v>622</v>
      </c>
      <c r="I63" s="19" t="s">
        <v>623</v>
      </c>
      <c r="J63" s="19" t="n">
        <v>3578.74</v>
      </c>
      <c r="K63" s="19" t="s">
        <v>627</v>
      </c>
      <c r="L63" s="21" t="s">
        <v>272</v>
      </c>
      <c r="M63" s="20" t="str">
        <f aca="false">IF(G63&lt;&gt;"","PASS","FAIL - Missing UPC")</f>
        <v>FAIL - Missing UPC</v>
      </c>
      <c r="N63" s="20" t="str">
        <f aca="false">IF(AND(G63&lt;&gt;"",H63&lt;&gt;""),IF("0"&amp;G63=H63,"PASS","FAIL - GTIN Mismatch"),"SKIP")</f>
        <v>SKIP</v>
      </c>
      <c r="O63" s="20" t="str">
        <f aca="false">IF(I63="","FAIL - No Title",IF(LEN(I63)&lt;=126,"PASS","FAIL - Title &gt;"&amp;126&amp;" chars"))</f>
        <v>PASS</v>
      </c>
      <c r="P63" s="20" t="str">
        <f aca="false">IF(J63&gt;0,IF(J63&lt;5000,"PASS","FLAG - Review Price"),"FAIL - Zero Price")</f>
        <v>PASS</v>
      </c>
      <c r="Q63" s="20" t="str">
        <f aca="false">IF('Raw Catalog'!P61&lt;&gt;"","PASS","FAIL - No Image")</f>
        <v>PASS</v>
      </c>
      <c r="R63" s="20" t="str">
        <f aca="false">IF(F63&lt;&gt;"","PASS","FAIL - No Brand")</f>
        <v>PASS</v>
      </c>
      <c r="S63" s="20" t="str">
        <f aca="true">IF(K63="","FAIL - No Date",IF(TODAY()-DATEVALUE(K63)&lt;=180,"PASS","FLAG - Stale &gt;180d"))</f>
        <v>FLAG - Stale &gt;180d</v>
      </c>
      <c r="T63" s="20" t="n">
        <f aca="false">COUNTIF(M63:S63,"FAIL*")+COUNTIF(M63:S63,"FLAG*")</f>
        <v>2</v>
      </c>
      <c r="U63" s="20" t="str">
        <f aca="false">IF(T63=0,"CLEAN",IF(T63=1,"MINOR",IF(T63&lt;=3,"MODERATE","CRITICAL")))</f>
        <v>MODERATE</v>
      </c>
      <c r="V63" s="20" t="str">
        <f aca="false">IF(U63="CLEAN","None",IF(U63="MINOR","Seller Notify",IF(U63="MODERATE","Listing Suspended","Immediate Removal")))</f>
        <v>Listing Suspended</v>
      </c>
    </row>
    <row r="64" customFormat="false" ht="18" hidden="false" customHeight="true" outlineLevel="0" collapsed="false">
      <c r="A64" s="19" t="s">
        <v>6141</v>
      </c>
      <c r="B64" s="19" t="s">
        <v>628</v>
      </c>
      <c r="C64" s="19" t="s">
        <v>63</v>
      </c>
      <c r="D64" s="19" t="s">
        <v>64</v>
      </c>
      <c r="E64" s="19" t="s">
        <v>161</v>
      </c>
      <c r="F64" s="19" t="s">
        <v>306</v>
      </c>
      <c r="G64" s="19" t="s">
        <v>630</v>
      </c>
      <c r="H64" s="19" t="s">
        <v>631</v>
      </c>
      <c r="I64" s="19" t="s">
        <v>632</v>
      </c>
      <c r="J64" s="19" t="n">
        <v>469.77</v>
      </c>
      <c r="K64" s="19" t="s">
        <v>417</v>
      </c>
      <c r="L64" s="19"/>
      <c r="M64" s="20" t="str">
        <f aca="false">IF(G64&lt;&gt;"","PASS","FAIL - Missing UPC")</f>
        <v>PASS</v>
      </c>
      <c r="N64" s="20" t="str">
        <f aca="false">IF(AND(G64&lt;&gt;"",H64&lt;&gt;""),IF("0"&amp;G64=H64,"PASS","FAIL - GTIN Mismatch"),"SKIP")</f>
        <v>PASS</v>
      </c>
      <c r="O64" s="20" t="str">
        <f aca="false">IF(I64="","FAIL - No Title",IF(LEN(I64)&lt;=126,"PASS","FAIL - Title &gt;"&amp;126&amp;" chars"))</f>
        <v>PASS</v>
      </c>
      <c r="P64" s="20" t="str">
        <f aca="false">IF(J64&gt;0,IF(J64&lt;5000,"PASS","FLAG - Review Price"),"FAIL - Zero Price")</f>
        <v>PASS</v>
      </c>
      <c r="Q64" s="20" t="str">
        <f aca="false">IF('Raw Catalog'!P62&lt;&gt;"","PASS","FAIL - No Image")</f>
        <v>PASS</v>
      </c>
      <c r="R64" s="20" t="str">
        <f aca="false">IF(F64&lt;&gt;"","PASS","FAIL - No Brand")</f>
        <v>PASS</v>
      </c>
      <c r="S64" s="20" t="str">
        <f aca="true">IF(K64="","FAIL - No Date",IF(TODAY()-DATEVALUE(K64)&lt;=180,"PASS","FLAG - Stale &gt;180d"))</f>
        <v>FLAG - Stale &gt;180d</v>
      </c>
      <c r="T64" s="20" t="n">
        <f aca="false">COUNTIF(M64:S64,"FAIL*")+COUNTIF(M64:S64,"FLAG*")</f>
        <v>1</v>
      </c>
      <c r="U64" s="20" t="str">
        <f aca="false">IF(T64=0,"CLEAN",IF(T64=1,"MINOR",IF(T64&lt;=3,"MODERATE","CRITICAL")))</f>
        <v>MINOR</v>
      </c>
      <c r="V64" s="20" t="str">
        <f aca="false">IF(U64="CLEAN","None",IF(U64="MINOR","Seller Notify",IF(U64="MODERATE","Listing Suspended","Immediate Removal")))</f>
        <v>Seller Notify</v>
      </c>
    </row>
    <row r="65" customFormat="false" ht="18" hidden="false" customHeight="true" outlineLevel="0" collapsed="false">
      <c r="A65" s="19" t="s">
        <v>6142</v>
      </c>
      <c r="B65" s="19" t="s">
        <v>636</v>
      </c>
      <c r="C65" s="19" t="s">
        <v>125</v>
      </c>
      <c r="D65" s="19" t="s">
        <v>126</v>
      </c>
      <c r="E65" s="19" t="s">
        <v>161</v>
      </c>
      <c r="F65" s="19" t="s">
        <v>185</v>
      </c>
      <c r="G65" s="19" t="s">
        <v>638</v>
      </c>
      <c r="H65" s="19" t="s">
        <v>639</v>
      </c>
      <c r="I65" s="19" t="s">
        <v>640</v>
      </c>
      <c r="J65" s="19" t="n">
        <v>299.27</v>
      </c>
      <c r="K65" s="19" t="s">
        <v>644</v>
      </c>
      <c r="L65" s="19"/>
      <c r="M65" s="20" t="str">
        <f aca="false">IF(G65&lt;&gt;"","PASS","FAIL - Missing UPC")</f>
        <v>PASS</v>
      </c>
      <c r="N65" s="20" t="str">
        <f aca="false">IF(AND(G65&lt;&gt;"",H65&lt;&gt;""),IF("0"&amp;G65=H65,"PASS","FAIL - GTIN Mismatch"),"SKIP")</f>
        <v>PASS</v>
      </c>
      <c r="O65" s="20" t="str">
        <f aca="false">IF(I65="","FAIL - No Title",IF(LEN(I65)&lt;=126,"PASS","FAIL - Title &gt;"&amp;126&amp;" chars"))</f>
        <v>PASS</v>
      </c>
      <c r="P65" s="20" t="str">
        <f aca="false">IF(J65&gt;0,IF(J65&lt;5000,"PASS","FLAG - Review Price"),"FAIL - Zero Price")</f>
        <v>PASS</v>
      </c>
      <c r="Q65" s="20" t="str">
        <f aca="false">IF('Raw Catalog'!P63&lt;&gt;"","PASS","FAIL - No Image")</f>
        <v>PASS</v>
      </c>
      <c r="R65" s="20" t="str">
        <f aca="false">IF(F65&lt;&gt;"","PASS","FAIL - No Brand")</f>
        <v>PASS</v>
      </c>
      <c r="S65" s="20" t="str">
        <f aca="true">IF(K65="","FAIL - No Date",IF(TODAY()-DATEVALUE(K65)&lt;=180,"PASS","FLAG - Stale &gt;180d"))</f>
        <v>FLAG - Stale &gt;180d</v>
      </c>
      <c r="T65" s="20" t="n">
        <f aca="false">COUNTIF(M65:S65,"FAIL*")+COUNTIF(M65:S65,"FLAG*")</f>
        <v>1</v>
      </c>
      <c r="U65" s="20" t="str">
        <f aca="false">IF(T65=0,"CLEAN",IF(T65=1,"MINOR",IF(T65&lt;=3,"MODERATE","CRITICAL")))</f>
        <v>MINOR</v>
      </c>
      <c r="V65" s="20" t="str">
        <f aca="false">IF(U65="CLEAN","None",IF(U65="MINOR","Seller Notify",IF(U65="MODERATE","Listing Suspended","Immediate Removal")))</f>
        <v>Seller Notify</v>
      </c>
    </row>
    <row r="66" customFormat="false" ht="18" hidden="false" customHeight="true" outlineLevel="0" collapsed="false">
      <c r="A66" s="19" t="s">
        <v>6143</v>
      </c>
      <c r="B66" s="19" t="s">
        <v>645</v>
      </c>
      <c r="C66" s="19" t="s">
        <v>113</v>
      </c>
      <c r="D66" s="19" t="s">
        <v>114</v>
      </c>
      <c r="E66" s="19" t="s">
        <v>65</v>
      </c>
      <c r="F66" s="19" t="s">
        <v>66</v>
      </c>
      <c r="G66" s="19" t="s">
        <v>647</v>
      </c>
      <c r="H66" s="19" t="s">
        <v>648</v>
      </c>
      <c r="I66" s="19" t="s">
        <v>649</v>
      </c>
      <c r="J66" s="19" t="n">
        <v>280.27</v>
      </c>
      <c r="K66" s="19" t="s">
        <v>653</v>
      </c>
      <c r="L66" s="19"/>
      <c r="M66" s="20" t="str">
        <f aca="false">IF(G66&lt;&gt;"","PASS","FAIL - Missing UPC")</f>
        <v>PASS</v>
      </c>
      <c r="N66" s="20" t="str">
        <f aca="false">IF(AND(G66&lt;&gt;"",H66&lt;&gt;""),IF("0"&amp;G66=H66,"PASS","FAIL - GTIN Mismatch"),"SKIP")</f>
        <v>PASS</v>
      </c>
      <c r="O66" s="20" t="str">
        <f aca="false">IF(I66="","FAIL - No Title",IF(LEN(I66)&lt;=126,"PASS","FAIL - Title &gt;"&amp;126&amp;" chars"))</f>
        <v>PASS</v>
      </c>
      <c r="P66" s="20" t="str">
        <f aca="false">IF(J66&gt;0,IF(J66&lt;5000,"PASS","FLAG - Review Price"),"FAIL - Zero Price")</f>
        <v>PASS</v>
      </c>
      <c r="Q66" s="20" t="str">
        <f aca="false">IF('Raw Catalog'!P64&lt;&gt;"","PASS","FAIL - No Image")</f>
        <v>PASS</v>
      </c>
      <c r="R66" s="20" t="str">
        <f aca="false">IF(F66&lt;&gt;"","PASS","FAIL - No Brand")</f>
        <v>PASS</v>
      </c>
      <c r="S66" s="20" t="str">
        <f aca="true">IF(K66="","FAIL - No Date",IF(TODAY()-DATEVALUE(K66)&lt;=180,"PASS","FLAG - Stale &gt;180d"))</f>
        <v>FLAG - Stale &gt;180d</v>
      </c>
      <c r="T66" s="20" t="n">
        <f aca="false">COUNTIF(M66:S66,"FAIL*")+COUNTIF(M66:S66,"FLAG*")</f>
        <v>1</v>
      </c>
      <c r="U66" s="20" t="str">
        <f aca="false">IF(T66=0,"CLEAN",IF(T66=1,"MINOR",IF(T66&lt;=3,"MODERATE","CRITICAL")))</f>
        <v>MINOR</v>
      </c>
      <c r="V66" s="20" t="str">
        <f aca="false">IF(U66="CLEAN","None",IF(U66="MINOR","Seller Notify",IF(U66="MODERATE","Listing Suspended","Immediate Removal")))</f>
        <v>Seller Notify</v>
      </c>
    </row>
    <row r="67" customFormat="false" ht="18" hidden="false" customHeight="true" outlineLevel="0" collapsed="false">
      <c r="A67" s="19" t="s">
        <v>6144</v>
      </c>
      <c r="B67" s="19" t="s">
        <v>654</v>
      </c>
      <c r="C67" s="19" t="s">
        <v>113</v>
      </c>
      <c r="D67" s="19" t="s">
        <v>114</v>
      </c>
      <c r="E67" s="19" t="s">
        <v>161</v>
      </c>
      <c r="F67" s="19" t="s">
        <v>295</v>
      </c>
      <c r="G67" s="19" t="s">
        <v>656</v>
      </c>
      <c r="H67" s="19" t="s">
        <v>657</v>
      </c>
      <c r="I67" s="19" t="s">
        <v>658</v>
      </c>
      <c r="J67" s="19" t="n">
        <v>232.33</v>
      </c>
      <c r="K67" s="19" t="s">
        <v>662</v>
      </c>
      <c r="L67" s="19"/>
      <c r="M67" s="20" t="str">
        <f aca="false">IF(G67&lt;&gt;"","PASS","FAIL - Missing UPC")</f>
        <v>PASS</v>
      </c>
      <c r="N67" s="20" t="str">
        <f aca="false">IF(AND(G67&lt;&gt;"",H67&lt;&gt;""),IF("0"&amp;G67=H67,"PASS","FAIL - GTIN Mismatch"),"SKIP")</f>
        <v>PASS</v>
      </c>
      <c r="O67" s="20" t="str">
        <f aca="false">IF(I67="","FAIL - No Title",IF(LEN(I67)&lt;=126,"PASS","FAIL - Title &gt;"&amp;126&amp;" chars"))</f>
        <v>PASS</v>
      </c>
      <c r="P67" s="20" t="str">
        <f aca="false">IF(J67&gt;0,IF(J67&lt;5000,"PASS","FLAG - Review Price"),"FAIL - Zero Price")</f>
        <v>PASS</v>
      </c>
      <c r="Q67" s="20" t="str">
        <f aca="false">IF('Raw Catalog'!P65&lt;&gt;"","PASS","FAIL - No Image")</f>
        <v>PASS</v>
      </c>
      <c r="R67" s="20" t="str">
        <f aca="false">IF(F67&lt;&gt;"","PASS","FAIL - No Brand")</f>
        <v>PASS</v>
      </c>
      <c r="S67" s="20" t="str">
        <f aca="true">IF(K67="","FAIL - No Date",IF(TODAY()-DATEVALUE(K67)&lt;=180,"PASS","FLAG - Stale &gt;180d"))</f>
        <v>FLAG - Stale &gt;180d</v>
      </c>
      <c r="T67" s="20" t="n">
        <f aca="false">COUNTIF(M67:S67,"FAIL*")+COUNTIF(M67:S67,"FLAG*")</f>
        <v>1</v>
      </c>
      <c r="U67" s="20" t="str">
        <f aca="false">IF(T67=0,"CLEAN",IF(T67=1,"MINOR",IF(T67&lt;=3,"MODERATE","CRITICAL")))</f>
        <v>MINOR</v>
      </c>
      <c r="V67" s="20" t="str">
        <f aca="false">IF(U67="CLEAN","None",IF(U67="MINOR","Seller Notify",IF(U67="MODERATE","Listing Suspended","Immediate Removal")))</f>
        <v>Seller Notify</v>
      </c>
    </row>
    <row r="68" customFormat="false" ht="18" hidden="false" customHeight="true" outlineLevel="0" collapsed="false">
      <c r="A68" s="19" t="s">
        <v>6145</v>
      </c>
      <c r="B68" s="19" t="s">
        <v>663</v>
      </c>
      <c r="C68" s="19" t="s">
        <v>48</v>
      </c>
      <c r="D68" s="19" t="s">
        <v>49</v>
      </c>
      <c r="E68" s="19" t="s">
        <v>161</v>
      </c>
      <c r="F68" s="19" t="s">
        <v>429</v>
      </c>
      <c r="G68" s="19" t="s">
        <v>665</v>
      </c>
      <c r="H68" s="19" t="s">
        <v>666</v>
      </c>
      <c r="I68" s="19" t="s">
        <v>667</v>
      </c>
      <c r="J68" s="19" t="n">
        <v>331.43</v>
      </c>
      <c r="K68" s="19" t="s">
        <v>670</v>
      </c>
      <c r="L68" s="21" t="s">
        <v>283</v>
      </c>
      <c r="M68" s="20" t="str">
        <f aca="false">IF(G68&lt;&gt;"","PASS","FAIL - Missing UPC")</f>
        <v>PASS</v>
      </c>
      <c r="N68" s="20" t="str">
        <f aca="false">IF(AND(G68&lt;&gt;"",H68&lt;&gt;""),IF("0"&amp;G68=H68,"PASS","FAIL - GTIN Mismatch"),"SKIP")</f>
        <v>PASS</v>
      </c>
      <c r="O68" s="20" t="str">
        <f aca="false">IF(I68="","FAIL - No Title",IF(LEN(I68)&lt;=126,"PASS","FAIL - Title &gt;"&amp;126&amp;" chars"))</f>
        <v>PASS</v>
      </c>
      <c r="P68" s="20" t="str">
        <f aca="false">IF(J68&gt;0,IF(J68&lt;5000,"PASS","FLAG - Review Price"),"FAIL - Zero Price")</f>
        <v>PASS</v>
      </c>
      <c r="Q68" s="20" t="str">
        <f aca="false">IF('Raw Catalog'!P66&lt;&gt;"","PASS","FAIL - No Image")</f>
        <v>PASS</v>
      </c>
      <c r="R68" s="20" t="str">
        <f aca="false">IF(F68&lt;&gt;"","PASS","FAIL - No Brand")</f>
        <v>PASS</v>
      </c>
      <c r="S68" s="20" t="str">
        <f aca="true">IF(K68="","FAIL - No Date",IF(TODAY()-DATEVALUE(K68)&lt;=180,"PASS","FLAG - Stale &gt;180d"))</f>
        <v>FLAG - Stale &gt;180d</v>
      </c>
      <c r="T68" s="20" t="n">
        <f aca="false">COUNTIF(M68:S68,"FAIL*")+COUNTIF(M68:S68,"FLAG*")</f>
        <v>1</v>
      </c>
      <c r="U68" s="20" t="str">
        <f aca="false">IF(T68=0,"CLEAN",IF(T68=1,"MINOR",IF(T68&lt;=3,"MODERATE","CRITICAL")))</f>
        <v>MINOR</v>
      </c>
      <c r="V68" s="20" t="str">
        <f aca="false">IF(U68="CLEAN","None",IF(U68="MINOR","Seller Notify",IF(U68="MODERATE","Listing Suspended","Immediate Removal")))</f>
        <v>Seller Notify</v>
      </c>
    </row>
    <row r="69" customFormat="false" ht="18" hidden="false" customHeight="true" outlineLevel="0" collapsed="false">
      <c r="A69" s="19" t="s">
        <v>6146</v>
      </c>
      <c r="B69" s="19" t="s">
        <v>671</v>
      </c>
      <c r="C69" s="19" t="s">
        <v>113</v>
      </c>
      <c r="D69" s="19" t="s">
        <v>114</v>
      </c>
      <c r="E69" s="19" t="s">
        <v>161</v>
      </c>
      <c r="F69" s="19" t="s">
        <v>185</v>
      </c>
      <c r="G69" s="19" t="s">
        <v>673</v>
      </c>
      <c r="H69" s="19" t="s">
        <v>674</v>
      </c>
      <c r="I69" s="19" t="s">
        <v>675</v>
      </c>
      <c r="J69" s="19" t="n">
        <v>489.01</v>
      </c>
      <c r="K69" s="19" t="s">
        <v>452</v>
      </c>
      <c r="L69" s="19"/>
      <c r="M69" s="20" t="str">
        <f aca="false">IF(G69&lt;&gt;"","PASS","FAIL - Missing UPC")</f>
        <v>PASS</v>
      </c>
      <c r="N69" s="20" t="str">
        <f aca="false">IF(AND(G69&lt;&gt;"",H69&lt;&gt;""),IF("0"&amp;G69=H69,"PASS","FAIL - GTIN Mismatch"),"SKIP")</f>
        <v>PASS</v>
      </c>
      <c r="O69" s="20" t="str">
        <f aca="false">IF(I69="","FAIL - No Title",IF(LEN(I69)&lt;=126,"PASS","FAIL - Title &gt;"&amp;126&amp;" chars"))</f>
        <v>PASS</v>
      </c>
      <c r="P69" s="20" t="str">
        <f aca="false">IF(J69&gt;0,IF(J69&lt;5000,"PASS","FLAG - Review Price"),"FAIL - Zero Price")</f>
        <v>PASS</v>
      </c>
      <c r="Q69" s="20" t="str">
        <f aca="false">IF('Raw Catalog'!P67&lt;&gt;"","PASS","FAIL - No Image")</f>
        <v>PASS</v>
      </c>
      <c r="R69" s="20" t="str">
        <f aca="false">IF(F69&lt;&gt;"","PASS","FAIL - No Brand")</f>
        <v>PASS</v>
      </c>
      <c r="S69" s="20" t="str">
        <f aca="true">IF(K69="","FAIL - No Date",IF(TODAY()-DATEVALUE(K69)&lt;=180,"PASS","FLAG - Stale &gt;180d"))</f>
        <v>FLAG - Stale &gt;180d</v>
      </c>
      <c r="T69" s="20" t="n">
        <f aca="false">COUNTIF(M69:S69,"FAIL*")+COUNTIF(M69:S69,"FLAG*")</f>
        <v>1</v>
      </c>
      <c r="U69" s="20" t="str">
        <f aca="false">IF(T69=0,"CLEAN",IF(T69=1,"MINOR",IF(T69&lt;=3,"MODERATE","CRITICAL")))</f>
        <v>MINOR</v>
      </c>
      <c r="V69" s="20" t="str">
        <f aca="false">IF(U69="CLEAN","None",IF(U69="MINOR","Seller Notify",IF(U69="MODERATE","Listing Suspended","Immediate Removal")))</f>
        <v>Seller Notify</v>
      </c>
    </row>
    <row r="70" customFormat="false" ht="18" hidden="false" customHeight="true" outlineLevel="0" collapsed="false">
      <c r="A70" s="19" t="s">
        <v>6147</v>
      </c>
      <c r="B70" s="19" t="s">
        <v>679</v>
      </c>
      <c r="C70" s="19" t="s">
        <v>125</v>
      </c>
      <c r="D70" s="19" t="s">
        <v>126</v>
      </c>
      <c r="E70" s="19" t="s">
        <v>65</v>
      </c>
      <c r="F70" s="19" t="s">
        <v>390</v>
      </c>
      <c r="G70" s="19" t="s">
        <v>681</v>
      </c>
      <c r="H70" s="19" t="s">
        <v>682</v>
      </c>
      <c r="I70" s="19" t="s">
        <v>683</v>
      </c>
      <c r="J70" s="19" t="n">
        <v>221.82</v>
      </c>
      <c r="K70" s="19" t="s">
        <v>687</v>
      </c>
      <c r="L70" s="19"/>
      <c r="M70" s="20" t="str">
        <f aca="false">IF(G70&lt;&gt;"","PASS","FAIL - Missing UPC")</f>
        <v>PASS</v>
      </c>
      <c r="N70" s="20" t="str">
        <f aca="false">IF(AND(G70&lt;&gt;"",H70&lt;&gt;""),IF("0"&amp;G70=H70,"PASS","FAIL - GTIN Mismatch"),"SKIP")</f>
        <v>PASS</v>
      </c>
      <c r="O70" s="20" t="str">
        <f aca="false">IF(I70="","FAIL - No Title",IF(LEN(I70)&lt;=126,"PASS","FAIL - Title &gt;"&amp;126&amp;" chars"))</f>
        <v>PASS</v>
      </c>
      <c r="P70" s="20" t="str">
        <f aca="false">IF(J70&gt;0,IF(J70&lt;5000,"PASS","FLAG - Review Price"),"FAIL - Zero Price")</f>
        <v>PASS</v>
      </c>
      <c r="Q70" s="20" t="str">
        <f aca="false">IF('Raw Catalog'!P68&lt;&gt;"","PASS","FAIL - No Image")</f>
        <v>PASS</v>
      </c>
      <c r="R70" s="20" t="str">
        <f aca="false">IF(F70&lt;&gt;"","PASS","FAIL - No Brand")</f>
        <v>PASS</v>
      </c>
      <c r="S70" s="20" t="str">
        <f aca="true">IF(K70="","FAIL - No Date",IF(TODAY()-DATEVALUE(K70)&lt;=180,"PASS","FLAG - Stale &gt;180d"))</f>
        <v>FLAG - Stale &gt;180d</v>
      </c>
      <c r="T70" s="20" t="n">
        <f aca="false">COUNTIF(M70:S70,"FAIL*")+COUNTIF(M70:S70,"FLAG*")</f>
        <v>1</v>
      </c>
      <c r="U70" s="20" t="str">
        <f aca="false">IF(T70=0,"CLEAN",IF(T70=1,"MINOR",IF(T70&lt;=3,"MODERATE","CRITICAL")))</f>
        <v>MINOR</v>
      </c>
      <c r="V70" s="20" t="str">
        <f aca="false">IF(U70="CLEAN","None",IF(U70="MINOR","Seller Notify",IF(U70="MODERATE","Listing Suspended","Immediate Removal")))</f>
        <v>Seller Notify</v>
      </c>
    </row>
    <row r="71" customFormat="false" ht="18" hidden="false" customHeight="true" outlineLevel="0" collapsed="false">
      <c r="A71" s="19" t="s">
        <v>6148</v>
      </c>
      <c r="B71" s="19" t="s">
        <v>688</v>
      </c>
      <c r="C71" s="19" t="s">
        <v>173</v>
      </c>
      <c r="D71" s="19" t="s">
        <v>174</v>
      </c>
      <c r="E71" s="19" t="s">
        <v>50</v>
      </c>
      <c r="F71" s="19" t="s">
        <v>115</v>
      </c>
      <c r="G71" s="19" t="s">
        <v>691</v>
      </c>
      <c r="H71" s="19" t="s">
        <v>692</v>
      </c>
      <c r="I71" s="19" t="s">
        <v>693</v>
      </c>
      <c r="J71" s="19" t="n">
        <v>464.74</v>
      </c>
      <c r="K71" s="19" t="s">
        <v>697</v>
      </c>
      <c r="L71" s="19"/>
      <c r="M71" s="20" t="str">
        <f aca="false">IF(G71&lt;&gt;"","PASS","FAIL - Missing UPC")</f>
        <v>PASS</v>
      </c>
      <c r="N71" s="20" t="str">
        <f aca="false">IF(AND(G71&lt;&gt;"",H71&lt;&gt;""),IF("0"&amp;G71=H71,"PASS","FAIL - GTIN Mismatch"),"SKIP")</f>
        <v>PASS</v>
      </c>
      <c r="O71" s="20" t="str">
        <f aca="false">IF(I71="","FAIL - No Title",IF(LEN(I71)&lt;=126,"PASS","FAIL - Title &gt;"&amp;126&amp;" chars"))</f>
        <v>PASS</v>
      </c>
      <c r="P71" s="20" t="str">
        <f aca="false">IF(J71&gt;0,IF(J71&lt;5000,"PASS","FLAG - Review Price"),"FAIL - Zero Price")</f>
        <v>PASS</v>
      </c>
      <c r="Q71" s="20" t="str">
        <f aca="false">IF('Raw Catalog'!P69&lt;&gt;"","PASS","FAIL - No Image")</f>
        <v>PASS</v>
      </c>
      <c r="R71" s="20" t="str">
        <f aca="false">IF(F71&lt;&gt;"","PASS","FAIL - No Brand")</f>
        <v>PASS</v>
      </c>
      <c r="S71" s="20" t="str">
        <f aca="true">IF(K71="","FAIL - No Date",IF(TODAY()-DATEVALUE(K71)&lt;=180,"PASS","FLAG - Stale &gt;180d"))</f>
        <v>FLAG - Stale &gt;180d</v>
      </c>
      <c r="T71" s="20" t="n">
        <f aca="false">COUNTIF(M71:S71,"FAIL*")+COUNTIF(M71:S71,"FLAG*")</f>
        <v>1</v>
      </c>
      <c r="U71" s="20" t="str">
        <f aca="false">IF(T71=0,"CLEAN",IF(T71=1,"MINOR",IF(T71&lt;=3,"MODERATE","CRITICAL")))</f>
        <v>MINOR</v>
      </c>
      <c r="V71" s="20" t="str">
        <f aca="false">IF(U71="CLEAN","None",IF(U71="MINOR","Seller Notify",IF(U71="MODERATE","Listing Suspended","Immediate Removal")))</f>
        <v>Seller Notify</v>
      </c>
    </row>
    <row r="72" customFormat="false" ht="18" hidden="false" customHeight="true" outlineLevel="0" collapsed="false">
      <c r="A72" s="19" t="s">
        <v>6149</v>
      </c>
      <c r="B72" s="19" t="s">
        <v>698</v>
      </c>
      <c r="C72" s="19" t="s">
        <v>173</v>
      </c>
      <c r="D72" s="19" t="s">
        <v>174</v>
      </c>
      <c r="E72" s="19" t="s">
        <v>50</v>
      </c>
      <c r="F72" s="19" t="s">
        <v>138</v>
      </c>
      <c r="G72" s="19" t="s">
        <v>700</v>
      </c>
      <c r="H72" s="19" t="s">
        <v>701</v>
      </c>
      <c r="I72" s="19" t="s">
        <v>702</v>
      </c>
      <c r="J72" s="19" t="n">
        <v>1133.76</v>
      </c>
      <c r="K72" s="19" t="s">
        <v>704</v>
      </c>
      <c r="L72" s="19"/>
      <c r="M72" s="20" t="str">
        <f aca="false">IF(G72&lt;&gt;"","PASS","FAIL - Missing UPC")</f>
        <v>PASS</v>
      </c>
      <c r="N72" s="20" t="str">
        <f aca="false">IF(AND(G72&lt;&gt;"",H72&lt;&gt;""),IF("0"&amp;G72=H72,"PASS","FAIL - GTIN Mismatch"),"SKIP")</f>
        <v>PASS</v>
      </c>
      <c r="O72" s="20" t="str">
        <f aca="false">IF(I72="","FAIL - No Title",IF(LEN(I72)&lt;=126,"PASS","FAIL - Title &gt;"&amp;126&amp;" chars"))</f>
        <v>PASS</v>
      </c>
      <c r="P72" s="20" t="str">
        <f aca="false">IF(J72&gt;0,IF(J72&lt;5000,"PASS","FLAG - Review Price"),"FAIL - Zero Price")</f>
        <v>PASS</v>
      </c>
      <c r="Q72" s="20" t="str">
        <f aca="false">IF('Raw Catalog'!P70&lt;&gt;"","PASS","FAIL - No Image")</f>
        <v>PASS</v>
      </c>
      <c r="R72" s="20" t="str">
        <f aca="false">IF(F72&lt;&gt;"","PASS","FAIL - No Brand")</f>
        <v>PASS</v>
      </c>
      <c r="S72" s="20" t="str">
        <f aca="true">IF(K72="","FAIL - No Date",IF(TODAY()-DATEVALUE(K72)&lt;=180,"PASS","FLAG - Stale &gt;180d"))</f>
        <v>FLAG - Stale &gt;180d</v>
      </c>
      <c r="T72" s="20" t="n">
        <f aca="false">COUNTIF(M72:S72,"FAIL*")+COUNTIF(M72:S72,"FLAG*")</f>
        <v>1</v>
      </c>
      <c r="U72" s="20" t="str">
        <f aca="false">IF(T72=0,"CLEAN",IF(T72=1,"MINOR",IF(T72&lt;=3,"MODERATE","CRITICAL")))</f>
        <v>MINOR</v>
      </c>
      <c r="V72" s="20" t="str">
        <f aca="false">IF(U72="CLEAN","None",IF(U72="MINOR","Seller Notify",IF(U72="MODERATE","Listing Suspended","Immediate Removal")))</f>
        <v>Seller Notify</v>
      </c>
    </row>
    <row r="73" customFormat="false" ht="18" hidden="false" customHeight="true" outlineLevel="0" collapsed="false">
      <c r="A73" s="19" t="s">
        <v>6150</v>
      </c>
      <c r="B73" s="19" t="s">
        <v>273</v>
      </c>
      <c r="C73" s="19" t="s">
        <v>173</v>
      </c>
      <c r="D73" s="19" t="s">
        <v>174</v>
      </c>
      <c r="E73" s="19" t="s">
        <v>65</v>
      </c>
      <c r="F73" s="19" t="s">
        <v>227</v>
      </c>
      <c r="G73" s="19" t="s">
        <v>276</v>
      </c>
      <c r="H73" s="19" t="s">
        <v>277</v>
      </c>
      <c r="I73" s="19" t="s">
        <v>278</v>
      </c>
      <c r="J73" s="19" t="n">
        <v>52.76</v>
      </c>
      <c r="K73" s="19" t="s">
        <v>282</v>
      </c>
      <c r="L73" s="19"/>
      <c r="M73" s="20" t="str">
        <f aca="false">IF(G73&lt;&gt;"","PASS","FAIL - Missing UPC")</f>
        <v>PASS</v>
      </c>
      <c r="N73" s="20" t="str">
        <f aca="false">IF(AND(G73&lt;&gt;"",H73&lt;&gt;""),IF("0"&amp;G73=H73,"PASS","FAIL - GTIN Mismatch"),"SKIP")</f>
        <v>PASS</v>
      </c>
      <c r="O73" s="20" t="str">
        <f aca="false">IF(I73="","FAIL - No Title",IF(LEN(I73)&lt;=126,"PASS","FAIL - Title &gt;"&amp;126&amp;" chars"))</f>
        <v>PASS</v>
      </c>
      <c r="P73" s="20" t="str">
        <f aca="false">IF(J73&gt;0,IF(J73&lt;5000,"PASS","FLAG - Review Price"),"FAIL - Zero Price")</f>
        <v>PASS</v>
      </c>
      <c r="Q73" s="20" t="str">
        <f aca="false">IF('Raw Catalog'!P71&lt;&gt;"","PASS","FAIL - No Image")</f>
        <v>PASS</v>
      </c>
      <c r="R73" s="20" t="str">
        <f aca="false">IF(F73&lt;&gt;"","PASS","FAIL - No Brand")</f>
        <v>PASS</v>
      </c>
      <c r="S73" s="20" t="str">
        <f aca="true">IF(K73="","FAIL - No Date",IF(TODAY()-DATEVALUE(K73)&lt;=180,"PASS","FLAG - Stale &gt;180d"))</f>
        <v>FLAG - Stale &gt;180d</v>
      </c>
      <c r="T73" s="20" t="n">
        <f aca="false">COUNTIF(M73:S73,"FAIL*")+COUNTIF(M73:S73,"FLAG*")</f>
        <v>1</v>
      </c>
      <c r="U73" s="20" t="str">
        <f aca="false">IF(T73=0,"CLEAN",IF(T73=1,"MINOR",IF(T73&lt;=3,"MODERATE","CRITICAL")))</f>
        <v>MINOR</v>
      </c>
      <c r="V73" s="20" t="str">
        <f aca="false">IF(U73="CLEAN","None",IF(U73="MINOR","Seller Notify",IF(U73="MODERATE","Listing Suspended","Immediate Removal")))</f>
        <v>Seller Notify</v>
      </c>
    </row>
    <row r="74" customFormat="false" ht="18" hidden="false" customHeight="true" outlineLevel="0" collapsed="false">
      <c r="A74" s="19" t="s">
        <v>6151</v>
      </c>
      <c r="B74" s="19" t="s">
        <v>705</v>
      </c>
      <c r="C74" s="19" t="s">
        <v>48</v>
      </c>
      <c r="D74" s="19" t="s">
        <v>49</v>
      </c>
      <c r="E74" s="19" t="s">
        <v>79</v>
      </c>
      <c r="F74" s="19" t="s">
        <v>196</v>
      </c>
      <c r="G74" s="19" t="s">
        <v>707</v>
      </c>
      <c r="H74" s="19" t="s">
        <v>708</v>
      </c>
      <c r="I74" s="19" t="s">
        <v>709</v>
      </c>
      <c r="J74" s="19" t="n">
        <v>1643.52</v>
      </c>
      <c r="K74" s="19" t="s">
        <v>713</v>
      </c>
      <c r="L74" s="19"/>
      <c r="M74" s="20" t="str">
        <f aca="false">IF(G74&lt;&gt;"","PASS","FAIL - Missing UPC")</f>
        <v>PASS</v>
      </c>
      <c r="N74" s="20" t="str">
        <f aca="false">IF(AND(G74&lt;&gt;"",H74&lt;&gt;""),IF("0"&amp;G74=H74,"PASS","FAIL - GTIN Mismatch"),"SKIP")</f>
        <v>PASS</v>
      </c>
      <c r="O74" s="20" t="str">
        <f aca="false">IF(I74="","FAIL - No Title",IF(LEN(I74)&lt;=126,"PASS","FAIL - Title &gt;"&amp;126&amp;" chars"))</f>
        <v>PASS</v>
      </c>
      <c r="P74" s="20" t="str">
        <f aca="false">IF(J74&gt;0,IF(J74&lt;5000,"PASS","FLAG - Review Price"),"FAIL - Zero Price")</f>
        <v>PASS</v>
      </c>
      <c r="Q74" s="20" t="str">
        <f aca="false">IF('Raw Catalog'!P72&lt;&gt;"","PASS","FAIL - No Image")</f>
        <v>PASS</v>
      </c>
      <c r="R74" s="20" t="str">
        <f aca="false">IF(F74&lt;&gt;"","PASS","FAIL - No Brand")</f>
        <v>PASS</v>
      </c>
      <c r="S74" s="20" t="str">
        <f aca="true">IF(K74="","FAIL - No Date",IF(TODAY()-DATEVALUE(K74)&lt;=180,"PASS","FLAG - Stale &gt;180d"))</f>
        <v>FLAG - Stale &gt;180d</v>
      </c>
      <c r="T74" s="20" t="n">
        <f aca="false">COUNTIF(M74:S74,"FAIL*")+COUNTIF(M74:S74,"FLAG*")</f>
        <v>1</v>
      </c>
      <c r="U74" s="20" t="str">
        <f aca="false">IF(T74=0,"CLEAN",IF(T74=1,"MINOR",IF(T74&lt;=3,"MODERATE","CRITICAL")))</f>
        <v>MINOR</v>
      </c>
      <c r="V74" s="20" t="str">
        <f aca="false">IF(U74="CLEAN","None",IF(U74="MINOR","Seller Notify",IF(U74="MODERATE","Listing Suspended","Immediate Removal")))</f>
        <v>Seller Notify</v>
      </c>
    </row>
    <row r="75" customFormat="false" ht="18" hidden="false" customHeight="true" outlineLevel="0" collapsed="false">
      <c r="A75" s="19" t="s">
        <v>6152</v>
      </c>
      <c r="B75" s="19" t="s">
        <v>714</v>
      </c>
      <c r="C75" s="19" t="s">
        <v>77</v>
      </c>
      <c r="D75" s="19" t="s">
        <v>78</v>
      </c>
      <c r="E75" s="19" t="s">
        <v>79</v>
      </c>
      <c r="F75" s="19" t="s">
        <v>51</v>
      </c>
      <c r="G75" s="19" t="s">
        <v>716</v>
      </c>
      <c r="H75" s="19" t="s">
        <v>717</v>
      </c>
      <c r="I75" s="19" t="s">
        <v>718</v>
      </c>
      <c r="J75" s="19" t="n">
        <v>1433.47</v>
      </c>
      <c r="K75" s="19" t="s">
        <v>722</v>
      </c>
      <c r="L75" s="19"/>
      <c r="M75" s="20" t="str">
        <f aca="false">IF(G75&lt;&gt;"","PASS","FAIL - Missing UPC")</f>
        <v>PASS</v>
      </c>
      <c r="N75" s="20" t="str">
        <f aca="false">IF(AND(G75&lt;&gt;"",H75&lt;&gt;""),IF("0"&amp;G75=H75,"PASS","FAIL - GTIN Mismatch"),"SKIP")</f>
        <v>PASS</v>
      </c>
      <c r="O75" s="20" t="str">
        <f aca="false">IF(I75="","FAIL - No Title",IF(LEN(I75)&lt;=126,"PASS","FAIL - Title &gt;"&amp;126&amp;" chars"))</f>
        <v>PASS</v>
      </c>
      <c r="P75" s="20" t="str">
        <f aca="false">IF(J75&gt;0,IF(J75&lt;5000,"PASS","FLAG - Review Price"),"FAIL - Zero Price")</f>
        <v>PASS</v>
      </c>
      <c r="Q75" s="20" t="str">
        <f aca="false">IF('Raw Catalog'!P73&lt;&gt;"","PASS","FAIL - No Image")</f>
        <v>PASS</v>
      </c>
      <c r="R75" s="20" t="str">
        <f aca="false">IF(F75&lt;&gt;"","PASS","FAIL - No Brand")</f>
        <v>PASS</v>
      </c>
      <c r="S75" s="20" t="str">
        <f aca="true">IF(K75="","FAIL - No Date",IF(TODAY()-DATEVALUE(K75)&lt;=180,"PASS","FLAG - Stale &gt;180d"))</f>
        <v>FLAG - Stale &gt;180d</v>
      </c>
      <c r="T75" s="20" t="n">
        <f aca="false">COUNTIF(M75:S75,"FAIL*")+COUNTIF(M75:S75,"FLAG*")</f>
        <v>1</v>
      </c>
      <c r="U75" s="20" t="str">
        <f aca="false">IF(T75=0,"CLEAN",IF(T75=1,"MINOR",IF(T75&lt;=3,"MODERATE","CRITICAL")))</f>
        <v>MINOR</v>
      </c>
      <c r="V75" s="20" t="str">
        <f aca="false">IF(U75="CLEAN","None",IF(U75="MINOR","Seller Notify",IF(U75="MODERATE","Listing Suspended","Immediate Removal")))</f>
        <v>Seller Notify</v>
      </c>
    </row>
    <row r="76" customFormat="false" ht="18" hidden="false" customHeight="true" outlineLevel="0" collapsed="false">
      <c r="A76" s="19" t="s">
        <v>6153</v>
      </c>
      <c r="B76" s="19" t="s">
        <v>723</v>
      </c>
      <c r="C76" s="19" t="s">
        <v>77</v>
      </c>
      <c r="D76" s="19" t="s">
        <v>78</v>
      </c>
      <c r="E76" s="19" t="s">
        <v>65</v>
      </c>
      <c r="F76" s="19" t="s">
        <v>66</v>
      </c>
      <c r="G76" s="19" t="s">
        <v>726</v>
      </c>
      <c r="H76" s="19" t="s">
        <v>727</v>
      </c>
      <c r="I76" s="19" t="s">
        <v>728</v>
      </c>
      <c r="J76" s="19" t="n">
        <v>3766.97</v>
      </c>
      <c r="K76" s="19" t="s">
        <v>731</v>
      </c>
      <c r="L76" s="21" t="s">
        <v>243</v>
      </c>
      <c r="M76" s="20" t="str">
        <f aca="false">IF(G76&lt;&gt;"","PASS","FAIL - Missing UPC")</f>
        <v>PASS</v>
      </c>
      <c r="N76" s="20" t="str">
        <f aca="false">IF(AND(G76&lt;&gt;"",H76&lt;&gt;""),IF("0"&amp;G76=H76,"PASS","FAIL - GTIN Mismatch"),"SKIP")</f>
        <v>FAIL - GTIN Mismatch</v>
      </c>
      <c r="O76" s="20" t="str">
        <f aca="false">IF(I76="","FAIL - No Title",IF(LEN(I76)&lt;=126,"PASS","FAIL - Title &gt;"&amp;126&amp;" chars"))</f>
        <v>PASS</v>
      </c>
      <c r="P76" s="20" t="str">
        <f aca="false">IF(J76&gt;0,IF(J76&lt;5000,"PASS","FLAG - Review Price"),"FAIL - Zero Price")</f>
        <v>PASS</v>
      </c>
      <c r="Q76" s="20" t="str">
        <f aca="false">IF('Raw Catalog'!P74&lt;&gt;"","PASS","FAIL - No Image")</f>
        <v>PASS</v>
      </c>
      <c r="R76" s="20" t="str">
        <f aca="false">IF(F76&lt;&gt;"","PASS","FAIL - No Brand")</f>
        <v>PASS</v>
      </c>
      <c r="S76" s="20" t="str">
        <f aca="true">IF(K76="","FAIL - No Date",IF(TODAY()-DATEVALUE(K76)&lt;=180,"PASS","FLAG - Stale &gt;180d"))</f>
        <v>FLAG - Stale &gt;180d</v>
      </c>
      <c r="T76" s="20" t="n">
        <f aca="false">COUNTIF(M76:S76,"FAIL*")+COUNTIF(M76:S76,"FLAG*")</f>
        <v>2</v>
      </c>
      <c r="U76" s="20" t="str">
        <f aca="false">IF(T76=0,"CLEAN",IF(T76=1,"MINOR",IF(T76&lt;=3,"MODERATE","CRITICAL")))</f>
        <v>MODERATE</v>
      </c>
      <c r="V76" s="20" t="str">
        <f aca="false">IF(U76="CLEAN","None",IF(U76="MINOR","Seller Notify",IF(U76="MODERATE","Listing Suspended","Immediate Removal")))</f>
        <v>Listing Suspended</v>
      </c>
    </row>
    <row r="77" customFormat="false" ht="18" hidden="false" customHeight="true" outlineLevel="0" collapsed="false">
      <c r="A77" s="19" t="s">
        <v>6154</v>
      </c>
      <c r="B77" s="19" t="s">
        <v>732</v>
      </c>
      <c r="C77" s="19" t="s">
        <v>77</v>
      </c>
      <c r="D77" s="19" t="s">
        <v>78</v>
      </c>
      <c r="E77" s="19" t="s">
        <v>79</v>
      </c>
      <c r="F77" s="19" t="s">
        <v>127</v>
      </c>
      <c r="G77" s="19" t="s">
        <v>735</v>
      </c>
      <c r="H77" s="19" t="s">
        <v>736</v>
      </c>
      <c r="I77" s="19" t="s">
        <v>737</v>
      </c>
      <c r="J77" s="19" t="n">
        <v>2278.72</v>
      </c>
      <c r="K77" s="19" t="s">
        <v>741</v>
      </c>
      <c r="L77" s="19"/>
      <c r="M77" s="20" t="str">
        <f aca="false">IF(G77&lt;&gt;"","PASS","FAIL - Missing UPC")</f>
        <v>PASS</v>
      </c>
      <c r="N77" s="20" t="str">
        <f aca="false">IF(AND(G77&lt;&gt;"",H77&lt;&gt;""),IF("0"&amp;G77=H77,"PASS","FAIL - GTIN Mismatch"),"SKIP")</f>
        <v>PASS</v>
      </c>
      <c r="O77" s="20" t="str">
        <f aca="false">IF(I77="","FAIL - No Title",IF(LEN(I77)&lt;=126,"PASS","FAIL - Title &gt;"&amp;126&amp;" chars"))</f>
        <v>PASS</v>
      </c>
      <c r="P77" s="20" t="str">
        <f aca="false">IF(J77&gt;0,IF(J77&lt;5000,"PASS","FLAG - Review Price"),"FAIL - Zero Price")</f>
        <v>PASS</v>
      </c>
      <c r="Q77" s="20" t="str">
        <f aca="false">IF('Raw Catalog'!P75&lt;&gt;"","PASS","FAIL - No Image")</f>
        <v>PASS</v>
      </c>
      <c r="R77" s="20" t="str">
        <f aca="false">IF(F77&lt;&gt;"","PASS","FAIL - No Brand")</f>
        <v>PASS</v>
      </c>
      <c r="S77" s="20" t="str">
        <f aca="true">IF(K77="","FAIL - No Date",IF(TODAY()-DATEVALUE(K77)&lt;=180,"PASS","FLAG - Stale &gt;180d"))</f>
        <v>FLAG - Stale &gt;180d</v>
      </c>
      <c r="T77" s="20" t="n">
        <f aca="false">COUNTIF(M77:S77,"FAIL*")+COUNTIF(M77:S77,"FLAG*")</f>
        <v>1</v>
      </c>
      <c r="U77" s="20" t="str">
        <f aca="false">IF(T77=0,"CLEAN",IF(T77=1,"MINOR",IF(T77&lt;=3,"MODERATE","CRITICAL")))</f>
        <v>MINOR</v>
      </c>
      <c r="V77" s="20" t="str">
        <f aca="false">IF(U77="CLEAN","None",IF(U77="MINOR","Seller Notify",IF(U77="MODERATE","Listing Suspended","Immediate Removal")))</f>
        <v>Seller Notify</v>
      </c>
    </row>
    <row r="78" customFormat="false" ht="18" hidden="false" customHeight="true" outlineLevel="0" collapsed="false">
      <c r="A78" s="19" t="s">
        <v>6155</v>
      </c>
      <c r="B78" s="19" t="s">
        <v>742</v>
      </c>
      <c r="C78" s="19" t="s">
        <v>159</v>
      </c>
      <c r="D78" s="19" t="s">
        <v>160</v>
      </c>
      <c r="E78" s="19" t="s">
        <v>91</v>
      </c>
      <c r="F78" s="19" t="s">
        <v>419</v>
      </c>
      <c r="G78" s="19" t="s">
        <v>745</v>
      </c>
      <c r="H78" s="19" t="s">
        <v>746</v>
      </c>
      <c r="I78" s="19" t="s">
        <v>747</v>
      </c>
      <c r="J78" s="19" t="n">
        <v>3262.31</v>
      </c>
      <c r="K78" s="19" t="s">
        <v>751</v>
      </c>
      <c r="L78" s="19"/>
      <c r="M78" s="20" t="str">
        <f aca="false">IF(G78&lt;&gt;"","PASS","FAIL - Missing UPC")</f>
        <v>PASS</v>
      </c>
      <c r="N78" s="20" t="str">
        <f aca="false">IF(AND(G78&lt;&gt;"",H78&lt;&gt;""),IF("0"&amp;G78=H78,"PASS","FAIL - GTIN Mismatch"),"SKIP")</f>
        <v>PASS</v>
      </c>
      <c r="O78" s="20" t="str">
        <f aca="false">IF(I78="","FAIL - No Title",IF(LEN(I78)&lt;=126,"PASS","FAIL - Title &gt;"&amp;126&amp;" chars"))</f>
        <v>PASS</v>
      </c>
      <c r="P78" s="20" t="str">
        <f aca="false">IF(J78&gt;0,IF(J78&lt;5000,"PASS","FLAG - Review Price"),"FAIL - Zero Price")</f>
        <v>PASS</v>
      </c>
      <c r="Q78" s="20" t="str">
        <f aca="false">IF('Raw Catalog'!P76&lt;&gt;"","PASS","FAIL - No Image")</f>
        <v>PASS</v>
      </c>
      <c r="R78" s="20" t="str">
        <f aca="false">IF(F78&lt;&gt;"","PASS","FAIL - No Brand")</f>
        <v>PASS</v>
      </c>
      <c r="S78" s="20" t="str">
        <f aca="true">IF(K78="","FAIL - No Date",IF(TODAY()-DATEVALUE(K78)&lt;=180,"PASS","FLAG - Stale &gt;180d"))</f>
        <v>FLAG - Stale &gt;180d</v>
      </c>
      <c r="T78" s="20" t="n">
        <f aca="false">COUNTIF(M78:S78,"FAIL*")+COUNTIF(M78:S78,"FLAG*")</f>
        <v>1</v>
      </c>
      <c r="U78" s="20" t="str">
        <f aca="false">IF(T78=0,"CLEAN",IF(T78=1,"MINOR",IF(T78&lt;=3,"MODERATE","CRITICAL")))</f>
        <v>MINOR</v>
      </c>
      <c r="V78" s="20" t="str">
        <f aca="false">IF(U78="CLEAN","None",IF(U78="MINOR","Seller Notify",IF(U78="MODERATE","Listing Suspended","Immediate Removal")))</f>
        <v>Seller Notify</v>
      </c>
    </row>
    <row r="79" customFormat="false" ht="18" hidden="false" customHeight="true" outlineLevel="0" collapsed="false">
      <c r="A79" s="19" t="s">
        <v>6156</v>
      </c>
      <c r="B79" s="19" t="s">
        <v>752</v>
      </c>
      <c r="C79" s="19" t="s">
        <v>173</v>
      </c>
      <c r="D79" s="19" t="s">
        <v>174</v>
      </c>
      <c r="E79" s="19" t="s">
        <v>50</v>
      </c>
      <c r="F79" s="19" t="s">
        <v>138</v>
      </c>
      <c r="G79" s="19" t="s">
        <v>754</v>
      </c>
      <c r="H79" s="19" t="s">
        <v>755</v>
      </c>
      <c r="I79" s="19" t="s">
        <v>756</v>
      </c>
      <c r="J79" s="19" t="n">
        <v>891.93</v>
      </c>
      <c r="K79" s="19" t="s">
        <v>758</v>
      </c>
      <c r="L79" s="19"/>
      <c r="M79" s="20" t="str">
        <f aca="false">IF(G79&lt;&gt;"","PASS","FAIL - Missing UPC")</f>
        <v>PASS</v>
      </c>
      <c r="N79" s="20" t="str">
        <f aca="false">IF(AND(G79&lt;&gt;"",H79&lt;&gt;""),IF("0"&amp;G79=H79,"PASS","FAIL - GTIN Mismatch"),"SKIP")</f>
        <v>PASS</v>
      </c>
      <c r="O79" s="20" t="str">
        <f aca="false">IF(I79="","FAIL - No Title",IF(LEN(I79)&lt;=126,"PASS","FAIL - Title &gt;"&amp;126&amp;" chars"))</f>
        <v>PASS</v>
      </c>
      <c r="P79" s="20" t="str">
        <f aca="false">IF(J79&gt;0,IF(J79&lt;5000,"PASS","FLAG - Review Price"),"FAIL - Zero Price")</f>
        <v>PASS</v>
      </c>
      <c r="Q79" s="20" t="str">
        <f aca="false">IF('Raw Catalog'!P77&lt;&gt;"","PASS","FAIL - No Image")</f>
        <v>PASS</v>
      </c>
      <c r="R79" s="20" t="str">
        <f aca="false">IF(F79&lt;&gt;"","PASS","FAIL - No Brand")</f>
        <v>PASS</v>
      </c>
      <c r="S79" s="20" t="str">
        <f aca="true">IF(K79="","FAIL - No Date",IF(TODAY()-DATEVALUE(K79)&lt;=180,"PASS","FLAG - Stale &gt;180d"))</f>
        <v>FLAG - Stale &gt;180d</v>
      </c>
      <c r="T79" s="20" t="n">
        <f aca="false">COUNTIF(M79:S79,"FAIL*")+COUNTIF(M79:S79,"FLAG*")</f>
        <v>1</v>
      </c>
      <c r="U79" s="20" t="str">
        <f aca="false">IF(T79=0,"CLEAN",IF(T79=1,"MINOR",IF(T79&lt;=3,"MODERATE","CRITICAL")))</f>
        <v>MINOR</v>
      </c>
      <c r="V79" s="20" t="str">
        <f aca="false">IF(U79="CLEAN","None",IF(U79="MINOR","Seller Notify",IF(U79="MODERATE","Listing Suspended","Immediate Removal")))</f>
        <v>Seller Notify</v>
      </c>
    </row>
    <row r="80" customFormat="false" ht="18" hidden="false" customHeight="true" outlineLevel="0" collapsed="false">
      <c r="A80" s="19" t="s">
        <v>6157</v>
      </c>
      <c r="B80" s="19" t="s">
        <v>759</v>
      </c>
      <c r="C80" s="19" t="s">
        <v>173</v>
      </c>
      <c r="D80" s="19" t="s">
        <v>174</v>
      </c>
      <c r="E80" s="19" t="s">
        <v>79</v>
      </c>
      <c r="F80" s="19" t="s">
        <v>465</v>
      </c>
      <c r="G80" s="19" t="s">
        <v>762</v>
      </c>
      <c r="H80" s="19" t="s">
        <v>763</v>
      </c>
      <c r="I80" s="19" t="s">
        <v>764</v>
      </c>
      <c r="J80" s="19" t="n">
        <v>781.79</v>
      </c>
      <c r="K80" s="19" t="s">
        <v>768</v>
      </c>
      <c r="L80" s="19"/>
      <c r="M80" s="20" t="str">
        <f aca="false">IF(G80&lt;&gt;"","PASS","FAIL - Missing UPC")</f>
        <v>PASS</v>
      </c>
      <c r="N80" s="20" t="str">
        <f aca="false">IF(AND(G80&lt;&gt;"",H80&lt;&gt;""),IF("0"&amp;G80=H80,"PASS","FAIL - GTIN Mismatch"),"SKIP")</f>
        <v>PASS</v>
      </c>
      <c r="O80" s="20" t="str">
        <f aca="false">IF(I80="","FAIL - No Title",IF(LEN(I80)&lt;=126,"PASS","FAIL - Title &gt;"&amp;126&amp;" chars"))</f>
        <v>PASS</v>
      </c>
      <c r="P80" s="20" t="str">
        <f aca="false">IF(J80&gt;0,IF(J80&lt;5000,"PASS","FLAG - Review Price"),"FAIL - Zero Price")</f>
        <v>PASS</v>
      </c>
      <c r="Q80" s="20" t="str">
        <f aca="false">IF('Raw Catalog'!P78&lt;&gt;"","PASS","FAIL - No Image")</f>
        <v>PASS</v>
      </c>
      <c r="R80" s="20" t="str">
        <f aca="false">IF(F80&lt;&gt;"","PASS","FAIL - No Brand")</f>
        <v>PASS</v>
      </c>
      <c r="S80" s="20" t="str">
        <f aca="true">IF(K80="","FAIL - No Date",IF(TODAY()-DATEVALUE(K80)&lt;=180,"PASS","FLAG - Stale &gt;180d"))</f>
        <v>FLAG - Stale &gt;180d</v>
      </c>
      <c r="T80" s="20" t="n">
        <f aca="false">COUNTIF(M80:S80,"FAIL*")+COUNTIF(M80:S80,"FLAG*")</f>
        <v>1</v>
      </c>
      <c r="U80" s="20" t="str">
        <f aca="false">IF(T80=0,"CLEAN",IF(T80=1,"MINOR",IF(T80&lt;=3,"MODERATE","CRITICAL")))</f>
        <v>MINOR</v>
      </c>
      <c r="V80" s="20" t="str">
        <f aca="false">IF(U80="CLEAN","None",IF(U80="MINOR","Seller Notify",IF(U80="MODERATE","Listing Suspended","Immediate Removal")))</f>
        <v>Seller Notify</v>
      </c>
    </row>
    <row r="81" customFormat="false" ht="18" hidden="false" customHeight="true" outlineLevel="0" collapsed="false">
      <c r="A81" s="19" t="s">
        <v>6158</v>
      </c>
      <c r="B81" s="19" t="s">
        <v>769</v>
      </c>
      <c r="C81" s="19" t="s">
        <v>125</v>
      </c>
      <c r="D81" s="19" t="s">
        <v>126</v>
      </c>
      <c r="E81" s="19" t="s">
        <v>91</v>
      </c>
      <c r="F81" s="19" t="s">
        <v>92</v>
      </c>
      <c r="G81" s="19" t="s">
        <v>771</v>
      </c>
      <c r="H81" s="19" t="s">
        <v>772</v>
      </c>
      <c r="I81" s="19" t="s">
        <v>773</v>
      </c>
      <c r="J81" s="19" t="n">
        <v>1529.82</v>
      </c>
      <c r="K81" s="19" t="s">
        <v>777</v>
      </c>
      <c r="L81" s="21" t="s">
        <v>778</v>
      </c>
      <c r="M81" s="20" t="str">
        <f aca="false">IF(G81&lt;&gt;"","PASS","FAIL - Missing UPC")</f>
        <v>PASS</v>
      </c>
      <c r="N81" s="20" t="str">
        <f aca="false">IF(AND(G81&lt;&gt;"",H81&lt;&gt;""),IF("0"&amp;G81=H81,"PASS","FAIL - GTIN Mismatch"),"SKIP")</f>
        <v>PASS</v>
      </c>
      <c r="O81" s="20" t="str">
        <f aca="false">IF(I81="","FAIL - No Title",IF(LEN(I81)&lt;=126,"PASS","FAIL - Title &gt;"&amp;126&amp;" chars"))</f>
        <v>FAIL - Title &gt;126 chars</v>
      </c>
      <c r="P81" s="20" t="str">
        <f aca="false">IF(J81&gt;0,IF(J81&lt;5000,"PASS","FLAG - Review Price"),"FAIL - Zero Price")</f>
        <v>PASS</v>
      </c>
      <c r="Q81" s="20" t="str">
        <f aca="false">IF('Raw Catalog'!P79&lt;&gt;"","PASS","FAIL - No Image")</f>
        <v>PASS</v>
      </c>
      <c r="R81" s="20" t="str">
        <f aca="false">IF(F81&lt;&gt;"","PASS","FAIL - No Brand")</f>
        <v>PASS</v>
      </c>
      <c r="S81" s="20" t="str">
        <f aca="true">IF(K81="","FAIL - No Date",IF(TODAY()-DATEVALUE(K81)&lt;=180,"PASS","FLAG - Stale &gt;180d"))</f>
        <v>FLAG - Stale &gt;180d</v>
      </c>
      <c r="T81" s="20" t="n">
        <f aca="false">COUNTIF(M81:S81,"FAIL*")+COUNTIF(M81:S81,"FLAG*")</f>
        <v>2</v>
      </c>
      <c r="U81" s="20" t="str">
        <f aca="false">IF(T81=0,"CLEAN",IF(T81=1,"MINOR",IF(T81&lt;=3,"MODERATE","CRITICAL")))</f>
        <v>MODERATE</v>
      </c>
      <c r="V81" s="20" t="str">
        <f aca="false">IF(U81="CLEAN","None",IF(U81="MINOR","Seller Notify",IF(U81="MODERATE","Listing Suspended","Immediate Removal")))</f>
        <v>Listing Suspended</v>
      </c>
    </row>
    <row r="82" customFormat="false" ht="18" hidden="false" customHeight="true" outlineLevel="0" collapsed="false">
      <c r="A82" s="19" t="s">
        <v>6159</v>
      </c>
      <c r="B82" s="19" t="s">
        <v>779</v>
      </c>
      <c r="C82" s="19" t="s">
        <v>125</v>
      </c>
      <c r="D82" s="19" t="s">
        <v>126</v>
      </c>
      <c r="E82" s="19" t="s">
        <v>91</v>
      </c>
      <c r="F82" s="19" t="s">
        <v>780</v>
      </c>
      <c r="G82" s="19" t="s">
        <v>782</v>
      </c>
      <c r="H82" s="19" t="s">
        <v>783</v>
      </c>
      <c r="I82" s="19" t="s">
        <v>784</v>
      </c>
      <c r="J82" s="19" t="n">
        <v>1258.83</v>
      </c>
      <c r="K82" s="19" t="s">
        <v>788</v>
      </c>
      <c r="L82" s="19"/>
      <c r="M82" s="20" t="str">
        <f aca="false">IF(G82&lt;&gt;"","PASS","FAIL - Missing UPC")</f>
        <v>PASS</v>
      </c>
      <c r="N82" s="20" t="str">
        <f aca="false">IF(AND(G82&lt;&gt;"",H82&lt;&gt;""),IF("0"&amp;G82=H82,"PASS","FAIL - GTIN Mismatch"),"SKIP")</f>
        <v>PASS</v>
      </c>
      <c r="O82" s="20" t="str">
        <f aca="false">IF(I82="","FAIL - No Title",IF(LEN(I82)&lt;=126,"PASS","FAIL - Title &gt;"&amp;126&amp;" chars"))</f>
        <v>PASS</v>
      </c>
      <c r="P82" s="20" t="str">
        <f aca="false">IF(J82&gt;0,IF(J82&lt;5000,"PASS","FLAG - Review Price"),"FAIL - Zero Price")</f>
        <v>PASS</v>
      </c>
      <c r="Q82" s="20" t="str">
        <f aca="false">IF('Raw Catalog'!P80&lt;&gt;"","PASS","FAIL - No Image")</f>
        <v>PASS</v>
      </c>
      <c r="R82" s="20" t="str">
        <f aca="false">IF(F82&lt;&gt;"","PASS","FAIL - No Brand")</f>
        <v>PASS</v>
      </c>
      <c r="S82" s="20" t="str">
        <f aca="true">IF(K82="","FAIL - No Date",IF(TODAY()-DATEVALUE(K82)&lt;=180,"PASS","FLAG - Stale &gt;180d"))</f>
        <v>FLAG - Stale &gt;180d</v>
      </c>
      <c r="T82" s="20" t="n">
        <f aca="false">COUNTIF(M82:S82,"FAIL*")+COUNTIF(M82:S82,"FLAG*")</f>
        <v>1</v>
      </c>
      <c r="U82" s="20" t="str">
        <f aca="false">IF(T82=0,"CLEAN",IF(T82=1,"MINOR",IF(T82&lt;=3,"MODERATE","CRITICAL")))</f>
        <v>MINOR</v>
      </c>
      <c r="V82" s="20" t="str">
        <f aca="false">IF(U82="CLEAN","None",IF(U82="MINOR","Seller Notify",IF(U82="MODERATE","Listing Suspended","Immediate Removal")))</f>
        <v>Seller Notify</v>
      </c>
    </row>
    <row r="83" customFormat="false" ht="18" hidden="false" customHeight="true" outlineLevel="0" collapsed="false">
      <c r="A83" s="19" t="s">
        <v>6160</v>
      </c>
      <c r="B83" s="19" t="s">
        <v>789</v>
      </c>
      <c r="C83" s="19" t="s">
        <v>125</v>
      </c>
      <c r="D83" s="19" t="s">
        <v>126</v>
      </c>
      <c r="E83" s="19" t="s">
        <v>50</v>
      </c>
      <c r="F83" s="19" t="s">
        <v>127</v>
      </c>
      <c r="G83" s="19" t="s">
        <v>791</v>
      </c>
      <c r="H83" s="19" t="s">
        <v>792</v>
      </c>
      <c r="I83" s="19" t="s">
        <v>793</v>
      </c>
      <c r="J83" s="19" t="n">
        <v>591.61</v>
      </c>
      <c r="K83" s="19" t="s">
        <v>797</v>
      </c>
      <c r="L83" s="19"/>
      <c r="M83" s="20" t="str">
        <f aca="false">IF(G83&lt;&gt;"","PASS","FAIL - Missing UPC")</f>
        <v>PASS</v>
      </c>
      <c r="N83" s="20" t="str">
        <f aca="false">IF(AND(G83&lt;&gt;"",H83&lt;&gt;""),IF("0"&amp;G83=H83,"PASS","FAIL - GTIN Mismatch"),"SKIP")</f>
        <v>PASS</v>
      </c>
      <c r="O83" s="20" t="str">
        <f aca="false">IF(I83="","FAIL - No Title",IF(LEN(I83)&lt;=126,"PASS","FAIL - Title &gt;"&amp;126&amp;" chars"))</f>
        <v>PASS</v>
      </c>
      <c r="P83" s="20" t="str">
        <f aca="false">IF(J83&gt;0,IF(J83&lt;5000,"PASS","FLAG - Review Price"),"FAIL - Zero Price")</f>
        <v>PASS</v>
      </c>
      <c r="Q83" s="20" t="str">
        <f aca="false">IF('Raw Catalog'!P81&lt;&gt;"","PASS","FAIL - No Image")</f>
        <v>PASS</v>
      </c>
      <c r="R83" s="20" t="str">
        <f aca="false">IF(F83&lt;&gt;"","PASS","FAIL - No Brand")</f>
        <v>PASS</v>
      </c>
      <c r="S83" s="20" t="str">
        <f aca="true">IF(K83="","FAIL - No Date",IF(TODAY()-DATEVALUE(K83)&lt;=180,"PASS","FLAG - Stale &gt;180d"))</f>
        <v>FLAG - Stale &gt;180d</v>
      </c>
      <c r="T83" s="20" t="n">
        <f aca="false">COUNTIF(M83:S83,"FAIL*")+COUNTIF(M83:S83,"FLAG*")</f>
        <v>1</v>
      </c>
      <c r="U83" s="20" t="str">
        <f aca="false">IF(T83=0,"CLEAN",IF(T83=1,"MINOR",IF(T83&lt;=3,"MODERATE","CRITICAL")))</f>
        <v>MINOR</v>
      </c>
      <c r="V83" s="20" t="str">
        <f aca="false">IF(U83="CLEAN","None",IF(U83="MINOR","Seller Notify",IF(U83="MODERATE","Listing Suspended","Immediate Removal")))</f>
        <v>Seller Notify</v>
      </c>
    </row>
    <row r="84" customFormat="false" ht="18" hidden="false" customHeight="true" outlineLevel="0" collapsed="false">
      <c r="A84" s="19" t="s">
        <v>6161</v>
      </c>
      <c r="B84" s="19" t="s">
        <v>798</v>
      </c>
      <c r="C84" s="19" t="s">
        <v>125</v>
      </c>
      <c r="D84" s="19" t="s">
        <v>126</v>
      </c>
      <c r="E84" s="19" t="s">
        <v>50</v>
      </c>
      <c r="F84" s="19" t="s">
        <v>51</v>
      </c>
      <c r="G84" s="19" t="s">
        <v>800</v>
      </c>
      <c r="H84" s="19" t="s">
        <v>801</v>
      </c>
      <c r="I84" s="19" t="s">
        <v>802</v>
      </c>
      <c r="J84" s="19" t="n">
        <v>6916.78</v>
      </c>
      <c r="K84" s="19" t="s">
        <v>806</v>
      </c>
      <c r="L84" s="21" t="s">
        <v>343</v>
      </c>
      <c r="M84" s="20" t="str">
        <f aca="false">IF(G84&lt;&gt;"","PASS","FAIL - Missing UPC")</f>
        <v>PASS</v>
      </c>
      <c r="N84" s="20" t="str">
        <f aca="false">IF(AND(G84&lt;&gt;"",H84&lt;&gt;""),IF("0"&amp;G84=H84,"PASS","FAIL - GTIN Mismatch"),"SKIP")</f>
        <v>PASS</v>
      </c>
      <c r="O84" s="20" t="str">
        <f aca="false">IF(I84="","FAIL - No Title",IF(LEN(I84)&lt;=126,"PASS","FAIL - Title &gt;"&amp;126&amp;" chars"))</f>
        <v>PASS</v>
      </c>
      <c r="P84" s="20" t="str">
        <f aca="false">IF(J84&gt;0,IF(J84&lt;5000,"PASS","FLAG - Review Price"),"FAIL - Zero Price")</f>
        <v>FLAG - Review Price</v>
      </c>
      <c r="Q84" s="20" t="str">
        <f aca="false">IF('Raw Catalog'!P82&lt;&gt;"","PASS","FAIL - No Image")</f>
        <v>PASS</v>
      </c>
      <c r="R84" s="20" t="str">
        <f aca="false">IF(F84&lt;&gt;"","PASS","FAIL - No Brand")</f>
        <v>PASS</v>
      </c>
      <c r="S84" s="20" t="str">
        <f aca="true">IF(K84="","FAIL - No Date",IF(TODAY()-DATEVALUE(K84)&lt;=180,"PASS","FLAG - Stale &gt;180d"))</f>
        <v>FLAG - Stale &gt;180d</v>
      </c>
      <c r="T84" s="20" t="n">
        <f aca="false">COUNTIF(M84:S84,"FAIL*")+COUNTIF(M84:S84,"FLAG*")</f>
        <v>2</v>
      </c>
      <c r="U84" s="20" t="str">
        <f aca="false">IF(T84=0,"CLEAN",IF(T84=1,"MINOR",IF(T84&lt;=3,"MODERATE","CRITICAL")))</f>
        <v>MODERATE</v>
      </c>
      <c r="V84" s="20" t="str">
        <f aca="false">IF(U84="CLEAN","None",IF(U84="MINOR","Seller Notify",IF(U84="MODERATE","Listing Suspended","Immediate Removal")))</f>
        <v>Listing Suspended</v>
      </c>
    </row>
    <row r="85" customFormat="false" ht="18" hidden="false" customHeight="true" outlineLevel="0" collapsed="false">
      <c r="A85" s="19" t="s">
        <v>6162</v>
      </c>
      <c r="B85" s="19" t="s">
        <v>807</v>
      </c>
      <c r="C85" s="19" t="s">
        <v>159</v>
      </c>
      <c r="D85" s="19" t="s">
        <v>160</v>
      </c>
      <c r="E85" s="19" t="s">
        <v>91</v>
      </c>
      <c r="F85" s="19" t="s">
        <v>138</v>
      </c>
      <c r="G85" s="19" t="s">
        <v>810</v>
      </c>
      <c r="H85" s="19" t="s">
        <v>811</v>
      </c>
      <c r="I85" s="19" t="s">
        <v>812</v>
      </c>
      <c r="J85" s="19" t="n">
        <v>305.98</v>
      </c>
      <c r="K85" s="19" t="s">
        <v>473</v>
      </c>
      <c r="L85" s="21" t="s">
        <v>453</v>
      </c>
      <c r="M85" s="20" t="str">
        <f aca="false">IF(G85&lt;&gt;"","PASS","FAIL - Missing UPC")</f>
        <v>PASS</v>
      </c>
      <c r="N85" s="20" t="str">
        <f aca="false">IF(AND(G85&lt;&gt;"",H85&lt;&gt;""),IF("0"&amp;G85=H85,"PASS","FAIL - GTIN Mismatch"),"SKIP")</f>
        <v>PASS</v>
      </c>
      <c r="O85" s="20" t="str">
        <f aca="false">IF(I85="","FAIL - No Title",IF(LEN(I85)&lt;=126,"PASS","FAIL - Title &gt;"&amp;126&amp;" chars"))</f>
        <v>PASS</v>
      </c>
      <c r="P85" s="20" t="str">
        <f aca="false">IF(J85&gt;0,IF(J85&lt;5000,"PASS","FLAG - Review Price"),"FAIL - Zero Price")</f>
        <v>PASS</v>
      </c>
      <c r="Q85" s="20" t="str">
        <f aca="false">IF('Raw Catalog'!P83&lt;&gt;"","PASS","FAIL - No Image")</f>
        <v>PASS</v>
      </c>
      <c r="R85" s="20" t="str">
        <f aca="false">IF(F85&lt;&gt;"","PASS","FAIL - No Brand")</f>
        <v>PASS</v>
      </c>
      <c r="S85" s="20" t="str">
        <f aca="true">IF(K85="","FAIL - No Date",IF(TODAY()-DATEVALUE(K85)&lt;=180,"PASS","FLAG - Stale &gt;180d"))</f>
        <v>FLAG - Stale &gt;180d</v>
      </c>
      <c r="T85" s="20" t="n">
        <f aca="false">COUNTIF(M85:S85,"FAIL*")+COUNTIF(M85:S85,"FLAG*")</f>
        <v>1</v>
      </c>
      <c r="U85" s="20" t="str">
        <f aca="false">IF(T85=0,"CLEAN",IF(T85=1,"MINOR",IF(T85&lt;=3,"MODERATE","CRITICAL")))</f>
        <v>MINOR</v>
      </c>
      <c r="V85" s="20" t="str">
        <f aca="false">IF(U85="CLEAN","None",IF(U85="MINOR","Seller Notify",IF(U85="MODERATE","Listing Suspended","Immediate Removal")))</f>
        <v>Seller Notify</v>
      </c>
    </row>
    <row r="86" customFormat="false" ht="18" hidden="false" customHeight="true" outlineLevel="0" collapsed="false">
      <c r="A86" s="19" t="s">
        <v>6163</v>
      </c>
      <c r="B86" s="19" t="s">
        <v>816</v>
      </c>
      <c r="C86" s="19" t="s">
        <v>125</v>
      </c>
      <c r="D86" s="19" t="s">
        <v>126</v>
      </c>
      <c r="E86" s="19" t="s">
        <v>65</v>
      </c>
      <c r="F86" s="19" t="s">
        <v>115</v>
      </c>
      <c r="G86" s="19" t="s">
        <v>818</v>
      </c>
      <c r="H86" s="19" t="s">
        <v>819</v>
      </c>
      <c r="I86" s="19" t="s">
        <v>496</v>
      </c>
      <c r="J86" s="19" t="n">
        <v>237.53</v>
      </c>
      <c r="K86" s="19" t="s">
        <v>820</v>
      </c>
      <c r="L86" s="19"/>
      <c r="M86" s="20" t="str">
        <f aca="false">IF(G86&lt;&gt;"","PASS","FAIL - Missing UPC")</f>
        <v>PASS</v>
      </c>
      <c r="N86" s="20" t="str">
        <f aca="false">IF(AND(G86&lt;&gt;"",H86&lt;&gt;""),IF("0"&amp;G86=H86,"PASS","FAIL - GTIN Mismatch"),"SKIP")</f>
        <v>PASS</v>
      </c>
      <c r="O86" s="20" t="str">
        <f aca="false">IF(I86="","FAIL - No Title",IF(LEN(I86)&lt;=126,"PASS","FAIL - Title &gt;"&amp;126&amp;" chars"))</f>
        <v>PASS</v>
      </c>
      <c r="P86" s="20" t="str">
        <f aca="false">IF(J86&gt;0,IF(J86&lt;5000,"PASS","FLAG - Review Price"),"FAIL - Zero Price")</f>
        <v>PASS</v>
      </c>
      <c r="Q86" s="20" t="str">
        <f aca="false">IF('Raw Catalog'!P84&lt;&gt;"","PASS","FAIL - No Image")</f>
        <v>PASS</v>
      </c>
      <c r="R86" s="20" t="str">
        <f aca="false">IF(F86&lt;&gt;"","PASS","FAIL - No Brand")</f>
        <v>PASS</v>
      </c>
      <c r="S86" s="20" t="str">
        <f aca="true">IF(K86="","FAIL - No Date",IF(TODAY()-DATEVALUE(K86)&lt;=180,"PASS","FLAG - Stale &gt;180d"))</f>
        <v>FLAG - Stale &gt;180d</v>
      </c>
      <c r="T86" s="20" t="n">
        <f aca="false">COUNTIF(M86:S86,"FAIL*")+COUNTIF(M86:S86,"FLAG*")</f>
        <v>1</v>
      </c>
      <c r="U86" s="20" t="str">
        <f aca="false">IF(T86=0,"CLEAN",IF(T86=1,"MINOR",IF(T86&lt;=3,"MODERATE","CRITICAL")))</f>
        <v>MINOR</v>
      </c>
      <c r="V86" s="20" t="str">
        <f aca="false">IF(U86="CLEAN","None",IF(U86="MINOR","Seller Notify",IF(U86="MODERATE","Listing Suspended","Immediate Removal")))</f>
        <v>Seller Notify</v>
      </c>
    </row>
    <row r="87" customFormat="false" ht="18" hidden="false" customHeight="true" outlineLevel="0" collapsed="false">
      <c r="A87" s="19" t="s">
        <v>6164</v>
      </c>
      <c r="B87" s="19" t="s">
        <v>821</v>
      </c>
      <c r="C87" s="19" t="s">
        <v>255</v>
      </c>
      <c r="D87" s="19" t="s">
        <v>256</v>
      </c>
      <c r="E87" s="19" t="s">
        <v>161</v>
      </c>
      <c r="F87" s="19" t="s">
        <v>822</v>
      </c>
      <c r="G87" s="19"/>
      <c r="H87" s="19" t="s">
        <v>824</v>
      </c>
      <c r="I87" s="19" t="s">
        <v>825</v>
      </c>
      <c r="J87" s="19" t="n">
        <v>126.23</v>
      </c>
      <c r="K87" s="19" t="s">
        <v>829</v>
      </c>
      <c r="L87" s="21" t="s">
        <v>272</v>
      </c>
      <c r="M87" s="20" t="str">
        <f aca="false">IF(G87&lt;&gt;"","PASS","FAIL - Missing UPC")</f>
        <v>FAIL - Missing UPC</v>
      </c>
      <c r="N87" s="20" t="str">
        <f aca="false">IF(AND(G87&lt;&gt;"",H87&lt;&gt;""),IF("0"&amp;G87=H87,"PASS","FAIL - GTIN Mismatch"),"SKIP")</f>
        <v>SKIP</v>
      </c>
      <c r="O87" s="20" t="str">
        <f aca="false">IF(I87="","FAIL - No Title",IF(LEN(I87)&lt;=126,"PASS","FAIL - Title &gt;"&amp;126&amp;" chars"))</f>
        <v>PASS</v>
      </c>
      <c r="P87" s="20" t="str">
        <f aca="false">IF(J87&gt;0,IF(J87&lt;5000,"PASS","FLAG - Review Price"),"FAIL - Zero Price")</f>
        <v>PASS</v>
      </c>
      <c r="Q87" s="20" t="str">
        <f aca="false">IF('Raw Catalog'!P85&lt;&gt;"","PASS","FAIL - No Image")</f>
        <v>PASS</v>
      </c>
      <c r="R87" s="20" t="str">
        <f aca="false">IF(F87&lt;&gt;"","PASS","FAIL - No Brand")</f>
        <v>PASS</v>
      </c>
      <c r="S87" s="20" t="str">
        <f aca="true">IF(K87="","FAIL - No Date",IF(TODAY()-DATEVALUE(K87)&lt;=180,"PASS","FLAG - Stale &gt;180d"))</f>
        <v>FLAG - Stale &gt;180d</v>
      </c>
      <c r="T87" s="20" t="n">
        <f aca="false">COUNTIF(M87:S87,"FAIL*")+COUNTIF(M87:S87,"FLAG*")</f>
        <v>2</v>
      </c>
      <c r="U87" s="20" t="str">
        <f aca="false">IF(T87=0,"CLEAN",IF(T87=1,"MINOR",IF(T87&lt;=3,"MODERATE","CRITICAL")))</f>
        <v>MODERATE</v>
      </c>
      <c r="V87" s="20" t="str">
        <f aca="false">IF(U87="CLEAN","None",IF(U87="MINOR","Seller Notify",IF(U87="MODERATE","Listing Suspended","Immediate Removal")))</f>
        <v>Listing Suspended</v>
      </c>
    </row>
    <row r="88" customFormat="false" ht="18" hidden="false" customHeight="true" outlineLevel="0" collapsed="false">
      <c r="A88" s="19" t="s">
        <v>6165</v>
      </c>
      <c r="B88" s="19" t="s">
        <v>830</v>
      </c>
      <c r="C88" s="19" t="s">
        <v>255</v>
      </c>
      <c r="D88" s="19" t="s">
        <v>256</v>
      </c>
      <c r="E88" s="19" t="s">
        <v>79</v>
      </c>
      <c r="F88" s="19" t="s">
        <v>51</v>
      </c>
      <c r="G88" s="19" t="s">
        <v>832</v>
      </c>
      <c r="H88" s="19" t="s">
        <v>833</v>
      </c>
      <c r="I88" s="19" t="s">
        <v>834</v>
      </c>
      <c r="J88" s="19" t="n">
        <v>1663.5</v>
      </c>
      <c r="K88" s="19" t="s">
        <v>838</v>
      </c>
      <c r="L88" s="19"/>
      <c r="M88" s="20" t="str">
        <f aca="false">IF(G88&lt;&gt;"","PASS","FAIL - Missing UPC")</f>
        <v>PASS</v>
      </c>
      <c r="N88" s="20" t="str">
        <f aca="false">IF(AND(G88&lt;&gt;"",H88&lt;&gt;""),IF("0"&amp;G88=H88,"PASS","FAIL - GTIN Mismatch"),"SKIP")</f>
        <v>PASS</v>
      </c>
      <c r="O88" s="20" t="str">
        <f aca="false">IF(I88="","FAIL - No Title",IF(LEN(I88)&lt;=126,"PASS","FAIL - Title &gt;"&amp;126&amp;" chars"))</f>
        <v>PASS</v>
      </c>
      <c r="P88" s="20" t="str">
        <f aca="false">IF(J88&gt;0,IF(J88&lt;5000,"PASS","FLAG - Review Price"),"FAIL - Zero Price")</f>
        <v>PASS</v>
      </c>
      <c r="Q88" s="20" t="str">
        <f aca="false">IF('Raw Catalog'!P86&lt;&gt;"","PASS","FAIL - No Image")</f>
        <v>PASS</v>
      </c>
      <c r="R88" s="20" t="str">
        <f aca="false">IF(F88&lt;&gt;"","PASS","FAIL - No Brand")</f>
        <v>PASS</v>
      </c>
      <c r="S88" s="20" t="str">
        <f aca="true">IF(K88="","FAIL - No Date",IF(TODAY()-DATEVALUE(K88)&lt;=180,"PASS","FLAG - Stale &gt;180d"))</f>
        <v>FLAG - Stale &gt;180d</v>
      </c>
      <c r="T88" s="20" t="n">
        <f aca="false">COUNTIF(M88:S88,"FAIL*")+COUNTIF(M88:S88,"FLAG*")</f>
        <v>1</v>
      </c>
      <c r="U88" s="20" t="str">
        <f aca="false">IF(T88=0,"CLEAN",IF(T88=1,"MINOR",IF(T88&lt;=3,"MODERATE","CRITICAL")))</f>
        <v>MINOR</v>
      </c>
      <c r="V88" s="20" t="str">
        <f aca="false">IF(U88="CLEAN","None",IF(U88="MINOR","Seller Notify",IF(U88="MODERATE","Listing Suspended","Immediate Removal")))</f>
        <v>Seller Notify</v>
      </c>
    </row>
    <row r="89" customFormat="false" ht="18" hidden="false" customHeight="true" outlineLevel="0" collapsed="false">
      <c r="A89" s="19" t="s">
        <v>6166</v>
      </c>
      <c r="B89" s="19" t="s">
        <v>839</v>
      </c>
      <c r="C89" s="19" t="s">
        <v>255</v>
      </c>
      <c r="D89" s="19" t="s">
        <v>256</v>
      </c>
      <c r="E89" s="19" t="s">
        <v>65</v>
      </c>
      <c r="F89" s="19" t="s">
        <v>295</v>
      </c>
      <c r="G89" s="19" t="s">
        <v>841</v>
      </c>
      <c r="H89" s="19" t="s">
        <v>842</v>
      </c>
      <c r="I89" s="19" t="s">
        <v>843</v>
      </c>
      <c r="J89" s="19" t="n">
        <v>267.93</v>
      </c>
      <c r="K89" s="19" t="s">
        <v>838</v>
      </c>
      <c r="L89" s="21" t="s">
        <v>453</v>
      </c>
      <c r="M89" s="20" t="str">
        <f aca="false">IF(G89&lt;&gt;"","PASS","FAIL - Missing UPC")</f>
        <v>PASS</v>
      </c>
      <c r="N89" s="20" t="str">
        <f aca="false">IF(AND(G89&lt;&gt;"",H89&lt;&gt;""),IF("0"&amp;G89=H89,"PASS","FAIL - GTIN Mismatch"),"SKIP")</f>
        <v>PASS</v>
      </c>
      <c r="O89" s="20" t="str">
        <f aca="false">IF(I89="","FAIL - No Title",IF(LEN(I89)&lt;=126,"PASS","FAIL - Title &gt;"&amp;126&amp;" chars"))</f>
        <v>PASS</v>
      </c>
      <c r="P89" s="20" t="str">
        <f aca="false">IF(J89&gt;0,IF(J89&lt;5000,"PASS","FLAG - Review Price"),"FAIL - Zero Price")</f>
        <v>PASS</v>
      </c>
      <c r="Q89" s="20" t="str">
        <f aca="false">IF('Raw Catalog'!P87&lt;&gt;"","PASS","FAIL - No Image")</f>
        <v>PASS</v>
      </c>
      <c r="R89" s="20" t="str">
        <f aca="false">IF(F89&lt;&gt;"","PASS","FAIL - No Brand")</f>
        <v>PASS</v>
      </c>
      <c r="S89" s="20" t="str">
        <f aca="true">IF(K89="","FAIL - No Date",IF(TODAY()-DATEVALUE(K89)&lt;=180,"PASS","FLAG - Stale &gt;180d"))</f>
        <v>FLAG - Stale &gt;180d</v>
      </c>
      <c r="T89" s="20" t="n">
        <f aca="false">COUNTIF(M89:S89,"FAIL*")+COUNTIF(M89:S89,"FLAG*")</f>
        <v>1</v>
      </c>
      <c r="U89" s="20" t="str">
        <f aca="false">IF(T89=0,"CLEAN",IF(T89=1,"MINOR",IF(T89&lt;=3,"MODERATE","CRITICAL")))</f>
        <v>MINOR</v>
      </c>
      <c r="V89" s="20" t="str">
        <f aca="false">IF(U89="CLEAN","None",IF(U89="MINOR","Seller Notify",IF(U89="MODERATE","Listing Suspended","Immediate Removal")))</f>
        <v>Seller Notify</v>
      </c>
    </row>
    <row r="90" customFormat="false" ht="18" hidden="false" customHeight="true" outlineLevel="0" collapsed="false">
      <c r="A90" s="19" t="s">
        <v>6167</v>
      </c>
      <c r="B90" s="19" t="s">
        <v>847</v>
      </c>
      <c r="C90" s="19" t="s">
        <v>159</v>
      </c>
      <c r="D90" s="19" t="s">
        <v>160</v>
      </c>
      <c r="E90" s="19" t="s">
        <v>161</v>
      </c>
      <c r="F90" s="19" t="s">
        <v>822</v>
      </c>
      <c r="G90" s="19" t="s">
        <v>849</v>
      </c>
      <c r="H90" s="19" t="s">
        <v>850</v>
      </c>
      <c r="I90" s="19" t="s">
        <v>851</v>
      </c>
      <c r="J90" s="19" t="n">
        <v>60.08</v>
      </c>
      <c r="K90" s="19" t="s">
        <v>855</v>
      </c>
      <c r="L90" s="19"/>
      <c r="M90" s="20" t="str">
        <f aca="false">IF(G90&lt;&gt;"","PASS","FAIL - Missing UPC")</f>
        <v>PASS</v>
      </c>
      <c r="N90" s="20" t="str">
        <f aca="false">IF(AND(G90&lt;&gt;"",H90&lt;&gt;""),IF("0"&amp;G90=H90,"PASS","FAIL - GTIN Mismatch"),"SKIP")</f>
        <v>PASS</v>
      </c>
      <c r="O90" s="20" t="str">
        <f aca="false">IF(I90="","FAIL - No Title",IF(LEN(I90)&lt;=126,"PASS","FAIL - Title &gt;"&amp;126&amp;" chars"))</f>
        <v>PASS</v>
      </c>
      <c r="P90" s="20" t="str">
        <f aca="false">IF(J90&gt;0,IF(J90&lt;5000,"PASS","FLAG - Review Price"),"FAIL - Zero Price")</f>
        <v>PASS</v>
      </c>
      <c r="Q90" s="20" t="str">
        <f aca="false">IF('Raw Catalog'!P88&lt;&gt;"","PASS","FAIL - No Image")</f>
        <v>PASS</v>
      </c>
      <c r="R90" s="20" t="str">
        <f aca="false">IF(F90&lt;&gt;"","PASS","FAIL - No Brand")</f>
        <v>PASS</v>
      </c>
      <c r="S90" s="20" t="str">
        <f aca="true">IF(K90="","FAIL - No Date",IF(TODAY()-DATEVALUE(K90)&lt;=180,"PASS","FLAG - Stale &gt;180d"))</f>
        <v>FLAG - Stale &gt;180d</v>
      </c>
      <c r="T90" s="20" t="n">
        <f aca="false">COUNTIF(M90:S90,"FAIL*")+COUNTIF(M90:S90,"FLAG*")</f>
        <v>1</v>
      </c>
      <c r="U90" s="20" t="str">
        <f aca="false">IF(T90=0,"CLEAN",IF(T90=1,"MINOR",IF(T90&lt;=3,"MODERATE","CRITICAL")))</f>
        <v>MINOR</v>
      </c>
      <c r="V90" s="20" t="str">
        <f aca="false">IF(U90="CLEAN","None",IF(U90="MINOR","Seller Notify",IF(U90="MODERATE","Listing Suspended","Immediate Removal")))</f>
        <v>Seller Notify</v>
      </c>
    </row>
    <row r="91" customFormat="false" ht="18" hidden="false" customHeight="true" outlineLevel="0" collapsed="false">
      <c r="A91" s="19" t="s">
        <v>6168</v>
      </c>
      <c r="B91" s="19" t="s">
        <v>856</v>
      </c>
      <c r="C91" s="19" t="s">
        <v>159</v>
      </c>
      <c r="D91" s="19" t="s">
        <v>160</v>
      </c>
      <c r="E91" s="19" t="s">
        <v>161</v>
      </c>
      <c r="F91" s="19" t="s">
        <v>51</v>
      </c>
      <c r="G91" s="19" t="s">
        <v>858</v>
      </c>
      <c r="H91" s="19" t="s">
        <v>859</v>
      </c>
      <c r="I91" s="19" t="s">
        <v>860</v>
      </c>
      <c r="J91" s="19" t="n">
        <v>111.31</v>
      </c>
      <c r="K91" s="19" t="s">
        <v>157</v>
      </c>
      <c r="L91" s="19"/>
      <c r="M91" s="20" t="str">
        <f aca="false">IF(G91&lt;&gt;"","PASS","FAIL - Missing UPC")</f>
        <v>PASS</v>
      </c>
      <c r="N91" s="20" t="str">
        <f aca="false">IF(AND(G91&lt;&gt;"",H91&lt;&gt;""),IF("0"&amp;G91=H91,"PASS","FAIL - GTIN Mismatch"),"SKIP")</f>
        <v>PASS</v>
      </c>
      <c r="O91" s="20" t="str">
        <f aca="false">IF(I91="","FAIL - No Title",IF(LEN(I91)&lt;=126,"PASS","FAIL - Title &gt;"&amp;126&amp;" chars"))</f>
        <v>PASS</v>
      </c>
      <c r="P91" s="20" t="str">
        <f aca="false">IF(J91&gt;0,IF(J91&lt;5000,"PASS","FLAG - Review Price"),"FAIL - Zero Price")</f>
        <v>PASS</v>
      </c>
      <c r="Q91" s="20" t="str">
        <f aca="false">IF('Raw Catalog'!P89&lt;&gt;"","PASS","FAIL - No Image")</f>
        <v>PASS</v>
      </c>
      <c r="R91" s="20" t="str">
        <f aca="false">IF(F91&lt;&gt;"","PASS","FAIL - No Brand")</f>
        <v>PASS</v>
      </c>
      <c r="S91" s="20" t="str">
        <f aca="true">IF(K91="","FAIL - No Date",IF(TODAY()-DATEVALUE(K91)&lt;=180,"PASS","FLAG - Stale &gt;180d"))</f>
        <v>FLAG - Stale &gt;180d</v>
      </c>
      <c r="T91" s="20" t="n">
        <f aca="false">COUNTIF(M91:S91,"FAIL*")+COUNTIF(M91:S91,"FLAG*")</f>
        <v>1</v>
      </c>
      <c r="U91" s="20" t="str">
        <f aca="false">IF(T91=0,"CLEAN",IF(T91=1,"MINOR",IF(T91&lt;=3,"MODERATE","CRITICAL")))</f>
        <v>MINOR</v>
      </c>
      <c r="V91" s="20" t="str">
        <f aca="false">IF(U91="CLEAN","None",IF(U91="MINOR","Seller Notify",IF(U91="MODERATE","Listing Suspended","Immediate Removal")))</f>
        <v>Seller Notify</v>
      </c>
    </row>
    <row r="92" customFormat="false" ht="18" hidden="false" customHeight="true" outlineLevel="0" collapsed="false">
      <c r="A92" s="19" t="s">
        <v>6169</v>
      </c>
      <c r="B92" s="19" t="s">
        <v>864</v>
      </c>
      <c r="C92" s="19" t="s">
        <v>255</v>
      </c>
      <c r="D92" s="19" t="s">
        <v>256</v>
      </c>
      <c r="E92" s="19" t="s">
        <v>91</v>
      </c>
      <c r="F92" s="19" t="s">
        <v>587</v>
      </c>
      <c r="G92" s="19" t="s">
        <v>866</v>
      </c>
      <c r="H92" s="19" t="s">
        <v>867</v>
      </c>
      <c r="I92" s="19" t="s">
        <v>868</v>
      </c>
      <c r="J92" s="19" t="n">
        <v>2324.72</v>
      </c>
      <c r="K92" s="19" t="s">
        <v>872</v>
      </c>
      <c r="L92" s="19"/>
      <c r="M92" s="20" t="str">
        <f aca="false">IF(G92&lt;&gt;"","PASS","FAIL - Missing UPC")</f>
        <v>PASS</v>
      </c>
      <c r="N92" s="20" t="str">
        <f aca="false">IF(AND(G92&lt;&gt;"",H92&lt;&gt;""),IF("0"&amp;G92=H92,"PASS","FAIL - GTIN Mismatch"),"SKIP")</f>
        <v>PASS</v>
      </c>
      <c r="O92" s="20" t="str">
        <f aca="false">IF(I92="","FAIL - No Title",IF(LEN(I92)&lt;=126,"PASS","FAIL - Title &gt;"&amp;126&amp;" chars"))</f>
        <v>PASS</v>
      </c>
      <c r="P92" s="20" t="str">
        <f aca="false">IF(J92&gt;0,IF(J92&lt;5000,"PASS","FLAG - Review Price"),"FAIL - Zero Price")</f>
        <v>PASS</v>
      </c>
      <c r="Q92" s="20" t="str">
        <f aca="false">IF('Raw Catalog'!P90&lt;&gt;"","PASS","FAIL - No Image")</f>
        <v>PASS</v>
      </c>
      <c r="R92" s="20" t="str">
        <f aca="false">IF(F92&lt;&gt;"","PASS","FAIL - No Brand")</f>
        <v>PASS</v>
      </c>
      <c r="S92" s="20" t="str">
        <f aca="true">IF(K92="","FAIL - No Date",IF(TODAY()-DATEVALUE(K92)&lt;=180,"PASS","FLAG - Stale &gt;180d"))</f>
        <v>FLAG - Stale &gt;180d</v>
      </c>
      <c r="T92" s="20" t="n">
        <f aca="false">COUNTIF(M92:S92,"FAIL*")+COUNTIF(M92:S92,"FLAG*")</f>
        <v>1</v>
      </c>
      <c r="U92" s="20" t="str">
        <f aca="false">IF(T92=0,"CLEAN",IF(T92=1,"MINOR",IF(T92&lt;=3,"MODERATE","CRITICAL")))</f>
        <v>MINOR</v>
      </c>
      <c r="V92" s="20" t="str">
        <f aca="false">IF(U92="CLEAN","None",IF(U92="MINOR","Seller Notify",IF(U92="MODERATE","Listing Suspended","Immediate Removal")))</f>
        <v>Seller Notify</v>
      </c>
    </row>
    <row r="93" customFormat="false" ht="18" hidden="false" customHeight="true" outlineLevel="0" collapsed="false">
      <c r="A93" s="19" t="s">
        <v>6170</v>
      </c>
      <c r="B93" s="19" t="s">
        <v>873</v>
      </c>
      <c r="C93" s="19" t="s">
        <v>63</v>
      </c>
      <c r="D93" s="19" t="s">
        <v>64</v>
      </c>
      <c r="E93" s="19" t="s">
        <v>50</v>
      </c>
      <c r="F93" s="19" t="s">
        <v>138</v>
      </c>
      <c r="G93" s="19" t="s">
        <v>875</v>
      </c>
      <c r="H93" s="19" t="s">
        <v>876</v>
      </c>
      <c r="I93" s="19" t="s">
        <v>877</v>
      </c>
      <c r="J93" s="19" t="n">
        <v>460.95</v>
      </c>
      <c r="K93" s="19" t="s">
        <v>829</v>
      </c>
      <c r="L93" s="19"/>
      <c r="M93" s="20" t="str">
        <f aca="false">IF(G93&lt;&gt;"","PASS","FAIL - Missing UPC")</f>
        <v>PASS</v>
      </c>
      <c r="N93" s="20" t="str">
        <f aca="false">IF(AND(G93&lt;&gt;"",H93&lt;&gt;""),IF("0"&amp;G93=H93,"PASS","FAIL - GTIN Mismatch"),"SKIP")</f>
        <v>PASS</v>
      </c>
      <c r="O93" s="20" t="str">
        <f aca="false">IF(I93="","FAIL - No Title",IF(LEN(I93)&lt;=126,"PASS","FAIL - Title &gt;"&amp;126&amp;" chars"))</f>
        <v>PASS</v>
      </c>
      <c r="P93" s="20" t="str">
        <f aca="false">IF(J93&gt;0,IF(J93&lt;5000,"PASS","FLAG - Review Price"),"FAIL - Zero Price")</f>
        <v>PASS</v>
      </c>
      <c r="Q93" s="20" t="str">
        <f aca="false">IF('Raw Catalog'!P91&lt;&gt;"","PASS","FAIL - No Image")</f>
        <v>PASS</v>
      </c>
      <c r="R93" s="20" t="str">
        <f aca="false">IF(F93&lt;&gt;"","PASS","FAIL - No Brand")</f>
        <v>PASS</v>
      </c>
      <c r="S93" s="20" t="str">
        <f aca="true">IF(K93="","FAIL - No Date",IF(TODAY()-DATEVALUE(K93)&lt;=180,"PASS","FLAG - Stale &gt;180d"))</f>
        <v>FLAG - Stale &gt;180d</v>
      </c>
      <c r="T93" s="20" t="n">
        <f aca="false">COUNTIF(M93:S93,"FAIL*")+COUNTIF(M93:S93,"FLAG*")</f>
        <v>1</v>
      </c>
      <c r="U93" s="20" t="str">
        <f aca="false">IF(T93=0,"CLEAN",IF(T93=1,"MINOR",IF(T93&lt;=3,"MODERATE","CRITICAL")))</f>
        <v>MINOR</v>
      </c>
      <c r="V93" s="20" t="str">
        <f aca="false">IF(U93="CLEAN","None",IF(U93="MINOR","Seller Notify",IF(U93="MODERATE","Listing Suspended","Immediate Removal")))</f>
        <v>Seller Notify</v>
      </c>
    </row>
    <row r="94" customFormat="false" ht="18" hidden="false" customHeight="true" outlineLevel="0" collapsed="false">
      <c r="A94" s="19" t="s">
        <v>6171</v>
      </c>
      <c r="B94" s="19" t="s">
        <v>881</v>
      </c>
      <c r="C94" s="19" t="s">
        <v>63</v>
      </c>
      <c r="D94" s="19" t="s">
        <v>64</v>
      </c>
      <c r="E94" s="19" t="s">
        <v>79</v>
      </c>
      <c r="F94" s="19" t="s">
        <v>438</v>
      </c>
      <c r="G94" s="19" t="s">
        <v>883</v>
      </c>
      <c r="H94" s="19" t="s">
        <v>884</v>
      </c>
      <c r="I94" s="19" t="s">
        <v>885</v>
      </c>
      <c r="J94" s="19" t="n">
        <v>91.61</v>
      </c>
      <c r="K94" s="19" t="s">
        <v>888</v>
      </c>
      <c r="L94" s="21" t="s">
        <v>453</v>
      </c>
      <c r="M94" s="20" t="str">
        <f aca="false">IF(G94&lt;&gt;"","PASS","FAIL - Missing UPC")</f>
        <v>PASS</v>
      </c>
      <c r="N94" s="20" t="str">
        <f aca="false">IF(AND(G94&lt;&gt;"",H94&lt;&gt;""),IF("0"&amp;G94=H94,"PASS","FAIL - GTIN Mismatch"),"SKIP")</f>
        <v>PASS</v>
      </c>
      <c r="O94" s="20" t="str">
        <f aca="false">IF(I94="","FAIL - No Title",IF(LEN(I94)&lt;=126,"PASS","FAIL - Title &gt;"&amp;126&amp;" chars"))</f>
        <v>PASS</v>
      </c>
      <c r="P94" s="20" t="str">
        <f aca="false">IF(J94&gt;0,IF(J94&lt;5000,"PASS","FLAG - Review Price"),"FAIL - Zero Price")</f>
        <v>PASS</v>
      </c>
      <c r="Q94" s="20" t="str">
        <f aca="false">IF('Raw Catalog'!P92&lt;&gt;"","PASS","FAIL - No Image")</f>
        <v>PASS</v>
      </c>
      <c r="R94" s="20" t="str">
        <f aca="false">IF(F94&lt;&gt;"","PASS","FAIL - No Brand")</f>
        <v>PASS</v>
      </c>
      <c r="S94" s="20" t="str">
        <f aca="true">IF(K94="","FAIL - No Date",IF(TODAY()-DATEVALUE(K94)&lt;=180,"PASS","FLAG - Stale &gt;180d"))</f>
        <v>FLAG - Stale &gt;180d</v>
      </c>
      <c r="T94" s="20" t="n">
        <f aca="false">COUNTIF(M94:S94,"FAIL*")+COUNTIF(M94:S94,"FLAG*")</f>
        <v>1</v>
      </c>
      <c r="U94" s="20" t="str">
        <f aca="false">IF(T94=0,"CLEAN",IF(T94=1,"MINOR",IF(T94&lt;=3,"MODERATE","CRITICAL")))</f>
        <v>MINOR</v>
      </c>
      <c r="V94" s="20" t="str">
        <f aca="false">IF(U94="CLEAN","None",IF(U94="MINOR","Seller Notify",IF(U94="MODERATE","Listing Suspended","Immediate Removal")))</f>
        <v>Seller Notify</v>
      </c>
    </row>
    <row r="95" customFormat="false" ht="18" hidden="false" customHeight="true" outlineLevel="0" collapsed="false">
      <c r="A95" s="19" t="s">
        <v>6172</v>
      </c>
      <c r="B95" s="19" t="s">
        <v>889</v>
      </c>
      <c r="C95" s="19" t="s">
        <v>173</v>
      </c>
      <c r="D95" s="19" t="s">
        <v>174</v>
      </c>
      <c r="E95" s="19" t="s">
        <v>91</v>
      </c>
      <c r="F95" s="19" t="s">
        <v>138</v>
      </c>
      <c r="G95" s="19" t="s">
        <v>891</v>
      </c>
      <c r="H95" s="19" t="s">
        <v>892</v>
      </c>
      <c r="I95" s="19" t="s">
        <v>893</v>
      </c>
      <c r="J95" s="19" t="n">
        <v>308.18</v>
      </c>
      <c r="K95" s="19" t="s">
        <v>462</v>
      </c>
      <c r="L95" s="19"/>
      <c r="M95" s="20" t="str">
        <f aca="false">IF(G95&lt;&gt;"","PASS","FAIL - Missing UPC")</f>
        <v>PASS</v>
      </c>
      <c r="N95" s="20" t="str">
        <f aca="false">IF(AND(G95&lt;&gt;"",H95&lt;&gt;""),IF("0"&amp;G95=H95,"PASS","FAIL - GTIN Mismatch"),"SKIP")</f>
        <v>PASS</v>
      </c>
      <c r="O95" s="20" t="str">
        <f aca="false">IF(I95="","FAIL - No Title",IF(LEN(I95)&lt;=126,"PASS","FAIL - Title &gt;"&amp;126&amp;" chars"))</f>
        <v>PASS</v>
      </c>
      <c r="P95" s="20" t="str">
        <f aca="false">IF(J95&gt;0,IF(J95&lt;5000,"PASS","FLAG - Review Price"),"FAIL - Zero Price")</f>
        <v>PASS</v>
      </c>
      <c r="Q95" s="20" t="str">
        <f aca="false">IF('Raw Catalog'!P93&lt;&gt;"","PASS","FAIL - No Image")</f>
        <v>PASS</v>
      </c>
      <c r="R95" s="20" t="str">
        <f aca="false">IF(F95&lt;&gt;"","PASS","FAIL - No Brand")</f>
        <v>PASS</v>
      </c>
      <c r="S95" s="20" t="str">
        <f aca="true">IF(K95="","FAIL - No Date",IF(TODAY()-DATEVALUE(K95)&lt;=180,"PASS","FLAG - Stale &gt;180d"))</f>
        <v>FLAG - Stale &gt;180d</v>
      </c>
      <c r="T95" s="20" t="n">
        <f aca="false">COUNTIF(M95:S95,"FAIL*")+COUNTIF(M95:S95,"FLAG*")</f>
        <v>1</v>
      </c>
      <c r="U95" s="20" t="str">
        <f aca="false">IF(T95=0,"CLEAN",IF(T95=1,"MINOR",IF(T95&lt;=3,"MODERATE","CRITICAL")))</f>
        <v>MINOR</v>
      </c>
      <c r="V95" s="20" t="str">
        <f aca="false">IF(U95="CLEAN","None",IF(U95="MINOR","Seller Notify",IF(U95="MODERATE","Listing Suspended","Immediate Removal")))</f>
        <v>Seller Notify</v>
      </c>
    </row>
    <row r="96" customFormat="false" ht="18" hidden="false" customHeight="true" outlineLevel="0" collapsed="false">
      <c r="A96" s="19" t="s">
        <v>6173</v>
      </c>
      <c r="B96" s="19" t="s">
        <v>897</v>
      </c>
      <c r="C96" s="19" t="s">
        <v>48</v>
      </c>
      <c r="D96" s="19" t="s">
        <v>49</v>
      </c>
      <c r="E96" s="19" t="s">
        <v>50</v>
      </c>
      <c r="F96" s="19" t="s">
        <v>51</v>
      </c>
      <c r="G96" s="19" t="s">
        <v>899</v>
      </c>
      <c r="H96" s="19" t="s">
        <v>900</v>
      </c>
      <c r="I96" s="19" t="s">
        <v>269</v>
      </c>
      <c r="J96" s="19" t="n">
        <v>824.81</v>
      </c>
      <c r="K96" s="19" t="s">
        <v>777</v>
      </c>
      <c r="L96" s="19"/>
      <c r="M96" s="20" t="str">
        <f aca="false">IF(G96&lt;&gt;"","PASS","FAIL - Missing UPC")</f>
        <v>PASS</v>
      </c>
      <c r="N96" s="20" t="str">
        <f aca="false">IF(AND(G96&lt;&gt;"",H96&lt;&gt;""),IF("0"&amp;G96=H96,"PASS","FAIL - GTIN Mismatch"),"SKIP")</f>
        <v>PASS</v>
      </c>
      <c r="O96" s="20" t="str">
        <f aca="false">IF(I96="","FAIL - No Title",IF(LEN(I96)&lt;=126,"PASS","FAIL - Title &gt;"&amp;126&amp;" chars"))</f>
        <v>PASS</v>
      </c>
      <c r="P96" s="20" t="str">
        <f aca="false">IF(J96&gt;0,IF(J96&lt;5000,"PASS","FLAG - Review Price"),"FAIL - Zero Price")</f>
        <v>PASS</v>
      </c>
      <c r="Q96" s="20" t="str">
        <f aca="false">IF('Raw Catalog'!P94&lt;&gt;"","PASS","FAIL - No Image")</f>
        <v>PASS</v>
      </c>
      <c r="R96" s="20" t="str">
        <f aca="false">IF(F96&lt;&gt;"","PASS","FAIL - No Brand")</f>
        <v>PASS</v>
      </c>
      <c r="S96" s="20" t="str">
        <f aca="true">IF(K96="","FAIL - No Date",IF(TODAY()-DATEVALUE(K96)&lt;=180,"PASS","FLAG - Stale &gt;180d"))</f>
        <v>FLAG - Stale &gt;180d</v>
      </c>
      <c r="T96" s="20" t="n">
        <f aca="false">COUNTIF(M96:S96,"FAIL*")+COUNTIF(M96:S96,"FLAG*")</f>
        <v>1</v>
      </c>
      <c r="U96" s="20" t="str">
        <f aca="false">IF(T96=0,"CLEAN",IF(T96=1,"MINOR",IF(T96&lt;=3,"MODERATE","CRITICAL")))</f>
        <v>MINOR</v>
      </c>
      <c r="V96" s="20" t="str">
        <f aca="false">IF(U96="CLEAN","None",IF(U96="MINOR","Seller Notify",IF(U96="MODERATE","Listing Suspended","Immediate Removal")))</f>
        <v>Seller Notify</v>
      </c>
    </row>
    <row r="97" customFormat="false" ht="18" hidden="false" customHeight="true" outlineLevel="0" collapsed="false">
      <c r="A97" s="19" t="s">
        <v>6174</v>
      </c>
      <c r="B97" s="19" t="s">
        <v>901</v>
      </c>
      <c r="C97" s="19" t="s">
        <v>77</v>
      </c>
      <c r="D97" s="19" t="s">
        <v>78</v>
      </c>
      <c r="E97" s="19" t="s">
        <v>79</v>
      </c>
      <c r="F97" s="19" t="s">
        <v>196</v>
      </c>
      <c r="G97" s="19" t="s">
        <v>903</v>
      </c>
      <c r="H97" s="19" t="s">
        <v>904</v>
      </c>
      <c r="I97" s="19" t="s">
        <v>905</v>
      </c>
      <c r="J97" s="19" t="n">
        <v>2243.8</v>
      </c>
      <c r="K97" s="19" t="s">
        <v>908</v>
      </c>
      <c r="L97" s="21" t="s">
        <v>325</v>
      </c>
      <c r="M97" s="20" t="str">
        <f aca="false">IF(G97&lt;&gt;"","PASS","FAIL - Missing UPC")</f>
        <v>PASS</v>
      </c>
      <c r="N97" s="20" t="str">
        <f aca="false">IF(AND(G97&lt;&gt;"",H97&lt;&gt;""),IF("0"&amp;G97=H97,"PASS","FAIL - GTIN Mismatch"),"SKIP")</f>
        <v>PASS</v>
      </c>
      <c r="O97" s="20" t="str">
        <f aca="false">IF(I97="","FAIL - No Title",IF(LEN(I97)&lt;=126,"PASS","FAIL - Title &gt;"&amp;126&amp;" chars"))</f>
        <v>PASS</v>
      </c>
      <c r="P97" s="20" t="str">
        <f aca="false">IF(J97&gt;0,IF(J97&lt;5000,"PASS","FLAG - Review Price"),"FAIL - Zero Price")</f>
        <v>PASS</v>
      </c>
      <c r="Q97" s="20" t="str">
        <f aca="false">IF('Raw Catalog'!P95&lt;&gt;"","PASS","FAIL - No Image")</f>
        <v>PASS</v>
      </c>
      <c r="R97" s="20" t="str">
        <f aca="false">IF(F97&lt;&gt;"","PASS","FAIL - No Brand")</f>
        <v>PASS</v>
      </c>
      <c r="S97" s="20" t="str">
        <f aca="true">IF(K97="","FAIL - No Date",IF(TODAY()-DATEVALUE(K97)&lt;=180,"PASS","FLAG - Stale &gt;180d"))</f>
        <v>FLAG - Stale &gt;180d</v>
      </c>
      <c r="T97" s="20" t="n">
        <f aca="false">COUNTIF(M97:S97,"FAIL*")+COUNTIF(M97:S97,"FLAG*")</f>
        <v>1</v>
      </c>
      <c r="U97" s="20" t="str">
        <f aca="false">IF(T97=0,"CLEAN",IF(T97=1,"MINOR",IF(T97&lt;=3,"MODERATE","CRITICAL")))</f>
        <v>MINOR</v>
      </c>
      <c r="V97" s="20" t="str">
        <f aca="false">IF(U97="CLEAN","None",IF(U97="MINOR","Seller Notify",IF(U97="MODERATE","Listing Suspended","Immediate Removal")))</f>
        <v>Seller Notify</v>
      </c>
    </row>
    <row r="98" customFormat="false" ht="18" hidden="false" customHeight="true" outlineLevel="0" collapsed="false">
      <c r="A98" s="19" t="s">
        <v>6175</v>
      </c>
      <c r="B98" s="19" t="s">
        <v>909</v>
      </c>
      <c r="C98" s="19" t="s">
        <v>113</v>
      </c>
      <c r="D98" s="19" t="s">
        <v>114</v>
      </c>
      <c r="E98" s="19" t="s">
        <v>161</v>
      </c>
      <c r="F98" s="19" t="s">
        <v>429</v>
      </c>
      <c r="G98" s="19" t="s">
        <v>911</v>
      </c>
      <c r="H98" s="19" t="s">
        <v>912</v>
      </c>
      <c r="I98" s="19" t="s">
        <v>913</v>
      </c>
      <c r="J98" s="19" t="n">
        <v>234.54</v>
      </c>
      <c r="K98" s="19" t="s">
        <v>713</v>
      </c>
      <c r="L98" s="19"/>
      <c r="M98" s="20" t="str">
        <f aca="false">IF(G98&lt;&gt;"","PASS","FAIL - Missing UPC")</f>
        <v>PASS</v>
      </c>
      <c r="N98" s="20" t="str">
        <f aca="false">IF(AND(G98&lt;&gt;"",H98&lt;&gt;""),IF("0"&amp;G98=H98,"PASS","FAIL - GTIN Mismatch"),"SKIP")</f>
        <v>PASS</v>
      </c>
      <c r="O98" s="20" t="str">
        <f aca="false">IF(I98="","FAIL - No Title",IF(LEN(I98)&lt;=126,"PASS","FAIL - Title &gt;"&amp;126&amp;" chars"))</f>
        <v>PASS</v>
      </c>
      <c r="P98" s="20" t="str">
        <f aca="false">IF(J98&gt;0,IF(J98&lt;5000,"PASS","FLAG - Review Price"),"FAIL - Zero Price")</f>
        <v>PASS</v>
      </c>
      <c r="Q98" s="20" t="str">
        <f aca="false">IF('Raw Catalog'!P96&lt;&gt;"","PASS","FAIL - No Image")</f>
        <v>PASS</v>
      </c>
      <c r="R98" s="20" t="str">
        <f aca="false">IF(F98&lt;&gt;"","PASS","FAIL - No Brand")</f>
        <v>PASS</v>
      </c>
      <c r="S98" s="20" t="str">
        <f aca="true">IF(K98="","FAIL - No Date",IF(TODAY()-DATEVALUE(K98)&lt;=180,"PASS","FLAG - Stale &gt;180d"))</f>
        <v>FLAG - Stale &gt;180d</v>
      </c>
      <c r="T98" s="20" t="n">
        <f aca="false">COUNTIF(M98:S98,"FAIL*")+COUNTIF(M98:S98,"FLAG*")</f>
        <v>1</v>
      </c>
      <c r="U98" s="20" t="str">
        <f aca="false">IF(T98=0,"CLEAN",IF(T98=1,"MINOR",IF(T98&lt;=3,"MODERATE","CRITICAL")))</f>
        <v>MINOR</v>
      </c>
      <c r="V98" s="20" t="str">
        <f aca="false">IF(U98="CLEAN","None",IF(U98="MINOR","Seller Notify",IF(U98="MODERATE","Listing Suspended","Immediate Removal")))</f>
        <v>Seller Notify</v>
      </c>
    </row>
    <row r="99" customFormat="false" ht="18" hidden="false" customHeight="true" outlineLevel="0" collapsed="false">
      <c r="A99" s="19" t="s">
        <v>6176</v>
      </c>
      <c r="B99" s="19" t="s">
        <v>917</v>
      </c>
      <c r="C99" s="19" t="s">
        <v>77</v>
      </c>
      <c r="D99" s="19" t="s">
        <v>78</v>
      </c>
      <c r="E99" s="19" t="s">
        <v>65</v>
      </c>
      <c r="F99" s="19" t="s">
        <v>438</v>
      </c>
      <c r="G99" s="19" t="s">
        <v>919</v>
      </c>
      <c r="H99" s="19" t="s">
        <v>920</v>
      </c>
      <c r="I99" s="19" t="s">
        <v>442</v>
      </c>
      <c r="J99" s="19" t="n">
        <v>472.8</v>
      </c>
      <c r="K99" s="19" t="s">
        <v>293</v>
      </c>
      <c r="L99" s="19"/>
      <c r="M99" s="20" t="str">
        <f aca="false">IF(G99&lt;&gt;"","PASS","FAIL - Missing UPC")</f>
        <v>PASS</v>
      </c>
      <c r="N99" s="20" t="str">
        <f aca="false">IF(AND(G99&lt;&gt;"",H99&lt;&gt;""),IF("0"&amp;G99=H99,"PASS","FAIL - GTIN Mismatch"),"SKIP")</f>
        <v>PASS</v>
      </c>
      <c r="O99" s="20" t="str">
        <f aca="false">IF(I99="","FAIL - No Title",IF(LEN(I99)&lt;=126,"PASS","FAIL - Title &gt;"&amp;126&amp;" chars"))</f>
        <v>PASS</v>
      </c>
      <c r="P99" s="20" t="str">
        <f aca="false">IF(J99&gt;0,IF(J99&lt;5000,"PASS","FLAG - Review Price"),"FAIL - Zero Price")</f>
        <v>PASS</v>
      </c>
      <c r="Q99" s="20" t="str">
        <f aca="false">IF('Raw Catalog'!P97&lt;&gt;"","PASS","FAIL - No Image")</f>
        <v>PASS</v>
      </c>
      <c r="R99" s="20" t="str">
        <f aca="false">IF(F99&lt;&gt;"","PASS","FAIL - No Brand")</f>
        <v>PASS</v>
      </c>
      <c r="S99" s="20" t="str">
        <f aca="true">IF(K99="","FAIL - No Date",IF(TODAY()-DATEVALUE(K99)&lt;=180,"PASS","FLAG - Stale &gt;180d"))</f>
        <v>FLAG - Stale &gt;180d</v>
      </c>
      <c r="T99" s="20" t="n">
        <f aca="false">COUNTIF(M99:S99,"FAIL*")+COUNTIF(M99:S99,"FLAG*")</f>
        <v>1</v>
      </c>
      <c r="U99" s="20" t="str">
        <f aca="false">IF(T99=0,"CLEAN",IF(T99=1,"MINOR",IF(T99&lt;=3,"MODERATE","CRITICAL")))</f>
        <v>MINOR</v>
      </c>
      <c r="V99" s="20" t="str">
        <f aca="false">IF(U99="CLEAN","None",IF(U99="MINOR","Seller Notify",IF(U99="MODERATE","Listing Suspended","Immediate Removal")))</f>
        <v>Seller Notify</v>
      </c>
    </row>
    <row r="100" customFormat="false" ht="18" hidden="false" customHeight="true" outlineLevel="0" collapsed="false">
      <c r="A100" s="19" t="s">
        <v>6177</v>
      </c>
      <c r="B100" s="19" t="s">
        <v>922</v>
      </c>
      <c r="C100" s="19" t="s">
        <v>48</v>
      </c>
      <c r="D100" s="19" t="s">
        <v>49</v>
      </c>
      <c r="E100" s="19" t="s">
        <v>50</v>
      </c>
      <c r="F100" s="19" t="s">
        <v>51</v>
      </c>
      <c r="G100" s="19" t="s">
        <v>924</v>
      </c>
      <c r="H100" s="19" t="s">
        <v>925</v>
      </c>
      <c r="I100" s="19" t="s">
        <v>926</v>
      </c>
      <c r="J100" s="19" t="n">
        <v>1093.94</v>
      </c>
      <c r="K100" s="19" t="s">
        <v>930</v>
      </c>
      <c r="L100" s="19"/>
      <c r="M100" s="20" t="str">
        <f aca="false">IF(G100&lt;&gt;"","PASS","FAIL - Missing UPC")</f>
        <v>PASS</v>
      </c>
      <c r="N100" s="20" t="str">
        <f aca="false">IF(AND(G100&lt;&gt;"",H100&lt;&gt;""),IF("0"&amp;G100=H100,"PASS","FAIL - GTIN Mismatch"),"SKIP")</f>
        <v>PASS</v>
      </c>
      <c r="O100" s="20" t="str">
        <f aca="false">IF(I100="","FAIL - No Title",IF(LEN(I100)&lt;=126,"PASS","FAIL - Title &gt;"&amp;126&amp;" chars"))</f>
        <v>PASS</v>
      </c>
      <c r="P100" s="20" t="str">
        <f aca="false">IF(J100&gt;0,IF(J100&lt;5000,"PASS","FLAG - Review Price"),"FAIL - Zero Price")</f>
        <v>PASS</v>
      </c>
      <c r="Q100" s="20" t="str">
        <f aca="false">IF('Raw Catalog'!P98&lt;&gt;"","PASS","FAIL - No Image")</f>
        <v>PASS</v>
      </c>
      <c r="R100" s="20" t="str">
        <f aca="false">IF(F100&lt;&gt;"","PASS","FAIL - No Brand")</f>
        <v>PASS</v>
      </c>
      <c r="S100" s="20" t="str">
        <f aca="true">IF(K100="","FAIL - No Date",IF(TODAY()-DATEVALUE(K100)&lt;=180,"PASS","FLAG - Stale &gt;180d"))</f>
        <v>FLAG - Stale &gt;180d</v>
      </c>
      <c r="T100" s="20" t="n">
        <f aca="false">COUNTIF(M100:S100,"FAIL*")+COUNTIF(M100:S100,"FLAG*")</f>
        <v>1</v>
      </c>
      <c r="U100" s="20" t="str">
        <f aca="false">IF(T100=0,"CLEAN",IF(T100=1,"MINOR",IF(T100&lt;=3,"MODERATE","CRITICAL")))</f>
        <v>MINOR</v>
      </c>
      <c r="V100" s="20" t="str">
        <f aca="false">IF(U100="CLEAN","None",IF(U100="MINOR","Seller Notify",IF(U100="MODERATE","Listing Suspended","Immediate Removal")))</f>
        <v>Seller Notify</v>
      </c>
    </row>
    <row r="101" customFormat="false" ht="18" hidden="false" customHeight="true" outlineLevel="0" collapsed="false">
      <c r="A101" s="19" t="s">
        <v>6178</v>
      </c>
      <c r="B101" s="19" t="s">
        <v>931</v>
      </c>
      <c r="C101" s="19" t="s">
        <v>255</v>
      </c>
      <c r="D101" s="19" t="s">
        <v>256</v>
      </c>
      <c r="E101" s="19" t="s">
        <v>79</v>
      </c>
      <c r="F101" s="19" t="s">
        <v>465</v>
      </c>
      <c r="G101" s="19" t="s">
        <v>933</v>
      </c>
      <c r="H101" s="19" t="s">
        <v>934</v>
      </c>
      <c r="I101" s="19" t="s">
        <v>935</v>
      </c>
      <c r="J101" s="19" t="n">
        <v>1072.35</v>
      </c>
      <c r="K101" s="19" t="s">
        <v>939</v>
      </c>
      <c r="L101" s="19"/>
      <c r="M101" s="20" t="str">
        <f aca="false">IF(G101&lt;&gt;"","PASS","FAIL - Missing UPC")</f>
        <v>PASS</v>
      </c>
      <c r="N101" s="20" t="str">
        <f aca="false">IF(AND(G101&lt;&gt;"",H101&lt;&gt;""),IF("0"&amp;G101=H101,"PASS","FAIL - GTIN Mismatch"),"SKIP")</f>
        <v>PASS</v>
      </c>
      <c r="O101" s="20" t="str">
        <f aca="false">IF(I101="","FAIL - No Title",IF(LEN(I101)&lt;=126,"PASS","FAIL - Title &gt;"&amp;126&amp;" chars"))</f>
        <v>PASS</v>
      </c>
      <c r="P101" s="20" t="str">
        <f aca="false">IF(J101&gt;0,IF(J101&lt;5000,"PASS","FLAG - Review Price"),"FAIL - Zero Price")</f>
        <v>PASS</v>
      </c>
      <c r="Q101" s="20" t="str">
        <f aca="false">IF('Raw Catalog'!P99&lt;&gt;"","PASS","FAIL - No Image")</f>
        <v>PASS</v>
      </c>
      <c r="R101" s="20" t="str">
        <f aca="false">IF(F101&lt;&gt;"","PASS","FAIL - No Brand")</f>
        <v>PASS</v>
      </c>
      <c r="S101" s="20" t="str">
        <f aca="true">IF(K101="","FAIL - No Date",IF(TODAY()-DATEVALUE(K101)&lt;=180,"PASS","FLAG - Stale &gt;180d"))</f>
        <v>FLAG - Stale &gt;180d</v>
      </c>
      <c r="T101" s="20" t="n">
        <f aca="false">COUNTIF(M101:S101,"FAIL*")+COUNTIF(M101:S101,"FLAG*")</f>
        <v>1</v>
      </c>
      <c r="U101" s="20" t="str">
        <f aca="false">IF(T101=0,"CLEAN",IF(T101=1,"MINOR",IF(T101&lt;=3,"MODERATE","CRITICAL")))</f>
        <v>MINOR</v>
      </c>
      <c r="V101" s="20" t="str">
        <f aca="false">IF(U101="CLEAN","None",IF(U101="MINOR","Seller Notify",IF(U101="MODERATE","Listing Suspended","Immediate Removal")))</f>
        <v>Seller Notify</v>
      </c>
    </row>
    <row r="102" customFormat="false" ht="18" hidden="false" customHeight="true" outlineLevel="0" collapsed="false">
      <c r="A102" s="19" t="s">
        <v>6179</v>
      </c>
      <c r="B102" s="19" t="s">
        <v>940</v>
      </c>
      <c r="C102" s="19" t="s">
        <v>173</v>
      </c>
      <c r="D102" s="19" t="s">
        <v>174</v>
      </c>
      <c r="E102" s="19" t="s">
        <v>50</v>
      </c>
      <c r="F102" s="19" t="s">
        <v>138</v>
      </c>
      <c r="G102" s="19" t="s">
        <v>942</v>
      </c>
      <c r="H102" s="19" t="s">
        <v>943</v>
      </c>
      <c r="I102" s="19" t="s">
        <v>944</v>
      </c>
      <c r="J102" s="19" t="n">
        <v>1074.01</v>
      </c>
      <c r="K102" s="19" t="s">
        <v>946</v>
      </c>
      <c r="L102" s="19"/>
      <c r="M102" s="20" t="str">
        <f aca="false">IF(G102&lt;&gt;"","PASS","FAIL - Missing UPC")</f>
        <v>PASS</v>
      </c>
      <c r="N102" s="20" t="str">
        <f aca="false">IF(AND(G102&lt;&gt;"",H102&lt;&gt;""),IF("0"&amp;G102=H102,"PASS","FAIL - GTIN Mismatch"),"SKIP")</f>
        <v>PASS</v>
      </c>
      <c r="O102" s="20" t="str">
        <f aca="false">IF(I102="","FAIL - No Title",IF(LEN(I102)&lt;=126,"PASS","FAIL - Title &gt;"&amp;126&amp;" chars"))</f>
        <v>PASS</v>
      </c>
      <c r="P102" s="20" t="str">
        <f aca="false">IF(J102&gt;0,IF(J102&lt;5000,"PASS","FLAG - Review Price"),"FAIL - Zero Price")</f>
        <v>PASS</v>
      </c>
      <c r="Q102" s="20" t="str">
        <f aca="false">IF('Raw Catalog'!P100&lt;&gt;"","PASS","FAIL - No Image")</f>
        <v>PASS</v>
      </c>
      <c r="R102" s="20" t="str">
        <f aca="false">IF(F102&lt;&gt;"","PASS","FAIL - No Brand")</f>
        <v>PASS</v>
      </c>
      <c r="S102" s="20" t="str">
        <f aca="true">IF(K102="","FAIL - No Date",IF(TODAY()-DATEVALUE(K102)&lt;=180,"PASS","FLAG - Stale &gt;180d"))</f>
        <v>FLAG - Stale &gt;180d</v>
      </c>
      <c r="T102" s="20" t="n">
        <f aca="false">COUNTIF(M102:S102,"FAIL*")+COUNTIF(M102:S102,"FLAG*")</f>
        <v>1</v>
      </c>
      <c r="U102" s="20" t="str">
        <f aca="false">IF(T102=0,"CLEAN",IF(T102=1,"MINOR",IF(T102&lt;=3,"MODERATE","CRITICAL")))</f>
        <v>MINOR</v>
      </c>
      <c r="V102" s="20" t="str">
        <f aca="false">IF(U102="CLEAN","None",IF(U102="MINOR","Seller Notify",IF(U102="MODERATE","Listing Suspended","Immediate Removal")))</f>
        <v>Seller Notify</v>
      </c>
    </row>
    <row r="103" customFormat="false" ht="18" hidden="false" customHeight="true" outlineLevel="0" collapsed="false">
      <c r="A103" s="19" t="s">
        <v>6180</v>
      </c>
      <c r="B103" s="19" t="s">
        <v>947</v>
      </c>
      <c r="C103" s="19" t="s">
        <v>159</v>
      </c>
      <c r="D103" s="19" t="s">
        <v>160</v>
      </c>
      <c r="E103" s="19" t="s">
        <v>65</v>
      </c>
      <c r="F103" s="19" t="s">
        <v>371</v>
      </c>
      <c r="G103" s="19" t="s">
        <v>949</v>
      </c>
      <c r="H103" s="19" t="s">
        <v>950</v>
      </c>
      <c r="I103" s="19" t="s">
        <v>951</v>
      </c>
      <c r="J103" s="19" t="n">
        <v>292.27</v>
      </c>
      <c r="K103" s="19" t="s">
        <v>522</v>
      </c>
      <c r="L103" s="19"/>
      <c r="M103" s="20" t="str">
        <f aca="false">IF(G103&lt;&gt;"","PASS","FAIL - Missing UPC")</f>
        <v>PASS</v>
      </c>
      <c r="N103" s="20" t="str">
        <f aca="false">IF(AND(G103&lt;&gt;"",H103&lt;&gt;""),IF("0"&amp;G103=H103,"PASS","FAIL - GTIN Mismatch"),"SKIP")</f>
        <v>PASS</v>
      </c>
      <c r="O103" s="20" t="str">
        <f aca="false">IF(I103="","FAIL - No Title",IF(LEN(I103)&lt;=126,"PASS","FAIL - Title &gt;"&amp;126&amp;" chars"))</f>
        <v>PASS</v>
      </c>
      <c r="P103" s="20" t="str">
        <f aca="false">IF(J103&gt;0,IF(J103&lt;5000,"PASS","FLAG - Review Price"),"FAIL - Zero Price")</f>
        <v>PASS</v>
      </c>
      <c r="Q103" s="20" t="str">
        <f aca="false">IF('Raw Catalog'!P101&lt;&gt;"","PASS","FAIL - No Image")</f>
        <v>PASS</v>
      </c>
      <c r="R103" s="20" t="str">
        <f aca="false">IF(F103&lt;&gt;"","PASS","FAIL - No Brand")</f>
        <v>PASS</v>
      </c>
      <c r="S103" s="20" t="str">
        <f aca="true">IF(K103="","FAIL - No Date",IF(TODAY()-DATEVALUE(K103)&lt;=180,"PASS","FLAG - Stale &gt;180d"))</f>
        <v>FLAG - Stale &gt;180d</v>
      </c>
      <c r="T103" s="20" t="n">
        <f aca="false">COUNTIF(M103:S103,"FAIL*")+COUNTIF(M103:S103,"FLAG*")</f>
        <v>1</v>
      </c>
      <c r="U103" s="20" t="str">
        <f aca="false">IF(T103=0,"CLEAN",IF(T103=1,"MINOR",IF(T103&lt;=3,"MODERATE","CRITICAL")))</f>
        <v>MINOR</v>
      </c>
      <c r="V103" s="20" t="str">
        <f aca="false">IF(U103="CLEAN","None",IF(U103="MINOR","Seller Notify",IF(U103="MODERATE","Listing Suspended","Immediate Removal")))</f>
        <v>Seller Notify</v>
      </c>
    </row>
    <row r="104" customFormat="false" ht="18" hidden="false" customHeight="true" outlineLevel="0" collapsed="false">
      <c r="A104" s="19" t="s">
        <v>6181</v>
      </c>
      <c r="B104" s="19" t="s">
        <v>955</v>
      </c>
      <c r="C104" s="19" t="s">
        <v>113</v>
      </c>
      <c r="D104" s="19" t="s">
        <v>114</v>
      </c>
      <c r="E104" s="19" t="s">
        <v>79</v>
      </c>
      <c r="F104" s="19" t="s">
        <v>956</v>
      </c>
      <c r="G104" s="19" t="s">
        <v>958</v>
      </c>
      <c r="H104" s="19" t="s">
        <v>959</v>
      </c>
      <c r="I104" s="19" t="s">
        <v>960</v>
      </c>
      <c r="J104" s="19" t="n">
        <v>776.96</v>
      </c>
      <c r="K104" s="19" t="s">
        <v>462</v>
      </c>
      <c r="L104" s="19"/>
      <c r="M104" s="20" t="str">
        <f aca="false">IF(G104&lt;&gt;"","PASS","FAIL - Missing UPC")</f>
        <v>PASS</v>
      </c>
      <c r="N104" s="20" t="str">
        <f aca="false">IF(AND(G104&lt;&gt;"",H104&lt;&gt;""),IF("0"&amp;G104=H104,"PASS","FAIL - GTIN Mismatch"),"SKIP")</f>
        <v>PASS</v>
      </c>
      <c r="O104" s="20" t="str">
        <f aca="false">IF(I104="","FAIL - No Title",IF(LEN(I104)&lt;=126,"PASS","FAIL - Title &gt;"&amp;126&amp;" chars"))</f>
        <v>PASS</v>
      </c>
      <c r="P104" s="20" t="str">
        <f aca="false">IF(J104&gt;0,IF(J104&lt;5000,"PASS","FLAG - Review Price"),"FAIL - Zero Price")</f>
        <v>PASS</v>
      </c>
      <c r="Q104" s="20" t="str">
        <f aca="false">IF('Raw Catalog'!P102&lt;&gt;"","PASS","FAIL - No Image")</f>
        <v>PASS</v>
      </c>
      <c r="R104" s="20" t="str">
        <f aca="false">IF(F104&lt;&gt;"","PASS","FAIL - No Brand")</f>
        <v>PASS</v>
      </c>
      <c r="S104" s="20" t="str">
        <f aca="true">IF(K104="","FAIL - No Date",IF(TODAY()-DATEVALUE(K104)&lt;=180,"PASS","FLAG - Stale &gt;180d"))</f>
        <v>FLAG - Stale &gt;180d</v>
      </c>
      <c r="T104" s="20" t="n">
        <f aca="false">COUNTIF(M104:S104,"FAIL*")+COUNTIF(M104:S104,"FLAG*")</f>
        <v>1</v>
      </c>
      <c r="U104" s="20" t="str">
        <f aca="false">IF(T104=0,"CLEAN",IF(T104=1,"MINOR",IF(T104&lt;=3,"MODERATE","CRITICAL")))</f>
        <v>MINOR</v>
      </c>
      <c r="V104" s="20" t="str">
        <f aca="false">IF(U104="CLEAN","None",IF(U104="MINOR","Seller Notify",IF(U104="MODERATE","Listing Suspended","Immediate Removal")))</f>
        <v>Seller Notify</v>
      </c>
    </row>
    <row r="105" customFormat="false" ht="18" hidden="false" customHeight="true" outlineLevel="0" collapsed="false">
      <c r="A105" s="19" t="s">
        <v>6182</v>
      </c>
      <c r="B105" s="19" t="s">
        <v>964</v>
      </c>
      <c r="C105" s="19" t="s">
        <v>255</v>
      </c>
      <c r="D105" s="19" t="s">
        <v>256</v>
      </c>
      <c r="E105" s="19" t="s">
        <v>50</v>
      </c>
      <c r="F105" s="19" t="s">
        <v>503</v>
      </c>
      <c r="G105" s="19" t="s">
        <v>966</v>
      </c>
      <c r="H105" s="19" t="s">
        <v>967</v>
      </c>
      <c r="I105" s="19" t="s">
        <v>968</v>
      </c>
      <c r="J105" s="19" t="n">
        <v>515.69</v>
      </c>
      <c r="K105" s="19" t="s">
        <v>452</v>
      </c>
      <c r="L105" s="19"/>
      <c r="M105" s="20" t="str">
        <f aca="false">IF(G105&lt;&gt;"","PASS","FAIL - Missing UPC")</f>
        <v>PASS</v>
      </c>
      <c r="N105" s="20" t="str">
        <f aca="false">IF(AND(G105&lt;&gt;"",H105&lt;&gt;""),IF("0"&amp;G105=H105,"PASS","FAIL - GTIN Mismatch"),"SKIP")</f>
        <v>PASS</v>
      </c>
      <c r="O105" s="20" t="str">
        <f aca="false">IF(I105="","FAIL - No Title",IF(LEN(I105)&lt;=126,"PASS","FAIL - Title &gt;"&amp;126&amp;" chars"))</f>
        <v>PASS</v>
      </c>
      <c r="P105" s="20" t="str">
        <f aca="false">IF(J105&gt;0,IF(J105&lt;5000,"PASS","FLAG - Review Price"),"FAIL - Zero Price")</f>
        <v>PASS</v>
      </c>
      <c r="Q105" s="20" t="str">
        <f aca="false">IF('Raw Catalog'!P103&lt;&gt;"","PASS","FAIL - No Image")</f>
        <v>PASS</v>
      </c>
      <c r="R105" s="20" t="str">
        <f aca="false">IF(F105&lt;&gt;"","PASS","FAIL - No Brand")</f>
        <v>PASS</v>
      </c>
      <c r="S105" s="20" t="str">
        <f aca="true">IF(K105="","FAIL - No Date",IF(TODAY()-DATEVALUE(K105)&lt;=180,"PASS","FLAG - Stale &gt;180d"))</f>
        <v>FLAG - Stale &gt;180d</v>
      </c>
      <c r="T105" s="20" t="n">
        <f aca="false">COUNTIF(M105:S105,"FAIL*")+COUNTIF(M105:S105,"FLAG*")</f>
        <v>1</v>
      </c>
      <c r="U105" s="20" t="str">
        <f aca="false">IF(T105=0,"CLEAN",IF(T105=1,"MINOR",IF(T105&lt;=3,"MODERATE","CRITICAL")))</f>
        <v>MINOR</v>
      </c>
      <c r="V105" s="20" t="str">
        <f aca="false">IF(U105="CLEAN","None",IF(U105="MINOR","Seller Notify",IF(U105="MODERATE","Listing Suspended","Immediate Removal")))</f>
        <v>Seller Notify</v>
      </c>
    </row>
    <row r="106" customFormat="false" ht="18" hidden="false" customHeight="true" outlineLevel="0" collapsed="false">
      <c r="A106" s="19" t="s">
        <v>6183</v>
      </c>
      <c r="B106" s="19" t="s">
        <v>972</v>
      </c>
      <c r="C106" s="19" t="s">
        <v>173</v>
      </c>
      <c r="D106" s="19" t="s">
        <v>174</v>
      </c>
      <c r="E106" s="19" t="s">
        <v>50</v>
      </c>
      <c r="F106" s="19" t="s">
        <v>51</v>
      </c>
      <c r="G106" s="19" t="s">
        <v>974</v>
      </c>
      <c r="H106" s="19" t="s">
        <v>975</v>
      </c>
      <c r="I106" s="19" t="s">
        <v>976</v>
      </c>
      <c r="J106" s="19" t="n">
        <v>297.84</v>
      </c>
      <c r="K106" s="19" t="s">
        <v>978</v>
      </c>
      <c r="L106" s="19"/>
      <c r="M106" s="20" t="str">
        <f aca="false">IF(G106&lt;&gt;"","PASS","FAIL - Missing UPC")</f>
        <v>PASS</v>
      </c>
      <c r="N106" s="20" t="str">
        <f aca="false">IF(AND(G106&lt;&gt;"",H106&lt;&gt;""),IF("0"&amp;G106=H106,"PASS","FAIL - GTIN Mismatch"),"SKIP")</f>
        <v>PASS</v>
      </c>
      <c r="O106" s="20" t="str">
        <f aca="false">IF(I106="","FAIL - No Title",IF(LEN(I106)&lt;=126,"PASS","FAIL - Title &gt;"&amp;126&amp;" chars"))</f>
        <v>PASS</v>
      </c>
      <c r="P106" s="20" t="str">
        <f aca="false">IF(J106&gt;0,IF(J106&lt;5000,"PASS","FLAG - Review Price"),"FAIL - Zero Price")</f>
        <v>PASS</v>
      </c>
      <c r="Q106" s="20" t="str">
        <f aca="false">IF('Raw Catalog'!P104&lt;&gt;"","PASS","FAIL - No Image")</f>
        <v>PASS</v>
      </c>
      <c r="R106" s="20" t="str">
        <f aca="false">IF(F106&lt;&gt;"","PASS","FAIL - No Brand")</f>
        <v>PASS</v>
      </c>
      <c r="S106" s="20" t="str">
        <f aca="true">IF(K106="","FAIL - No Date",IF(TODAY()-DATEVALUE(K106)&lt;=180,"PASS","FLAG - Stale &gt;180d"))</f>
        <v>FLAG - Stale &gt;180d</v>
      </c>
      <c r="T106" s="20" t="n">
        <f aca="false">COUNTIF(M106:S106,"FAIL*")+COUNTIF(M106:S106,"FLAG*")</f>
        <v>1</v>
      </c>
      <c r="U106" s="20" t="str">
        <f aca="false">IF(T106=0,"CLEAN",IF(T106=1,"MINOR",IF(T106&lt;=3,"MODERATE","CRITICAL")))</f>
        <v>MINOR</v>
      </c>
      <c r="V106" s="20" t="str">
        <f aca="false">IF(U106="CLEAN","None",IF(U106="MINOR","Seller Notify",IF(U106="MODERATE","Listing Suspended","Immediate Removal")))</f>
        <v>Seller Notify</v>
      </c>
    </row>
    <row r="107" customFormat="false" ht="18" hidden="false" customHeight="true" outlineLevel="0" collapsed="false">
      <c r="A107" s="19" t="s">
        <v>6184</v>
      </c>
      <c r="B107" s="19" t="s">
        <v>979</v>
      </c>
      <c r="C107" s="19" t="s">
        <v>125</v>
      </c>
      <c r="D107" s="19" t="s">
        <v>126</v>
      </c>
      <c r="E107" s="19" t="s">
        <v>91</v>
      </c>
      <c r="F107" s="19" t="s">
        <v>138</v>
      </c>
      <c r="G107" s="19" t="s">
        <v>981</v>
      </c>
      <c r="H107" s="19" t="s">
        <v>982</v>
      </c>
      <c r="I107" s="19" t="s">
        <v>983</v>
      </c>
      <c r="J107" s="19" t="n">
        <v>473.71</v>
      </c>
      <c r="K107" s="19" t="s">
        <v>985</v>
      </c>
      <c r="L107" s="19"/>
      <c r="M107" s="20" t="str">
        <f aca="false">IF(G107&lt;&gt;"","PASS","FAIL - Missing UPC")</f>
        <v>PASS</v>
      </c>
      <c r="N107" s="20" t="str">
        <f aca="false">IF(AND(G107&lt;&gt;"",H107&lt;&gt;""),IF("0"&amp;G107=H107,"PASS","FAIL - GTIN Mismatch"),"SKIP")</f>
        <v>PASS</v>
      </c>
      <c r="O107" s="20" t="str">
        <f aca="false">IF(I107="","FAIL - No Title",IF(LEN(I107)&lt;=126,"PASS","FAIL - Title &gt;"&amp;126&amp;" chars"))</f>
        <v>PASS</v>
      </c>
      <c r="P107" s="20" t="str">
        <f aca="false">IF(J107&gt;0,IF(J107&lt;5000,"PASS","FLAG - Review Price"),"FAIL - Zero Price")</f>
        <v>PASS</v>
      </c>
      <c r="Q107" s="20" t="str">
        <f aca="false">IF('Raw Catalog'!P105&lt;&gt;"","PASS","FAIL - No Image")</f>
        <v>PASS</v>
      </c>
      <c r="R107" s="20" t="str">
        <f aca="false">IF(F107&lt;&gt;"","PASS","FAIL - No Brand")</f>
        <v>PASS</v>
      </c>
      <c r="S107" s="20" t="str">
        <f aca="true">IF(K107="","FAIL - No Date",IF(TODAY()-DATEVALUE(K107)&lt;=180,"PASS","FLAG - Stale &gt;180d"))</f>
        <v>FLAG - Stale &gt;180d</v>
      </c>
      <c r="T107" s="20" t="n">
        <f aca="false">COUNTIF(M107:S107,"FAIL*")+COUNTIF(M107:S107,"FLAG*")</f>
        <v>1</v>
      </c>
      <c r="U107" s="20" t="str">
        <f aca="false">IF(T107=0,"CLEAN",IF(T107=1,"MINOR",IF(T107&lt;=3,"MODERATE","CRITICAL")))</f>
        <v>MINOR</v>
      </c>
      <c r="V107" s="20" t="str">
        <f aca="false">IF(U107="CLEAN","None",IF(U107="MINOR","Seller Notify",IF(U107="MODERATE","Listing Suspended","Immediate Removal")))</f>
        <v>Seller Notify</v>
      </c>
    </row>
    <row r="108" customFormat="false" ht="18" hidden="false" customHeight="true" outlineLevel="0" collapsed="false">
      <c r="A108" s="19" t="s">
        <v>6185</v>
      </c>
      <c r="B108" s="19" t="s">
        <v>986</v>
      </c>
      <c r="C108" s="19" t="s">
        <v>63</v>
      </c>
      <c r="D108" s="19" t="s">
        <v>64</v>
      </c>
      <c r="E108" s="19" t="s">
        <v>79</v>
      </c>
      <c r="F108" s="19" t="s">
        <v>465</v>
      </c>
      <c r="G108" s="19" t="s">
        <v>988</v>
      </c>
      <c r="H108" s="19" t="s">
        <v>989</v>
      </c>
      <c r="I108" s="19" t="s">
        <v>990</v>
      </c>
      <c r="J108" s="19" t="n">
        <v>502.35</v>
      </c>
      <c r="K108" s="19" t="s">
        <v>994</v>
      </c>
      <c r="L108" s="19"/>
      <c r="M108" s="20" t="str">
        <f aca="false">IF(G108&lt;&gt;"","PASS","FAIL - Missing UPC")</f>
        <v>PASS</v>
      </c>
      <c r="N108" s="20" t="str">
        <f aca="false">IF(AND(G108&lt;&gt;"",H108&lt;&gt;""),IF("0"&amp;G108=H108,"PASS","FAIL - GTIN Mismatch"),"SKIP")</f>
        <v>PASS</v>
      </c>
      <c r="O108" s="20" t="str">
        <f aca="false">IF(I108="","FAIL - No Title",IF(LEN(I108)&lt;=126,"PASS","FAIL - Title &gt;"&amp;126&amp;" chars"))</f>
        <v>PASS</v>
      </c>
      <c r="P108" s="20" t="str">
        <f aca="false">IF(J108&gt;0,IF(J108&lt;5000,"PASS","FLAG - Review Price"),"FAIL - Zero Price")</f>
        <v>PASS</v>
      </c>
      <c r="Q108" s="20" t="str">
        <f aca="false">IF('Raw Catalog'!P106&lt;&gt;"","PASS","FAIL - No Image")</f>
        <v>PASS</v>
      </c>
      <c r="R108" s="20" t="str">
        <f aca="false">IF(F108&lt;&gt;"","PASS","FAIL - No Brand")</f>
        <v>PASS</v>
      </c>
      <c r="S108" s="20" t="str">
        <f aca="true">IF(K108="","FAIL - No Date",IF(TODAY()-DATEVALUE(K108)&lt;=180,"PASS","FLAG - Stale &gt;180d"))</f>
        <v>FLAG - Stale &gt;180d</v>
      </c>
      <c r="T108" s="20" t="n">
        <f aca="false">COUNTIF(M108:S108,"FAIL*")+COUNTIF(M108:S108,"FLAG*")</f>
        <v>1</v>
      </c>
      <c r="U108" s="20" t="str">
        <f aca="false">IF(T108=0,"CLEAN",IF(T108=1,"MINOR",IF(T108&lt;=3,"MODERATE","CRITICAL")))</f>
        <v>MINOR</v>
      </c>
      <c r="V108" s="20" t="str">
        <f aca="false">IF(U108="CLEAN","None",IF(U108="MINOR","Seller Notify",IF(U108="MODERATE","Listing Suspended","Immediate Removal")))</f>
        <v>Seller Notify</v>
      </c>
    </row>
    <row r="109" customFormat="false" ht="18" hidden="false" customHeight="true" outlineLevel="0" collapsed="false">
      <c r="A109" s="19" t="s">
        <v>6186</v>
      </c>
      <c r="B109" s="19" t="s">
        <v>995</v>
      </c>
      <c r="C109" s="19" t="s">
        <v>77</v>
      </c>
      <c r="D109" s="19" t="s">
        <v>78</v>
      </c>
      <c r="E109" s="19" t="s">
        <v>79</v>
      </c>
      <c r="F109" s="19" t="s">
        <v>956</v>
      </c>
      <c r="G109" s="19" t="s">
        <v>997</v>
      </c>
      <c r="H109" s="19" t="s">
        <v>998</v>
      </c>
      <c r="I109" s="19" t="s">
        <v>999</v>
      </c>
      <c r="J109" s="19" t="n">
        <v>715.04</v>
      </c>
      <c r="K109" s="19" t="s">
        <v>1003</v>
      </c>
      <c r="L109" s="19"/>
      <c r="M109" s="20" t="str">
        <f aca="false">IF(G109&lt;&gt;"","PASS","FAIL - Missing UPC")</f>
        <v>PASS</v>
      </c>
      <c r="N109" s="20" t="str">
        <f aca="false">IF(AND(G109&lt;&gt;"",H109&lt;&gt;""),IF("0"&amp;G109=H109,"PASS","FAIL - GTIN Mismatch"),"SKIP")</f>
        <v>PASS</v>
      </c>
      <c r="O109" s="20" t="str">
        <f aca="false">IF(I109="","FAIL - No Title",IF(LEN(I109)&lt;=126,"PASS","FAIL - Title &gt;"&amp;126&amp;" chars"))</f>
        <v>PASS</v>
      </c>
      <c r="P109" s="20" t="str">
        <f aca="false">IF(J109&gt;0,IF(J109&lt;5000,"PASS","FLAG - Review Price"),"FAIL - Zero Price")</f>
        <v>PASS</v>
      </c>
      <c r="Q109" s="20" t="str">
        <f aca="false">IF('Raw Catalog'!P107&lt;&gt;"","PASS","FAIL - No Image")</f>
        <v>PASS</v>
      </c>
      <c r="R109" s="20" t="str">
        <f aca="false">IF(F109&lt;&gt;"","PASS","FAIL - No Brand")</f>
        <v>PASS</v>
      </c>
      <c r="S109" s="20" t="str">
        <f aca="true">IF(K109="","FAIL - No Date",IF(TODAY()-DATEVALUE(K109)&lt;=180,"PASS","FLAG - Stale &gt;180d"))</f>
        <v>FLAG - Stale &gt;180d</v>
      </c>
      <c r="T109" s="20" t="n">
        <f aca="false">COUNTIF(M109:S109,"FAIL*")+COUNTIF(M109:S109,"FLAG*")</f>
        <v>1</v>
      </c>
      <c r="U109" s="20" t="str">
        <f aca="false">IF(T109=0,"CLEAN",IF(T109=1,"MINOR",IF(T109&lt;=3,"MODERATE","CRITICAL")))</f>
        <v>MINOR</v>
      </c>
      <c r="V109" s="20" t="str">
        <f aca="false">IF(U109="CLEAN","None",IF(U109="MINOR","Seller Notify",IF(U109="MODERATE","Listing Suspended","Immediate Removal")))</f>
        <v>Seller Notify</v>
      </c>
    </row>
    <row r="110" customFormat="false" ht="18" hidden="false" customHeight="true" outlineLevel="0" collapsed="false">
      <c r="A110" s="19" t="s">
        <v>6187</v>
      </c>
      <c r="B110" s="19" t="s">
        <v>1004</v>
      </c>
      <c r="C110" s="19" t="s">
        <v>173</v>
      </c>
      <c r="D110" s="19" t="s">
        <v>174</v>
      </c>
      <c r="E110" s="19" t="s">
        <v>65</v>
      </c>
      <c r="F110" s="19" t="s">
        <v>66</v>
      </c>
      <c r="G110" s="19" t="s">
        <v>1006</v>
      </c>
      <c r="H110" s="19" t="s">
        <v>1007</v>
      </c>
      <c r="I110" s="19" t="s">
        <v>649</v>
      </c>
      <c r="J110" s="19" t="n">
        <v>151.72</v>
      </c>
      <c r="K110" s="19" t="s">
        <v>1008</v>
      </c>
      <c r="L110" s="19"/>
      <c r="M110" s="20" t="str">
        <f aca="false">IF(G110&lt;&gt;"","PASS","FAIL - Missing UPC")</f>
        <v>PASS</v>
      </c>
      <c r="N110" s="20" t="str">
        <f aca="false">IF(AND(G110&lt;&gt;"",H110&lt;&gt;""),IF("0"&amp;G110=H110,"PASS","FAIL - GTIN Mismatch"),"SKIP")</f>
        <v>PASS</v>
      </c>
      <c r="O110" s="20" t="str">
        <f aca="false">IF(I110="","FAIL - No Title",IF(LEN(I110)&lt;=126,"PASS","FAIL - Title &gt;"&amp;126&amp;" chars"))</f>
        <v>PASS</v>
      </c>
      <c r="P110" s="20" t="str">
        <f aca="false">IF(J110&gt;0,IF(J110&lt;5000,"PASS","FLAG - Review Price"),"FAIL - Zero Price")</f>
        <v>PASS</v>
      </c>
      <c r="Q110" s="20" t="str">
        <f aca="false">IF('Raw Catalog'!P108&lt;&gt;"","PASS","FAIL - No Image")</f>
        <v>PASS</v>
      </c>
      <c r="R110" s="20" t="str">
        <f aca="false">IF(F110&lt;&gt;"","PASS","FAIL - No Brand")</f>
        <v>PASS</v>
      </c>
      <c r="S110" s="20" t="str">
        <f aca="true">IF(K110="","FAIL - No Date",IF(TODAY()-DATEVALUE(K110)&lt;=180,"PASS","FLAG - Stale &gt;180d"))</f>
        <v>FLAG - Stale &gt;180d</v>
      </c>
      <c r="T110" s="20" t="n">
        <f aca="false">COUNTIF(M110:S110,"FAIL*")+COUNTIF(M110:S110,"FLAG*")</f>
        <v>1</v>
      </c>
      <c r="U110" s="20" t="str">
        <f aca="false">IF(T110=0,"CLEAN",IF(T110=1,"MINOR",IF(T110&lt;=3,"MODERATE","CRITICAL")))</f>
        <v>MINOR</v>
      </c>
      <c r="V110" s="20" t="str">
        <f aca="false">IF(U110="CLEAN","None",IF(U110="MINOR","Seller Notify",IF(U110="MODERATE","Listing Suspended","Immediate Removal")))</f>
        <v>Seller Notify</v>
      </c>
    </row>
    <row r="111" customFormat="false" ht="18" hidden="false" customHeight="true" outlineLevel="0" collapsed="false">
      <c r="A111" s="19" t="s">
        <v>6188</v>
      </c>
      <c r="B111" s="19" t="s">
        <v>1009</v>
      </c>
      <c r="C111" s="19" t="s">
        <v>173</v>
      </c>
      <c r="D111" s="19" t="s">
        <v>174</v>
      </c>
      <c r="E111" s="19" t="s">
        <v>50</v>
      </c>
      <c r="F111" s="19" t="s">
        <v>51</v>
      </c>
      <c r="G111" s="19" t="s">
        <v>1011</v>
      </c>
      <c r="H111" s="19" t="s">
        <v>1012</v>
      </c>
      <c r="I111" s="19" t="s">
        <v>1013</v>
      </c>
      <c r="J111" s="19" t="n">
        <v>156.38</v>
      </c>
      <c r="K111" s="19" t="s">
        <v>271</v>
      </c>
      <c r="L111" s="21" t="s">
        <v>1014</v>
      </c>
      <c r="M111" s="20" t="str">
        <f aca="false">IF(G111&lt;&gt;"","PASS","FAIL - Missing UPC")</f>
        <v>PASS</v>
      </c>
      <c r="N111" s="20" t="str">
        <f aca="false">IF(AND(G111&lt;&gt;"",H111&lt;&gt;""),IF("0"&amp;G111=H111,"PASS","FAIL - GTIN Mismatch"),"SKIP")</f>
        <v>PASS</v>
      </c>
      <c r="O111" s="20" t="str">
        <f aca="false">IF(I111="","FAIL - No Title",IF(LEN(I111)&lt;=126,"PASS","FAIL - Title &gt;"&amp;126&amp;" chars"))</f>
        <v>PASS</v>
      </c>
      <c r="P111" s="20" t="str">
        <f aca="false">IF(J111&gt;0,IF(J111&lt;5000,"PASS","FLAG - Review Price"),"FAIL - Zero Price")</f>
        <v>PASS</v>
      </c>
      <c r="Q111" s="20" t="str">
        <f aca="false">IF('Raw Catalog'!P109&lt;&gt;"","PASS","FAIL - No Image")</f>
        <v>FAIL - No Image</v>
      </c>
      <c r="R111" s="20" t="str">
        <f aca="false">IF(F111&lt;&gt;"","PASS","FAIL - No Brand")</f>
        <v>PASS</v>
      </c>
      <c r="S111" s="20" t="str">
        <f aca="true">IF(K111="","FAIL - No Date",IF(TODAY()-DATEVALUE(K111)&lt;=180,"PASS","FLAG - Stale &gt;180d"))</f>
        <v>FLAG - Stale &gt;180d</v>
      </c>
      <c r="T111" s="20" t="n">
        <f aca="false">COUNTIF(M111:S111,"FAIL*")+COUNTIF(M111:S111,"FLAG*")</f>
        <v>2</v>
      </c>
      <c r="U111" s="20" t="str">
        <f aca="false">IF(T111=0,"CLEAN",IF(T111=1,"MINOR",IF(T111&lt;=3,"MODERATE","CRITICAL")))</f>
        <v>MODERATE</v>
      </c>
      <c r="V111" s="20" t="str">
        <f aca="false">IF(U111="CLEAN","None",IF(U111="MINOR","Seller Notify",IF(U111="MODERATE","Listing Suspended","Immediate Removal")))</f>
        <v>Listing Suspended</v>
      </c>
    </row>
    <row r="112" customFormat="false" ht="18" hidden="false" customHeight="true" outlineLevel="0" collapsed="false">
      <c r="A112" s="19" t="s">
        <v>6189</v>
      </c>
      <c r="B112" s="19" t="s">
        <v>1015</v>
      </c>
      <c r="C112" s="19" t="s">
        <v>125</v>
      </c>
      <c r="D112" s="19" t="s">
        <v>126</v>
      </c>
      <c r="E112" s="19" t="s">
        <v>161</v>
      </c>
      <c r="F112" s="19" t="s">
        <v>822</v>
      </c>
      <c r="G112" s="19" t="s">
        <v>1017</v>
      </c>
      <c r="H112" s="19" t="s">
        <v>1018</v>
      </c>
      <c r="I112" s="19" t="s">
        <v>1019</v>
      </c>
      <c r="J112" s="19" t="n">
        <v>342.55</v>
      </c>
      <c r="K112" s="19" t="s">
        <v>1021</v>
      </c>
      <c r="L112" s="19"/>
      <c r="M112" s="20" t="str">
        <f aca="false">IF(G112&lt;&gt;"","PASS","FAIL - Missing UPC")</f>
        <v>PASS</v>
      </c>
      <c r="N112" s="20" t="str">
        <f aca="false">IF(AND(G112&lt;&gt;"",H112&lt;&gt;""),IF("0"&amp;G112=H112,"PASS","FAIL - GTIN Mismatch"),"SKIP")</f>
        <v>PASS</v>
      </c>
      <c r="O112" s="20" t="str">
        <f aca="false">IF(I112="","FAIL - No Title",IF(LEN(I112)&lt;=126,"PASS","FAIL - Title &gt;"&amp;126&amp;" chars"))</f>
        <v>PASS</v>
      </c>
      <c r="P112" s="20" t="str">
        <f aca="false">IF(J112&gt;0,IF(J112&lt;5000,"PASS","FLAG - Review Price"),"FAIL - Zero Price")</f>
        <v>PASS</v>
      </c>
      <c r="Q112" s="20" t="str">
        <f aca="false">IF('Raw Catalog'!P110&lt;&gt;"","PASS","FAIL - No Image")</f>
        <v>PASS</v>
      </c>
      <c r="R112" s="20" t="str">
        <f aca="false">IF(F112&lt;&gt;"","PASS","FAIL - No Brand")</f>
        <v>PASS</v>
      </c>
      <c r="S112" s="20" t="str">
        <f aca="true">IF(K112="","FAIL - No Date",IF(TODAY()-DATEVALUE(K112)&lt;=180,"PASS","FLAG - Stale &gt;180d"))</f>
        <v>FLAG - Stale &gt;180d</v>
      </c>
      <c r="T112" s="20" t="n">
        <f aca="false">COUNTIF(M112:S112,"FAIL*")+COUNTIF(M112:S112,"FLAG*")</f>
        <v>1</v>
      </c>
      <c r="U112" s="20" t="str">
        <f aca="false">IF(T112=0,"CLEAN",IF(T112=1,"MINOR",IF(T112&lt;=3,"MODERATE","CRITICAL")))</f>
        <v>MINOR</v>
      </c>
      <c r="V112" s="20" t="str">
        <f aca="false">IF(U112="CLEAN","None",IF(U112="MINOR","Seller Notify",IF(U112="MODERATE","Listing Suspended","Immediate Removal")))</f>
        <v>Seller Notify</v>
      </c>
    </row>
    <row r="113" customFormat="false" ht="18" hidden="false" customHeight="true" outlineLevel="0" collapsed="false">
      <c r="A113" s="19" t="s">
        <v>6190</v>
      </c>
      <c r="B113" s="19" t="s">
        <v>1022</v>
      </c>
      <c r="C113" s="19" t="s">
        <v>173</v>
      </c>
      <c r="D113" s="19" t="s">
        <v>174</v>
      </c>
      <c r="E113" s="19" t="s">
        <v>161</v>
      </c>
      <c r="F113" s="19" t="s">
        <v>51</v>
      </c>
      <c r="G113" s="19" t="s">
        <v>1024</v>
      </c>
      <c r="H113" s="19" t="s">
        <v>1025</v>
      </c>
      <c r="I113" s="19" t="s">
        <v>289</v>
      </c>
      <c r="J113" s="19" t="n">
        <v>496.93</v>
      </c>
      <c r="K113" s="19" t="s">
        <v>1026</v>
      </c>
      <c r="L113" s="19"/>
      <c r="M113" s="20" t="str">
        <f aca="false">IF(G113&lt;&gt;"","PASS","FAIL - Missing UPC")</f>
        <v>PASS</v>
      </c>
      <c r="N113" s="20" t="str">
        <f aca="false">IF(AND(G113&lt;&gt;"",H113&lt;&gt;""),IF("0"&amp;G113=H113,"PASS","FAIL - GTIN Mismatch"),"SKIP")</f>
        <v>PASS</v>
      </c>
      <c r="O113" s="20" t="str">
        <f aca="false">IF(I113="","FAIL - No Title",IF(LEN(I113)&lt;=126,"PASS","FAIL - Title &gt;"&amp;126&amp;" chars"))</f>
        <v>PASS</v>
      </c>
      <c r="P113" s="20" t="str">
        <f aca="false">IF(J113&gt;0,IF(J113&lt;5000,"PASS","FLAG - Review Price"),"FAIL - Zero Price")</f>
        <v>PASS</v>
      </c>
      <c r="Q113" s="20" t="str">
        <f aca="false">IF('Raw Catalog'!P111&lt;&gt;"","PASS","FAIL - No Image")</f>
        <v>PASS</v>
      </c>
      <c r="R113" s="20" t="str">
        <f aca="false">IF(F113&lt;&gt;"","PASS","FAIL - No Brand")</f>
        <v>PASS</v>
      </c>
      <c r="S113" s="20" t="str">
        <f aca="true">IF(K113="","FAIL - No Date",IF(TODAY()-DATEVALUE(K113)&lt;=180,"PASS","FLAG - Stale &gt;180d"))</f>
        <v>FLAG - Stale &gt;180d</v>
      </c>
      <c r="T113" s="20" t="n">
        <f aca="false">COUNTIF(M113:S113,"FAIL*")+COUNTIF(M113:S113,"FLAG*")</f>
        <v>1</v>
      </c>
      <c r="U113" s="20" t="str">
        <f aca="false">IF(T113=0,"CLEAN",IF(T113=1,"MINOR",IF(T113&lt;=3,"MODERATE","CRITICAL")))</f>
        <v>MINOR</v>
      </c>
      <c r="V113" s="20" t="str">
        <f aca="false">IF(U113="CLEAN","None",IF(U113="MINOR","Seller Notify",IF(U113="MODERATE","Listing Suspended","Immediate Removal")))</f>
        <v>Seller Notify</v>
      </c>
    </row>
    <row r="114" customFormat="false" ht="18" hidden="false" customHeight="true" outlineLevel="0" collapsed="false">
      <c r="A114" s="19" t="s">
        <v>6191</v>
      </c>
      <c r="B114" s="19" t="s">
        <v>1027</v>
      </c>
      <c r="C114" s="19" t="s">
        <v>77</v>
      </c>
      <c r="D114" s="19" t="s">
        <v>78</v>
      </c>
      <c r="E114" s="19" t="s">
        <v>91</v>
      </c>
      <c r="F114" s="19" t="s">
        <v>51</v>
      </c>
      <c r="G114" s="19" t="s">
        <v>1029</v>
      </c>
      <c r="H114" s="19" t="s">
        <v>1030</v>
      </c>
      <c r="I114" s="19" t="s">
        <v>1031</v>
      </c>
      <c r="J114" s="19" t="n">
        <v>352.73</v>
      </c>
      <c r="K114" s="19" t="s">
        <v>1035</v>
      </c>
      <c r="L114" s="21" t="s">
        <v>453</v>
      </c>
      <c r="M114" s="20" t="str">
        <f aca="false">IF(G114&lt;&gt;"","PASS","FAIL - Missing UPC")</f>
        <v>PASS</v>
      </c>
      <c r="N114" s="20" t="str">
        <f aca="false">IF(AND(G114&lt;&gt;"",H114&lt;&gt;""),IF("0"&amp;G114=H114,"PASS","FAIL - GTIN Mismatch"),"SKIP")</f>
        <v>PASS</v>
      </c>
      <c r="O114" s="20" t="str">
        <f aca="false">IF(I114="","FAIL - No Title",IF(LEN(I114)&lt;=126,"PASS","FAIL - Title &gt;"&amp;126&amp;" chars"))</f>
        <v>PASS</v>
      </c>
      <c r="P114" s="20" t="str">
        <f aca="false">IF(J114&gt;0,IF(J114&lt;5000,"PASS","FLAG - Review Price"),"FAIL - Zero Price")</f>
        <v>PASS</v>
      </c>
      <c r="Q114" s="20" t="str">
        <f aca="false">IF('Raw Catalog'!P112&lt;&gt;"","PASS","FAIL - No Image")</f>
        <v>PASS</v>
      </c>
      <c r="R114" s="20" t="str">
        <f aca="false">IF(F114&lt;&gt;"","PASS","FAIL - No Brand")</f>
        <v>PASS</v>
      </c>
      <c r="S114" s="20" t="str">
        <f aca="true">IF(K114="","FAIL - No Date",IF(TODAY()-DATEVALUE(K114)&lt;=180,"PASS","FLAG - Stale &gt;180d"))</f>
        <v>FLAG - Stale &gt;180d</v>
      </c>
      <c r="T114" s="20" t="n">
        <f aca="false">COUNTIF(M114:S114,"FAIL*")+COUNTIF(M114:S114,"FLAG*")</f>
        <v>1</v>
      </c>
      <c r="U114" s="20" t="str">
        <f aca="false">IF(T114=0,"CLEAN",IF(T114=1,"MINOR",IF(T114&lt;=3,"MODERATE","CRITICAL")))</f>
        <v>MINOR</v>
      </c>
      <c r="V114" s="20" t="str">
        <f aca="false">IF(U114="CLEAN","None",IF(U114="MINOR","Seller Notify",IF(U114="MODERATE","Listing Suspended","Immediate Removal")))</f>
        <v>Seller Notify</v>
      </c>
    </row>
    <row r="115" customFormat="false" ht="18" hidden="false" customHeight="true" outlineLevel="0" collapsed="false">
      <c r="A115" s="19" t="s">
        <v>6192</v>
      </c>
      <c r="B115" s="19" t="s">
        <v>1036</v>
      </c>
      <c r="C115" s="19" t="s">
        <v>173</v>
      </c>
      <c r="D115" s="19" t="s">
        <v>174</v>
      </c>
      <c r="E115" s="19" t="s">
        <v>161</v>
      </c>
      <c r="F115" s="19" t="s">
        <v>822</v>
      </c>
      <c r="G115" s="19" t="s">
        <v>1038</v>
      </c>
      <c r="H115" s="19" t="s">
        <v>1039</v>
      </c>
      <c r="I115" s="19" t="s">
        <v>1040</v>
      </c>
      <c r="J115" s="19" t="n">
        <v>316.09</v>
      </c>
      <c r="K115" s="19" t="s">
        <v>417</v>
      </c>
      <c r="L115" s="19"/>
      <c r="M115" s="20" t="str">
        <f aca="false">IF(G115&lt;&gt;"","PASS","FAIL - Missing UPC")</f>
        <v>PASS</v>
      </c>
      <c r="N115" s="20" t="str">
        <f aca="false">IF(AND(G115&lt;&gt;"",H115&lt;&gt;""),IF("0"&amp;G115=H115,"PASS","FAIL - GTIN Mismatch"),"SKIP")</f>
        <v>PASS</v>
      </c>
      <c r="O115" s="20" t="str">
        <f aca="false">IF(I115="","FAIL - No Title",IF(LEN(I115)&lt;=126,"PASS","FAIL - Title &gt;"&amp;126&amp;" chars"))</f>
        <v>PASS</v>
      </c>
      <c r="P115" s="20" t="str">
        <f aca="false">IF(J115&gt;0,IF(J115&lt;5000,"PASS","FLAG - Review Price"),"FAIL - Zero Price")</f>
        <v>PASS</v>
      </c>
      <c r="Q115" s="20" t="str">
        <f aca="false">IF('Raw Catalog'!P113&lt;&gt;"","PASS","FAIL - No Image")</f>
        <v>PASS</v>
      </c>
      <c r="R115" s="20" t="str">
        <f aca="false">IF(F115&lt;&gt;"","PASS","FAIL - No Brand")</f>
        <v>PASS</v>
      </c>
      <c r="S115" s="20" t="str">
        <f aca="true">IF(K115="","FAIL - No Date",IF(TODAY()-DATEVALUE(K115)&lt;=180,"PASS","FLAG - Stale &gt;180d"))</f>
        <v>FLAG - Stale &gt;180d</v>
      </c>
      <c r="T115" s="20" t="n">
        <f aca="false">COUNTIF(M115:S115,"FAIL*")+COUNTIF(M115:S115,"FLAG*")</f>
        <v>1</v>
      </c>
      <c r="U115" s="20" t="str">
        <f aca="false">IF(T115=0,"CLEAN",IF(T115=1,"MINOR",IF(T115&lt;=3,"MODERATE","CRITICAL")))</f>
        <v>MINOR</v>
      </c>
      <c r="V115" s="20" t="str">
        <f aca="false">IF(U115="CLEAN","None",IF(U115="MINOR","Seller Notify",IF(U115="MODERATE","Listing Suspended","Immediate Removal")))</f>
        <v>Seller Notify</v>
      </c>
    </row>
    <row r="116" customFormat="false" ht="18" hidden="false" customHeight="true" outlineLevel="0" collapsed="false">
      <c r="A116" s="19" t="s">
        <v>6193</v>
      </c>
      <c r="B116" s="19" t="s">
        <v>1041</v>
      </c>
      <c r="C116" s="19" t="s">
        <v>63</v>
      </c>
      <c r="D116" s="19" t="s">
        <v>64</v>
      </c>
      <c r="E116" s="19" t="s">
        <v>79</v>
      </c>
      <c r="F116" s="19" t="s">
        <v>956</v>
      </c>
      <c r="G116" s="19" t="s">
        <v>1043</v>
      </c>
      <c r="H116" s="19" t="s">
        <v>1044</v>
      </c>
      <c r="I116" s="19"/>
      <c r="J116" s="19" t="n">
        <v>1487.01</v>
      </c>
      <c r="K116" s="19" t="s">
        <v>604</v>
      </c>
      <c r="L116" s="21" t="s">
        <v>1048</v>
      </c>
      <c r="M116" s="20" t="str">
        <f aca="false">IF(G116&lt;&gt;"","PASS","FAIL - Missing UPC")</f>
        <v>PASS</v>
      </c>
      <c r="N116" s="20" t="str">
        <f aca="false">IF(AND(G116&lt;&gt;"",H116&lt;&gt;""),IF("0"&amp;G116=H116,"PASS","FAIL - GTIN Mismatch"),"SKIP")</f>
        <v>PASS</v>
      </c>
      <c r="O116" s="20" t="str">
        <f aca="false">IF(I116="","FAIL - No Title",IF(LEN(I116)&lt;=126,"PASS","FAIL - Title &gt;"&amp;126&amp;" chars"))</f>
        <v>FAIL - No Title</v>
      </c>
      <c r="P116" s="20" t="str">
        <f aca="false">IF(J116&gt;0,IF(J116&lt;5000,"PASS","FLAG - Review Price"),"FAIL - Zero Price")</f>
        <v>PASS</v>
      </c>
      <c r="Q116" s="20" t="str">
        <f aca="false">IF('Raw Catalog'!P114&lt;&gt;"","PASS","FAIL - No Image")</f>
        <v>PASS</v>
      </c>
      <c r="R116" s="20" t="str">
        <f aca="false">IF(F116&lt;&gt;"","PASS","FAIL - No Brand")</f>
        <v>PASS</v>
      </c>
      <c r="S116" s="20" t="str">
        <f aca="true">IF(K116="","FAIL - No Date",IF(TODAY()-DATEVALUE(K116)&lt;=180,"PASS","FLAG - Stale &gt;180d"))</f>
        <v>FLAG - Stale &gt;180d</v>
      </c>
      <c r="T116" s="20" t="n">
        <f aca="false">COUNTIF(M116:S116,"FAIL*")+COUNTIF(M116:S116,"FLAG*")</f>
        <v>2</v>
      </c>
      <c r="U116" s="20" t="str">
        <f aca="false">IF(T116=0,"CLEAN",IF(T116=1,"MINOR",IF(T116&lt;=3,"MODERATE","CRITICAL")))</f>
        <v>MODERATE</v>
      </c>
      <c r="V116" s="20" t="str">
        <f aca="false">IF(U116="CLEAN","None",IF(U116="MINOR","Seller Notify",IF(U116="MODERATE","Listing Suspended","Immediate Removal")))</f>
        <v>Listing Suspended</v>
      </c>
    </row>
    <row r="117" customFormat="false" ht="18" hidden="false" customHeight="true" outlineLevel="0" collapsed="false">
      <c r="A117" s="19" t="s">
        <v>6194</v>
      </c>
      <c r="B117" s="19" t="s">
        <v>1049</v>
      </c>
      <c r="C117" s="19" t="s">
        <v>113</v>
      </c>
      <c r="D117" s="19" t="s">
        <v>114</v>
      </c>
      <c r="E117" s="19" t="s">
        <v>91</v>
      </c>
      <c r="F117" s="19" t="s">
        <v>138</v>
      </c>
      <c r="G117" s="19" t="s">
        <v>1051</v>
      </c>
      <c r="H117" s="19" t="s">
        <v>1052</v>
      </c>
      <c r="I117" s="19" t="s">
        <v>1053</v>
      </c>
      <c r="J117" s="19" t="n">
        <v>2341.82</v>
      </c>
      <c r="K117" s="19" t="s">
        <v>1055</v>
      </c>
      <c r="L117" s="19"/>
      <c r="M117" s="20" t="str">
        <f aca="false">IF(G117&lt;&gt;"","PASS","FAIL - Missing UPC")</f>
        <v>PASS</v>
      </c>
      <c r="N117" s="20" t="str">
        <f aca="false">IF(AND(G117&lt;&gt;"",H117&lt;&gt;""),IF("0"&amp;G117=H117,"PASS","FAIL - GTIN Mismatch"),"SKIP")</f>
        <v>PASS</v>
      </c>
      <c r="O117" s="20" t="str">
        <f aca="false">IF(I117="","FAIL - No Title",IF(LEN(I117)&lt;=126,"PASS","FAIL - Title &gt;"&amp;126&amp;" chars"))</f>
        <v>PASS</v>
      </c>
      <c r="P117" s="20" t="str">
        <f aca="false">IF(J117&gt;0,IF(J117&lt;5000,"PASS","FLAG - Review Price"),"FAIL - Zero Price")</f>
        <v>PASS</v>
      </c>
      <c r="Q117" s="20" t="str">
        <f aca="false">IF('Raw Catalog'!P115&lt;&gt;"","PASS","FAIL - No Image")</f>
        <v>PASS</v>
      </c>
      <c r="R117" s="20" t="str">
        <f aca="false">IF(F117&lt;&gt;"","PASS","FAIL - No Brand")</f>
        <v>PASS</v>
      </c>
      <c r="S117" s="20" t="str">
        <f aca="true">IF(K117="","FAIL - No Date",IF(TODAY()-DATEVALUE(K117)&lt;=180,"PASS","FLAG - Stale &gt;180d"))</f>
        <v>FLAG - Stale &gt;180d</v>
      </c>
      <c r="T117" s="20" t="n">
        <f aca="false">COUNTIF(M117:S117,"FAIL*")+COUNTIF(M117:S117,"FLAG*")</f>
        <v>1</v>
      </c>
      <c r="U117" s="20" t="str">
        <f aca="false">IF(T117=0,"CLEAN",IF(T117=1,"MINOR",IF(T117&lt;=3,"MODERATE","CRITICAL")))</f>
        <v>MINOR</v>
      </c>
      <c r="V117" s="20" t="str">
        <f aca="false">IF(U117="CLEAN","None",IF(U117="MINOR","Seller Notify",IF(U117="MODERATE","Listing Suspended","Immediate Removal")))</f>
        <v>Seller Notify</v>
      </c>
    </row>
    <row r="118" customFormat="false" ht="18" hidden="false" customHeight="true" outlineLevel="0" collapsed="false">
      <c r="A118" s="19" t="s">
        <v>6195</v>
      </c>
      <c r="B118" s="19" t="s">
        <v>1056</v>
      </c>
      <c r="C118" s="19" t="s">
        <v>113</v>
      </c>
      <c r="D118" s="19" t="s">
        <v>114</v>
      </c>
      <c r="E118" s="19" t="s">
        <v>65</v>
      </c>
      <c r="F118" s="19" t="s">
        <v>390</v>
      </c>
      <c r="G118" s="19" t="s">
        <v>1058</v>
      </c>
      <c r="H118" s="19" t="s">
        <v>1059</v>
      </c>
      <c r="I118" s="19" t="s">
        <v>683</v>
      </c>
      <c r="J118" s="19" t="n">
        <v>309.58</v>
      </c>
      <c r="K118" s="19" t="s">
        <v>1061</v>
      </c>
      <c r="L118" s="19"/>
      <c r="M118" s="20" t="str">
        <f aca="false">IF(G118&lt;&gt;"","PASS","FAIL - Missing UPC")</f>
        <v>PASS</v>
      </c>
      <c r="N118" s="20" t="str">
        <f aca="false">IF(AND(G118&lt;&gt;"",H118&lt;&gt;""),IF("0"&amp;G118=H118,"PASS","FAIL - GTIN Mismatch"),"SKIP")</f>
        <v>PASS</v>
      </c>
      <c r="O118" s="20" t="str">
        <f aca="false">IF(I118="","FAIL - No Title",IF(LEN(I118)&lt;=126,"PASS","FAIL - Title &gt;"&amp;126&amp;" chars"))</f>
        <v>PASS</v>
      </c>
      <c r="P118" s="20" t="str">
        <f aca="false">IF(J118&gt;0,IF(J118&lt;5000,"PASS","FLAG - Review Price"),"FAIL - Zero Price")</f>
        <v>PASS</v>
      </c>
      <c r="Q118" s="20" t="str">
        <f aca="false">IF('Raw Catalog'!P116&lt;&gt;"","PASS","FAIL - No Image")</f>
        <v>PASS</v>
      </c>
      <c r="R118" s="20" t="str">
        <f aca="false">IF(F118&lt;&gt;"","PASS","FAIL - No Brand")</f>
        <v>PASS</v>
      </c>
      <c r="S118" s="20" t="str">
        <f aca="true">IF(K118="","FAIL - No Date",IF(TODAY()-DATEVALUE(K118)&lt;=180,"PASS","FLAG - Stale &gt;180d"))</f>
        <v>FLAG - Stale &gt;180d</v>
      </c>
      <c r="T118" s="20" t="n">
        <f aca="false">COUNTIF(M118:S118,"FAIL*")+COUNTIF(M118:S118,"FLAG*")</f>
        <v>1</v>
      </c>
      <c r="U118" s="20" t="str">
        <f aca="false">IF(T118=0,"CLEAN",IF(T118=1,"MINOR",IF(T118&lt;=3,"MODERATE","CRITICAL")))</f>
        <v>MINOR</v>
      </c>
      <c r="V118" s="20" t="str">
        <f aca="false">IF(U118="CLEAN","None",IF(U118="MINOR","Seller Notify",IF(U118="MODERATE","Listing Suspended","Immediate Removal")))</f>
        <v>Seller Notify</v>
      </c>
    </row>
    <row r="119" customFormat="false" ht="18" hidden="false" customHeight="true" outlineLevel="0" collapsed="false">
      <c r="A119" s="19" t="s">
        <v>6196</v>
      </c>
      <c r="B119" s="19" t="s">
        <v>1062</v>
      </c>
      <c r="C119" s="19" t="s">
        <v>63</v>
      </c>
      <c r="D119" s="19" t="s">
        <v>64</v>
      </c>
      <c r="E119" s="19" t="s">
        <v>91</v>
      </c>
      <c r="F119" s="19" t="s">
        <v>780</v>
      </c>
      <c r="G119" s="19" t="s">
        <v>1064</v>
      </c>
      <c r="H119" s="19" t="s">
        <v>1065</v>
      </c>
      <c r="I119" s="19" t="s">
        <v>1066</v>
      </c>
      <c r="J119" s="19" t="n">
        <v>2485.53</v>
      </c>
      <c r="K119" s="19" t="s">
        <v>777</v>
      </c>
      <c r="L119" s="21" t="s">
        <v>243</v>
      </c>
      <c r="M119" s="20" t="str">
        <f aca="false">IF(G119&lt;&gt;"","PASS","FAIL - Missing UPC")</f>
        <v>PASS</v>
      </c>
      <c r="N119" s="20" t="str">
        <f aca="false">IF(AND(G119&lt;&gt;"",H119&lt;&gt;""),IF("0"&amp;G119=H119,"PASS","FAIL - GTIN Mismatch"),"SKIP")</f>
        <v>FAIL - GTIN Mismatch</v>
      </c>
      <c r="O119" s="20" t="str">
        <f aca="false">IF(I119="","FAIL - No Title",IF(LEN(I119)&lt;=126,"PASS","FAIL - Title &gt;"&amp;126&amp;" chars"))</f>
        <v>PASS</v>
      </c>
      <c r="P119" s="20" t="str">
        <f aca="false">IF(J119&gt;0,IF(J119&lt;5000,"PASS","FLAG - Review Price"),"FAIL - Zero Price")</f>
        <v>PASS</v>
      </c>
      <c r="Q119" s="20" t="str">
        <f aca="false">IF('Raw Catalog'!P117&lt;&gt;"","PASS","FAIL - No Image")</f>
        <v>PASS</v>
      </c>
      <c r="R119" s="20" t="str">
        <f aca="false">IF(F119&lt;&gt;"","PASS","FAIL - No Brand")</f>
        <v>PASS</v>
      </c>
      <c r="S119" s="20" t="str">
        <f aca="true">IF(K119="","FAIL - No Date",IF(TODAY()-DATEVALUE(K119)&lt;=180,"PASS","FLAG - Stale &gt;180d"))</f>
        <v>FLAG - Stale &gt;180d</v>
      </c>
      <c r="T119" s="20" t="n">
        <f aca="false">COUNTIF(M119:S119,"FAIL*")+COUNTIF(M119:S119,"FLAG*")</f>
        <v>2</v>
      </c>
      <c r="U119" s="20" t="str">
        <f aca="false">IF(T119=0,"CLEAN",IF(T119=1,"MINOR",IF(T119&lt;=3,"MODERATE","CRITICAL")))</f>
        <v>MODERATE</v>
      </c>
      <c r="V119" s="20" t="str">
        <f aca="false">IF(U119="CLEAN","None",IF(U119="MINOR","Seller Notify",IF(U119="MODERATE","Listing Suspended","Immediate Removal")))</f>
        <v>Listing Suspended</v>
      </c>
    </row>
    <row r="120" customFormat="false" ht="18" hidden="false" customHeight="true" outlineLevel="0" collapsed="false">
      <c r="A120" s="19" t="s">
        <v>6197</v>
      </c>
      <c r="B120" s="19" t="s">
        <v>1067</v>
      </c>
      <c r="C120" s="19" t="s">
        <v>63</v>
      </c>
      <c r="D120" s="19" t="s">
        <v>64</v>
      </c>
      <c r="E120" s="19" t="s">
        <v>91</v>
      </c>
      <c r="F120" s="19" t="s">
        <v>185</v>
      </c>
      <c r="G120" s="19" t="s">
        <v>1069</v>
      </c>
      <c r="H120" s="19" t="s">
        <v>1070</v>
      </c>
      <c r="I120" s="19" t="s">
        <v>1071</v>
      </c>
      <c r="J120" s="19" t="n">
        <v>547.84</v>
      </c>
      <c r="K120" s="19" t="s">
        <v>1075</v>
      </c>
      <c r="L120" s="19"/>
      <c r="M120" s="20" t="str">
        <f aca="false">IF(G120&lt;&gt;"","PASS","FAIL - Missing UPC")</f>
        <v>PASS</v>
      </c>
      <c r="N120" s="20" t="str">
        <f aca="false">IF(AND(G120&lt;&gt;"",H120&lt;&gt;""),IF("0"&amp;G120=H120,"PASS","FAIL - GTIN Mismatch"),"SKIP")</f>
        <v>PASS</v>
      </c>
      <c r="O120" s="20" t="str">
        <f aca="false">IF(I120="","FAIL - No Title",IF(LEN(I120)&lt;=126,"PASS","FAIL - Title &gt;"&amp;126&amp;" chars"))</f>
        <v>PASS</v>
      </c>
      <c r="P120" s="20" t="str">
        <f aca="false">IF(J120&gt;0,IF(J120&lt;5000,"PASS","FLAG - Review Price"),"FAIL - Zero Price")</f>
        <v>PASS</v>
      </c>
      <c r="Q120" s="20" t="str">
        <f aca="false">IF('Raw Catalog'!P118&lt;&gt;"","PASS","FAIL - No Image")</f>
        <v>PASS</v>
      </c>
      <c r="R120" s="20" t="str">
        <f aca="false">IF(F120&lt;&gt;"","PASS","FAIL - No Brand")</f>
        <v>PASS</v>
      </c>
      <c r="S120" s="20" t="str">
        <f aca="true">IF(K120="","FAIL - No Date",IF(TODAY()-DATEVALUE(K120)&lt;=180,"PASS","FLAG - Stale &gt;180d"))</f>
        <v>FLAG - Stale &gt;180d</v>
      </c>
      <c r="T120" s="20" t="n">
        <f aca="false">COUNTIF(M120:S120,"FAIL*")+COUNTIF(M120:S120,"FLAG*")</f>
        <v>1</v>
      </c>
      <c r="U120" s="20" t="str">
        <f aca="false">IF(T120=0,"CLEAN",IF(T120=1,"MINOR",IF(T120&lt;=3,"MODERATE","CRITICAL")))</f>
        <v>MINOR</v>
      </c>
      <c r="V120" s="20" t="str">
        <f aca="false">IF(U120="CLEAN","None",IF(U120="MINOR","Seller Notify",IF(U120="MODERATE","Listing Suspended","Immediate Removal")))</f>
        <v>Seller Notify</v>
      </c>
    </row>
    <row r="121" customFormat="false" ht="18" hidden="false" customHeight="true" outlineLevel="0" collapsed="false">
      <c r="A121" s="19" t="s">
        <v>6198</v>
      </c>
      <c r="B121" s="19" t="s">
        <v>1076</v>
      </c>
      <c r="C121" s="19" t="s">
        <v>125</v>
      </c>
      <c r="D121" s="19" t="s">
        <v>126</v>
      </c>
      <c r="E121" s="19" t="s">
        <v>161</v>
      </c>
      <c r="F121" s="19" t="s">
        <v>429</v>
      </c>
      <c r="G121" s="19" t="s">
        <v>1078</v>
      </c>
      <c r="H121" s="19" t="s">
        <v>1079</v>
      </c>
      <c r="I121" s="19" t="s">
        <v>1080</v>
      </c>
      <c r="J121" s="19" t="n">
        <v>109.66</v>
      </c>
      <c r="K121" s="19" t="s">
        <v>1082</v>
      </c>
      <c r="L121" s="19"/>
      <c r="M121" s="20" t="str">
        <f aca="false">IF(G121&lt;&gt;"","PASS","FAIL - Missing UPC")</f>
        <v>PASS</v>
      </c>
      <c r="N121" s="20" t="str">
        <f aca="false">IF(AND(G121&lt;&gt;"",H121&lt;&gt;""),IF("0"&amp;G121=H121,"PASS","FAIL - GTIN Mismatch"),"SKIP")</f>
        <v>PASS</v>
      </c>
      <c r="O121" s="20" t="str">
        <f aca="false">IF(I121="","FAIL - No Title",IF(LEN(I121)&lt;=126,"PASS","FAIL - Title &gt;"&amp;126&amp;" chars"))</f>
        <v>PASS</v>
      </c>
      <c r="P121" s="20" t="str">
        <f aca="false">IF(J121&gt;0,IF(J121&lt;5000,"PASS","FLAG - Review Price"),"FAIL - Zero Price")</f>
        <v>PASS</v>
      </c>
      <c r="Q121" s="20" t="str">
        <f aca="false">IF('Raw Catalog'!P119&lt;&gt;"","PASS","FAIL - No Image")</f>
        <v>PASS</v>
      </c>
      <c r="R121" s="20" t="str">
        <f aca="false">IF(F121&lt;&gt;"","PASS","FAIL - No Brand")</f>
        <v>PASS</v>
      </c>
      <c r="S121" s="20" t="str">
        <f aca="true">IF(K121="","FAIL - No Date",IF(TODAY()-DATEVALUE(K121)&lt;=180,"PASS","FLAG - Stale &gt;180d"))</f>
        <v>FLAG - Stale &gt;180d</v>
      </c>
      <c r="T121" s="20" t="n">
        <f aca="false">COUNTIF(M121:S121,"FAIL*")+COUNTIF(M121:S121,"FLAG*")</f>
        <v>1</v>
      </c>
      <c r="U121" s="20" t="str">
        <f aca="false">IF(T121=0,"CLEAN",IF(T121=1,"MINOR",IF(T121&lt;=3,"MODERATE","CRITICAL")))</f>
        <v>MINOR</v>
      </c>
      <c r="V121" s="20" t="str">
        <f aca="false">IF(U121="CLEAN","None",IF(U121="MINOR","Seller Notify",IF(U121="MODERATE","Listing Suspended","Immediate Removal")))</f>
        <v>Seller Notify</v>
      </c>
    </row>
    <row r="122" customFormat="false" ht="18" hidden="false" customHeight="true" outlineLevel="0" collapsed="false">
      <c r="A122" s="19" t="s">
        <v>6199</v>
      </c>
      <c r="B122" s="19" t="s">
        <v>1083</v>
      </c>
      <c r="C122" s="19" t="s">
        <v>125</v>
      </c>
      <c r="D122" s="19" t="s">
        <v>126</v>
      </c>
      <c r="E122" s="19" t="s">
        <v>79</v>
      </c>
      <c r="F122" s="19" t="s">
        <v>51</v>
      </c>
      <c r="G122" s="19" t="s">
        <v>1085</v>
      </c>
      <c r="H122" s="19" t="s">
        <v>1086</v>
      </c>
      <c r="I122" s="19" t="s">
        <v>1087</v>
      </c>
      <c r="J122" s="19" t="n">
        <v>968.3</v>
      </c>
      <c r="K122" s="19" t="s">
        <v>157</v>
      </c>
      <c r="L122" s="19"/>
      <c r="M122" s="20" t="str">
        <f aca="false">IF(G122&lt;&gt;"","PASS","FAIL - Missing UPC")</f>
        <v>PASS</v>
      </c>
      <c r="N122" s="20" t="str">
        <f aca="false">IF(AND(G122&lt;&gt;"",H122&lt;&gt;""),IF("0"&amp;G122=H122,"PASS","FAIL - GTIN Mismatch"),"SKIP")</f>
        <v>PASS</v>
      </c>
      <c r="O122" s="20" t="str">
        <f aca="false">IF(I122="","FAIL - No Title",IF(LEN(I122)&lt;=126,"PASS","FAIL - Title &gt;"&amp;126&amp;" chars"))</f>
        <v>PASS</v>
      </c>
      <c r="P122" s="20" t="str">
        <f aca="false">IF(J122&gt;0,IF(J122&lt;5000,"PASS","FLAG - Review Price"),"FAIL - Zero Price")</f>
        <v>PASS</v>
      </c>
      <c r="Q122" s="20" t="str">
        <f aca="false">IF('Raw Catalog'!P120&lt;&gt;"","PASS","FAIL - No Image")</f>
        <v>PASS</v>
      </c>
      <c r="R122" s="20" t="str">
        <f aca="false">IF(F122&lt;&gt;"","PASS","FAIL - No Brand")</f>
        <v>PASS</v>
      </c>
      <c r="S122" s="20" t="str">
        <f aca="true">IF(K122="","FAIL - No Date",IF(TODAY()-DATEVALUE(K122)&lt;=180,"PASS","FLAG - Stale &gt;180d"))</f>
        <v>FLAG - Stale &gt;180d</v>
      </c>
      <c r="T122" s="20" t="n">
        <f aca="false">COUNTIF(M122:S122,"FAIL*")+COUNTIF(M122:S122,"FLAG*")</f>
        <v>1</v>
      </c>
      <c r="U122" s="20" t="str">
        <f aca="false">IF(T122=0,"CLEAN",IF(T122=1,"MINOR",IF(T122&lt;=3,"MODERATE","CRITICAL")))</f>
        <v>MINOR</v>
      </c>
      <c r="V122" s="20" t="str">
        <f aca="false">IF(U122="CLEAN","None",IF(U122="MINOR","Seller Notify",IF(U122="MODERATE","Listing Suspended","Immediate Removal")))</f>
        <v>Seller Notify</v>
      </c>
    </row>
    <row r="123" customFormat="false" ht="18" hidden="false" customHeight="true" outlineLevel="0" collapsed="false">
      <c r="A123" s="19" t="s">
        <v>6200</v>
      </c>
      <c r="B123" s="19" t="s">
        <v>1091</v>
      </c>
      <c r="C123" s="19" t="s">
        <v>255</v>
      </c>
      <c r="D123" s="19" t="s">
        <v>256</v>
      </c>
      <c r="E123" s="19" t="s">
        <v>161</v>
      </c>
      <c r="F123" s="19" t="s">
        <v>822</v>
      </c>
      <c r="G123" s="19" t="s">
        <v>1093</v>
      </c>
      <c r="H123" s="19" t="s">
        <v>1094</v>
      </c>
      <c r="I123" s="19" t="s">
        <v>1095</v>
      </c>
      <c r="J123" s="19" t="n">
        <v>2397.9</v>
      </c>
      <c r="K123" s="19" t="s">
        <v>1099</v>
      </c>
      <c r="L123" s="21" t="s">
        <v>343</v>
      </c>
      <c r="M123" s="20" t="str">
        <f aca="false">IF(G123&lt;&gt;"","PASS","FAIL - Missing UPC")</f>
        <v>PASS</v>
      </c>
      <c r="N123" s="20" t="str">
        <f aca="false">IF(AND(G123&lt;&gt;"",H123&lt;&gt;""),IF("0"&amp;G123=H123,"PASS","FAIL - GTIN Mismatch"),"SKIP")</f>
        <v>PASS</v>
      </c>
      <c r="O123" s="20" t="str">
        <f aca="false">IF(I123="","FAIL - No Title",IF(LEN(I123)&lt;=126,"PASS","FAIL - Title &gt;"&amp;126&amp;" chars"))</f>
        <v>PASS</v>
      </c>
      <c r="P123" s="20" t="str">
        <f aca="false">IF(J123&gt;0,IF(J123&lt;5000,"PASS","FLAG - Review Price"),"FAIL - Zero Price")</f>
        <v>PASS</v>
      </c>
      <c r="Q123" s="20" t="str">
        <f aca="false">IF('Raw Catalog'!P121&lt;&gt;"","PASS","FAIL - No Image")</f>
        <v>PASS</v>
      </c>
      <c r="R123" s="20" t="str">
        <f aca="false">IF(F123&lt;&gt;"","PASS","FAIL - No Brand")</f>
        <v>PASS</v>
      </c>
      <c r="S123" s="20" t="str">
        <f aca="true">IF(K123="","FAIL - No Date",IF(TODAY()-DATEVALUE(K123)&lt;=180,"PASS","FLAG - Stale &gt;180d"))</f>
        <v>FLAG - Stale &gt;180d</v>
      </c>
      <c r="T123" s="20" t="n">
        <f aca="false">COUNTIF(M123:S123,"FAIL*")+COUNTIF(M123:S123,"FLAG*")</f>
        <v>1</v>
      </c>
      <c r="U123" s="20" t="str">
        <f aca="false">IF(T123=0,"CLEAN",IF(T123=1,"MINOR",IF(T123&lt;=3,"MODERATE","CRITICAL")))</f>
        <v>MINOR</v>
      </c>
      <c r="V123" s="20" t="str">
        <f aca="false">IF(U123="CLEAN","None",IF(U123="MINOR","Seller Notify",IF(U123="MODERATE","Listing Suspended","Immediate Removal")))</f>
        <v>Seller Notify</v>
      </c>
    </row>
    <row r="124" customFormat="false" ht="18" hidden="false" customHeight="true" outlineLevel="0" collapsed="false">
      <c r="A124" s="19" t="s">
        <v>6201</v>
      </c>
      <c r="B124" s="19" t="s">
        <v>1100</v>
      </c>
      <c r="C124" s="19" t="s">
        <v>125</v>
      </c>
      <c r="D124" s="19" t="s">
        <v>126</v>
      </c>
      <c r="E124" s="19" t="s">
        <v>91</v>
      </c>
      <c r="F124" s="19" t="s">
        <v>185</v>
      </c>
      <c r="G124" s="19" t="s">
        <v>1102</v>
      </c>
      <c r="H124" s="19" t="s">
        <v>1103</v>
      </c>
      <c r="I124" s="19" t="s">
        <v>1104</v>
      </c>
      <c r="J124" s="19" t="n">
        <v>2621.56</v>
      </c>
      <c r="K124" s="19" t="s">
        <v>1106</v>
      </c>
      <c r="L124" s="21" t="s">
        <v>1107</v>
      </c>
      <c r="M124" s="20" t="str">
        <f aca="false">IF(G124&lt;&gt;"","PASS","FAIL - Missing UPC")</f>
        <v>PASS</v>
      </c>
      <c r="N124" s="20" t="str">
        <f aca="false">IF(AND(G124&lt;&gt;"",H124&lt;&gt;""),IF("0"&amp;G124=H124,"PASS","FAIL - GTIN Mismatch"),"SKIP")</f>
        <v>PASS</v>
      </c>
      <c r="O124" s="20" t="str">
        <f aca="false">IF(I124="","FAIL - No Title",IF(LEN(I124)&lt;=126,"PASS","FAIL - Title &gt;"&amp;126&amp;" chars"))</f>
        <v>PASS</v>
      </c>
      <c r="P124" s="20" t="str">
        <f aca="false">IF(J124&gt;0,IF(J124&lt;5000,"PASS","FLAG - Review Price"),"FAIL - Zero Price")</f>
        <v>PASS</v>
      </c>
      <c r="Q124" s="20" t="str">
        <f aca="false">IF('Raw Catalog'!P122&lt;&gt;"","PASS","FAIL - No Image")</f>
        <v>PASS</v>
      </c>
      <c r="R124" s="20" t="str">
        <f aca="false">IF(F124&lt;&gt;"","PASS","FAIL - No Brand")</f>
        <v>PASS</v>
      </c>
      <c r="S124" s="20" t="str">
        <f aca="true">IF(K124="","FAIL - No Date",IF(TODAY()-DATEVALUE(K124)&lt;=180,"PASS","FLAG - Stale &gt;180d"))</f>
        <v>FLAG - Stale &gt;180d</v>
      </c>
      <c r="T124" s="20" t="n">
        <f aca="false">COUNTIF(M124:S124,"FAIL*")+COUNTIF(M124:S124,"FLAG*")</f>
        <v>1</v>
      </c>
      <c r="U124" s="20" t="str">
        <f aca="false">IF(T124=0,"CLEAN",IF(T124=1,"MINOR",IF(T124&lt;=3,"MODERATE","CRITICAL")))</f>
        <v>MINOR</v>
      </c>
      <c r="V124" s="20" t="str">
        <f aca="false">IF(U124="CLEAN","None",IF(U124="MINOR","Seller Notify",IF(U124="MODERATE","Listing Suspended","Immediate Removal")))</f>
        <v>Seller Notify</v>
      </c>
    </row>
    <row r="125" customFormat="false" ht="18" hidden="false" customHeight="true" outlineLevel="0" collapsed="false">
      <c r="A125" s="19" t="s">
        <v>6202</v>
      </c>
      <c r="B125" s="19" t="s">
        <v>1108</v>
      </c>
      <c r="C125" s="19" t="s">
        <v>77</v>
      </c>
      <c r="D125" s="19" t="s">
        <v>78</v>
      </c>
      <c r="E125" s="19" t="s">
        <v>65</v>
      </c>
      <c r="F125" s="19" t="s">
        <v>245</v>
      </c>
      <c r="G125" s="19" t="s">
        <v>1110</v>
      </c>
      <c r="H125" s="19" t="s">
        <v>1111</v>
      </c>
      <c r="I125" s="19" t="s">
        <v>1112</v>
      </c>
      <c r="J125" s="19" t="n">
        <v>390.22</v>
      </c>
      <c r="K125" s="19" t="s">
        <v>1116</v>
      </c>
      <c r="L125" s="19"/>
      <c r="M125" s="20" t="str">
        <f aca="false">IF(G125&lt;&gt;"","PASS","FAIL - Missing UPC")</f>
        <v>PASS</v>
      </c>
      <c r="N125" s="20" t="str">
        <f aca="false">IF(AND(G125&lt;&gt;"",H125&lt;&gt;""),IF("0"&amp;G125=H125,"PASS","FAIL - GTIN Mismatch"),"SKIP")</f>
        <v>PASS</v>
      </c>
      <c r="O125" s="20" t="str">
        <f aca="false">IF(I125="","FAIL - No Title",IF(LEN(I125)&lt;=126,"PASS","FAIL - Title &gt;"&amp;126&amp;" chars"))</f>
        <v>PASS</v>
      </c>
      <c r="P125" s="20" t="str">
        <f aca="false">IF(J125&gt;0,IF(J125&lt;5000,"PASS","FLAG - Review Price"),"FAIL - Zero Price")</f>
        <v>PASS</v>
      </c>
      <c r="Q125" s="20" t="str">
        <f aca="false">IF('Raw Catalog'!P123&lt;&gt;"","PASS","FAIL - No Image")</f>
        <v>PASS</v>
      </c>
      <c r="R125" s="20" t="str">
        <f aca="false">IF(F125&lt;&gt;"","PASS","FAIL - No Brand")</f>
        <v>PASS</v>
      </c>
      <c r="S125" s="20" t="str">
        <f aca="true">IF(K125="","FAIL - No Date",IF(TODAY()-DATEVALUE(K125)&lt;=180,"PASS","FLAG - Stale &gt;180d"))</f>
        <v>FLAG - Stale &gt;180d</v>
      </c>
      <c r="T125" s="20" t="n">
        <f aca="false">COUNTIF(M125:S125,"FAIL*")+COUNTIF(M125:S125,"FLAG*")</f>
        <v>1</v>
      </c>
      <c r="U125" s="20" t="str">
        <f aca="false">IF(T125=0,"CLEAN",IF(T125=1,"MINOR",IF(T125&lt;=3,"MODERATE","CRITICAL")))</f>
        <v>MINOR</v>
      </c>
      <c r="V125" s="20" t="str">
        <f aca="false">IF(U125="CLEAN","None",IF(U125="MINOR","Seller Notify",IF(U125="MODERATE","Listing Suspended","Immediate Removal")))</f>
        <v>Seller Notify</v>
      </c>
    </row>
    <row r="126" customFormat="false" ht="18" hidden="false" customHeight="true" outlineLevel="0" collapsed="false">
      <c r="A126" s="19" t="s">
        <v>6203</v>
      </c>
      <c r="B126" s="19" t="s">
        <v>1117</v>
      </c>
      <c r="C126" s="19" t="s">
        <v>159</v>
      </c>
      <c r="D126" s="19" t="s">
        <v>160</v>
      </c>
      <c r="E126" s="19" t="s">
        <v>161</v>
      </c>
      <c r="F126" s="19" t="s">
        <v>306</v>
      </c>
      <c r="G126" s="19" t="s">
        <v>1119</v>
      </c>
      <c r="H126" s="19" t="s">
        <v>1120</v>
      </c>
      <c r="I126" s="19" t="s">
        <v>1121</v>
      </c>
      <c r="J126" s="19" t="n">
        <v>144.48</v>
      </c>
      <c r="K126" s="19" t="s">
        <v>1125</v>
      </c>
      <c r="L126" s="19"/>
      <c r="M126" s="20" t="str">
        <f aca="false">IF(G126&lt;&gt;"","PASS","FAIL - Missing UPC")</f>
        <v>PASS</v>
      </c>
      <c r="N126" s="20" t="str">
        <f aca="false">IF(AND(G126&lt;&gt;"",H126&lt;&gt;""),IF("0"&amp;G126=H126,"PASS","FAIL - GTIN Mismatch"),"SKIP")</f>
        <v>PASS</v>
      </c>
      <c r="O126" s="20" t="str">
        <f aca="false">IF(I126="","FAIL - No Title",IF(LEN(I126)&lt;=126,"PASS","FAIL - Title &gt;"&amp;126&amp;" chars"))</f>
        <v>PASS</v>
      </c>
      <c r="P126" s="20" t="str">
        <f aca="false">IF(J126&gt;0,IF(J126&lt;5000,"PASS","FLAG - Review Price"),"FAIL - Zero Price")</f>
        <v>PASS</v>
      </c>
      <c r="Q126" s="20" t="str">
        <f aca="false">IF('Raw Catalog'!P124&lt;&gt;"","PASS","FAIL - No Image")</f>
        <v>PASS</v>
      </c>
      <c r="R126" s="20" t="str">
        <f aca="false">IF(F126&lt;&gt;"","PASS","FAIL - No Brand")</f>
        <v>PASS</v>
      </c>
      <c r="S126" s="20" t="str">
        <f aca="true">IF(K126="","FAIL - No Date",IF(TODAY()-DATEVALUE(K126)&lt;=180,"PASS","FLAG - Stale &gt;180d"))</f>
        <v>FLAG - Stale &gt;180d</v>
      </c>
      <c r="T126" s="20" t="n">
        <f aca="false">COUNTIF(M126:S126,"FAIL*")+COUNTIF(M126:S126,"FLAG*")</f>
        <v>1</v>
      </c>
      <c r="U126" s="20" t="str">
        <f aca="false">IF(T126=0,"CLEAN",IF(T126=1,"MINOR",IF(T126&lt;=3,"MODERATE","CRITICAL")))</f>
        <v>MINOR</v>
      </c>
      <c r="V126" s="20" t="str">
        <f aca="false">IF(U126="CLEAN","None",IF(U126="MINOR","Seller Notify",IF(U126="MODERATE","Listing Suspended","Immediate Removal")))</f>
        <v>Seller Notify</v>
      </c>
    </row>
    <row r="127" customFormat="false" ht="18" hidden="false" customHeight="true" outlineLevel="0" collapsed="false">
      <c r="A127" s="19" t="s">
        <v>6204</v>
      </c>
      <c r="B127" s="19" t="s">
        <v>1126</v>
      </c>
      <c r="C127" s="19" t="s">
        <v>113</v>
      </c>
      <c r="D127" s="19" t="s">
        <v>114</v>
      </c>
      <c r="E127" s="19" t="s">
        <v>161</v>
      </c>
      <c r="F127" s="19" t="s">
        <v>185</v>
      </c>
      <c r="G127" s="19" t="s">
        <v>1128</v>
      </c>
      <c r="H127" s="19" t="s">
        <v>1129</v>
      </c>
      <c r="I127" s="19" t="s">
        <v>1130</v>
      </c>
      <c r="J127" s="19" t="n">
        <v>404.99</v>
      </c>
      <c r="K127" s="19" t="s">
        <v>888</v>
      </c>
      <c r="L127" s="19"/>
      <c r="M127" s="20" t="str">
        <f aca="false">IF(G127&lt;&gt;"","PASS","FAIL - Missing UPC")</f>
        <v>PASS</v>
      </c>
      <c r="N127" s="20" t="str">
        <f aca="false">IF(AND(G127&lt;&gt;"",H127&lt;&gt;""),IF("0"&amp;G127=H127,"PASS","FAIL - GTIN Mismatch"),"SKIP")</f>
        <v>PASS</v>
      </c>
      <c r="O127" s="20" t="str">
        <f aca="false">IF(I127="","FAIL - No Title",IF(LEN(I127)&lt;=126,"PASS","FAIL - Title &gt;"&amp;126&amp;" chars"))</f>
        <v>PASS</v>
      </c>
      <c r="P127" s="20" t="str">
        <f aca="false">IF(J127&gt;0,IF(J127&lt;5000,"PASS","FLAG - Review Price"),"FAIL - Zero Price")</f>
        <v>PASS</v>
      </c>
      <c r="Q127" s="20" t="str">
        <f aca="false">IF('Raw Catalog'!P125&lt;&gt;"","PASS","FAIL - No Image")</f>
        <v>PASS</v>
      </c>
      <c r="R127" s="20" t="str">
        <f aca="false">IF(F127&lt;&gt;"","PASS","FAIL - No Brand")</f>
        <v>PASS</v>
      </c>
      <c r="S127" s="20" t="str">
        <f aca="true">IF(K127="","FAIL - No Date",IF(TODAY()-DATEVALUE(K127)&lt;=180,"PASS","FLAG - Stale &gt;180d"))</f>
        <v>FLAG - Stale &gt;180d</v>
      </c>
      <c r="T127" s="20" t="n">
        <f aca="false">COUNTIF(M127:S127,"FAIL*")+COUNTIF(M127:S127,"FLAG*")</f>
        <v>1</v>
      </c>
      <c r="U127" s="20" t="str">
        <f aca="false">IF(T127=0,"CLEAN",IF(T127=1,"MINOR",IF(T127&lt;=3,"MODERATE","CRITICAL")))</f>
        <v>MINOR</v>
      </c>
      <c r="V127" s="20" t="str">
        <f aca="false">IF(U127="CLEAN","None",IF(U127="MINOR","Seller Notify",IF(U127="MODERATE","Listing Suspended","Immediate Removal")))</f>
        <v>Seller Notify</v>
      </c>
    </row>
    <row r="128" customFormat="false" ht="18" hidden="false" customHeight="true" outlineLevel="0" collapsed="false">
      <c r="A128" s="19" t="s">
        <v>6205</v>
      </c>
      <c r="B128" s="19" t="s">
        <v>1133</v>
      </c>
      <c r="C128" s="19" t="s">
        <v>159</v>
      </c>
      <c r="D128" s="19" t="s">
        <v>160</v>
      </c>
      <c r="E128" s="19" t="s">
        <v>79</v>
      </c>
      <c r="F128" s="19" t="s">
        <v>127</v>
      </c>
      <c r="G128" s="19" t="s">
        <v>1135</v>
      </c>
      <c r="H128" s="19" t="s">
        <v>1136</v>
      </c>
      <c r="I128" s="19" t="s">
        <v>1137</v>
      </c>
      <c r="J128" s="19" t="n">
        <v>1691.65</v>
      </c>
      <c r="K128" s="19" t="s">
        <v>491</v>
      </c>
      <c r="L128" s="19"/>
      <c r="M128" s="20" t="str">
        <f aca="false">IF(G128&lt;&gt;"","PASS","FAIL - Missing UPC")</f>
        <v>PASS</v>
      </c>
      <c r="N128" s="20" t="str">
        <f aca="false">IF(AND(G128&lt;&gt;"",H128&lt;&gt;""),IF("0"&amp;G128=H128,"PASS","FAIL - GTIN Mismatch"),"SKIP")</f>
        <v>PASS</v>
      </c>
      <c r="O128" s="20" t="str">
        <f aca="false">IF(I128="","FAIL - No Title",IF(LEN(I128)&lt;=126,"PASS","FAIL - Title &gt;"&amp;126&amp;" chars"))</f>
        <v>PASS</v>
      </c>
      <c r="P128" s="20" t="str">
        <f aca="false">IF(J128&gt;0,IF(J128&lt;5000,"PASS","FLAG - Review Price"),"FAIL - Zero Price")</f>
        <v>PASS</v>
      </c>
      <c r="Q128" s="20" t="str">
        <f aca="false">IF('Raw Catalog'!P126&lt;&gt;"","PASS","FAIL - No Image")</f>
        <v>PASS</v>
      </c>
      <c r="R128" s="20" t="str">
        <f aca="false">IF(F128&lt;&gt;"","PASS","FAIL - No Brand")</f>
        <v>PASS</v>
      </c>
      <c r="S128" s="20" t="str">
        <f aca="true">IF(K128="","FAIL - No Date",IF(TODAY()-DATEVALUE(K128)&lt;=180,"PASS","FLAG - Stale &gt;180d"))</f>
        <v>FLAG - Stale &gt;180d</v>
      </c>
      <c r="T128" s="20" t="n">
        <f aca="false">COUNTIF(M128:S128,"FAIL*")+COUNTIF(M128:S128,"FLAG*")</f>
        <v>1</v>
      </c>
      <c r="U128" s="20" t="str">
        <f aca="false">IF(T128=0,"CLEAN",IF(T128=1,"MINOR",IF(T128&lt;=3,"MODERATE","CRITICAL")))</f>
        <v>MINOR</v>
      </c>
      <c r="V128" s="20" t="str">
        <f aca="false">IF(U128="CLEAN","None",IF(U128="MINOR","Seller Notify",IF(U128="MODERATE","Listing Suspended","Immediate Removal")))</f>
        <v>Seller Notify</v>
      </c>
    </row>
    <row r="129" customFormat="false" ht="18" hidden="false" customHeight="true" outlineLevel="0" collapsed="false">
      <c r="A129" s="19" t="s">
        <v>6206</v>
      </c>
      <c r="B129" s="19" t="s">
        <v>1141</v>
      </c>
      <c r="C129" s="19" t="s">
        <v>159</v>
      </c>
      <c r="D129" s="19" t="s">
        <v>160</v>
      </c>
      <c r="E129" s="19" t="s">
        <v>65</v>
      </c>
      <c r="F129" s="19" t="s">
        <v>66</v>
      </c>
      <c r="G129" s="19" t="s">
        <v>1143</v>
      </c>
      <c r="H129" s="19" t="s">
        <v>1144</v>
      </c>
      <c r="I129" s="19" t="s">
        <v>1145</v>
      </c>
      <c r="J129" s="19" t="n">
        <v>64.19</v>
      </c>
      <c r="K129" s="19" t="s">
        <v>123</v>
      </c>
      <c r="L129" s="19"/>
      <c r="M129" s="20" t="str">
        <f aca="false">IF(G129&lt;&gt;"","PASS","FAIL - Missing UPC")</f>
        <v>PASS</v>
      </c>
      <c r="N129" s="20" t="str">
        <f aca="false">IF(AND(G129&lt;&gt;"",H129&lt;&gt;""),IF("0"&amp;G129=H129,"PASS","FAIL - GTIN Mismatch"),"SKIP")</f>
        <v>PASS</v>
      </c>
      <c r="O129" s="20" t="str">
        <f aca="false">IF(I129="","FAIL - No Title",IF(LEN(I129)&lt;=126,"PASS","FAIL - Title &gt;"&amp;126&amp;" chars"))</f>
        <v>PASS</v>
      </c>
      <c r="P129" s="20" t="str">
        <f aca="false">IF(J129&gt;0,IF(J129&lt;5000,"PASS","FLAG - Review Price"),"FAIL - Zero Price")</f>
        <v>PASS</v>
      </c>
      <c r="Q129" s="20" t="str">
        <f aca="false">IF('Raw Catalog'!P127&lt;&gt;"","PASS","FAIL - No Image")</f>
        <v>PASS</v>
      </c>
      <c r="R129" s="20" t="str">
        <f aca="false">IF(F129&lt;&gt;"","PASS","FAIL - No Brand")</f>
        <v>PASS</v>
      </c>
      <c r="S129" s="20" t="str">
        <f aca="true">IF(K129="","FAIL - No Date",IF(TODAY()-DATEVALUE(K129)&lt;=180,"PASS","FLAG - Stale &gt;180d"))</f>
        <v>FLAG - Stale &gt;180d</v>
      </c>
      <c r="T129" s="20" t="n">
        <f aca="false">COUNTIF(M129:S129,"FAIL*")+COUNTIF(M129:S129,"FLAG*")</f>
        <v>1</v>
      </c>
      <c r="U129" s="20" t="str">
        <f aca="false">IF(T129=0,"CLEAN",IF(T129=1,"MINOR",IF(T129&lt;=3,"MODERATE","CRITICAL")))</f>
        <v>MINOR</v>
      </c>
      <c r="V129" s="20" t="str">
        <f aca="false">IF(U129="CLEAN","None",IF(U129="MINOR","Seller Notify",IF(U129="MODERATE","Listing Suspended","Immediate Removal")))</f>
        <v>Seller Notify</v>
      </c>
    </row>
    <row r="130" customFormat="false" ht="18" hidden="false" customHeight="true" outlineLevel="0" collapsed="false">
      <c r="A130" s="19" t="s">
        <v>6207</v>
      </c>
      <c r="B130" s="19" t="s">
        <v>1149</v>
      </c>
      <c r="C130" s="19" t="s">
        <v>173</v>
      </c>
      <c r="D130" s="19" t="s">
        <v>174</v>
      </c>
      <c r="E130" s="19" t="s">
        <v>65</v>
      </c>
      <c r="F130" s="19" t="s">
        <v>371</v>
      </c>
      <c r="G130" s="19" t="s">
        <v>1151</v>
      </c>
      <c r="H130" s="19" t="s">
        <v>1152</v>
      </c>
      <c r="I130" s="19" t="s">
        <v>1153</v>
      </c>
      <c r="J130" s="19" t="n">
        <v>118.68</v>
      </c>
      <c r="K130" s="19" t="s">
        <v>1157</v>
      </c>
      <c r="L130" s="19"/>
      <c r="M130" s="20" t="str">
        <f aca="false">IF(G130&lt;&gt;"","PASS","FAIL - Missing UPC")</f>
        <v>PASS</v>
      </c>
      <c r="N130" s="20" t="str">
        <f aca="false">IF(AND(G130&lt;&gt;"",H130&lt;&gt;""),IF("0"&amp;G130=H130,"PASS","FAIL - GTIN Mismatch"),"SKIP")</f>
        <v>PASS</v>
      </c>
      <c r="O130" s="20" t="str">
        <f aca="false">IF(I130="","FAIL - No Title",IF(LEN(I130)&lt;=126,"PASS","FAIL - Title &gt;"&amp;126&amp;" chars"))</f>
        <v>PASS</v>
      </c>
      <c r="P130" s="20" t="str">
        <f aca="false">IF(J130&gt;0,IF(J130&lt;5000,"PASS","FLAG - Review Price"),"FAIL - Zero Price")</f>
        <v>PASS</v>
      </c>
      <c r="Q130" s="20" t="str">
        <f aca="false">IF('Raw Catalog'!P128&lt;&gt;"","PASS","FAIL - No Image")</f>
        <v>PASS</v>
      </c>
      <c r="R130" s="20" t="str">
        <f aca="false">IF(F130&lt;&gt;"","PASS","FAIL - No Brand")</f>
        <v>PASS</v>
      </c>
      <c r="S130" s="20" t="str">
        <f aca="true">IF(K130="","FAIL - No Date",IF(TODAY()-DATEVALUE(K130)&lt;=180,"PASS","FLAG - Stale &gt;180d"))</f>
        <v>FLAG - Stale &gt;180d</v>
      </c>
      <c r="T130" s="20" t="n">
        <f aca="false">COUNTIF(M130:S130,"FAIL*")+COUNTIF(M130:S130,"FLAG*")</f>
        <v>1</v>
      </c>
      <c r="U130" s="20" t="str">
        <f aca="false">IF(T130=0,"CLEAN",IF(T130=1,"MINOR",IF(T130&lt;=3,"MODERATE","CRITICAL")))</f>
        <v>MINOR</v>
      </c>
      <c r="V130" s="20" t="str">
        <f aca="false">IF(U130="CLEAN","None",IF(U130="MINOR","Seller Notify",IF(U130="MODERATE","Listing Suspended","Immediate Removal")))</f>
        <v>Seller Notify</v>
      </c>
    </row>
    <row r="131" customFormat="false" ht="18" hidden="false" customHeight="true" outlineLevel="0" collapsed="false">
      <c r="A131" s="19" t="s">
        <v>6208</v>
      </c>
      <c r="B131" s="19" t="s">
        <v>1158</v>
      </c>
      <c r="C131" s="19" t="s">
        <v>173</v>
      </c>
      <c r="D131" s="19" t="s">
        <v>174</v>
      </c>
      <c r="E131" s="19" t="s">
        <v>91</v>
      </c>
      <c r="F131" s="19" t="s">
        <v>780</v>
      </c>
      <c r="G131" s="19" t="s">
        <v>1160</v>
      </c>
      <c r="H131" s="19" t="s">
        <v>1161</v>
      </c>
      <c r="I131" s="19" t="s">
        <v>1162</v>
      </c>
      <c r="J131" s="19" t="n">
        <v>2985.49</v>
      </c>
      <c r="K131" s="19" t="s">
        <v>293</v>
      </c>
      <c r="L131" s="19"/>
      <c r="M131" s="20" t="str">
        <f aca="false">IF(G131&lt;&gt;"","PASS","FAIL - Missing UPC")</f>
        <v>PASS</v>
      </c>
      <c r="N131" s="20" t="str">
        <f aca="false">IF(AND(G131&lt;&gt;"",H131&lt;&gt;""),IF("0"&amp;G131=H131,"PASS","FAIL - GTIN Mismatch"),"SKIP")</f>
        <v>PASS</v>
      </c>
      <c r="O131" s="20" t="str">
        <f aca="false">IF(I131="","FAIL - No Title",IF(LEN(I131)&lt;=126,"PASS","FAIL - Title &gt;"&amp;126&amp;" chars"))</f>
        <v>PASS</v>
      </c>
      <c r="P131" s="20" t="str">
        <f aca="false">IF(J131&gt;0,IF(J131&lt;5000,"PASS","FLAG - Review Price"),"FAIL - Zero Price")</f>
        <v>PASS</v>
      </c>
      <c r="Q131" s="20" t="str">
        <f aca="false">IF('Raw Catalog'!P129&lt;&gt;"","PASS","FAIL - No Image")</f>
        <v>PASS</v>
      </c>
      <c r="R131" s="20" t="str">
        <f aca="false">IF(F131&lt;&gt;"","PASS","FAIL - No Brand")</f>
        <v>PASS</v>
      </c>
      <c r="S131" s="20" t="str">
        <f aca="true">IF(K131="","FAIL - No Date",IF(TODAY()-DATEVALUE(K131)&lt;=180,"PASS","FLAG - Stale &gt;180d"))</f>
        <v>FLAG - Stale &gt;180d</v>
      </c>
      <c r="T131" s="20" t="n">
        <f aca="false">COUNTIF(M131:S131,"FAIL*")+COUNTIF(M131:S131,"FLAG*")</f>
        <v>1</v>
      </c>
      <c r="U131" s="20" t="str">
        <f aca="false">IF(T131=0,"CLEAN",IF(T131=1,"MINOR",IF(T131&lt;=3,"MODERATE","CRITICAL")))</f>
        <v>MINOR</v>
      </c>
      <c r="V131" s="20" t="str">
        <f aca="false">IF(U131="CLEAN","None",IF(U131="MINOR","Seller Notify",IF(U131="MODERATE","Listing Suspended","Immediate Removal")))</f>
        <v>Seller Notify</v>
      </c>
    </row>
    <row r="132" customFormat="false" ht="18" hidden="false" customHeight="true" outlineLevel="0" collapsed="false">
      <c r="A132" s="19" t="s">
        <v>6209</v>
      </c>
      <c r="B132" s="19" t="s">
        <v>1166</v>
      </c>
      <c r="C132" s="19" t="s">
        <v>125</v>
      </c>
      <c r="D132" s="19" t="s">
        <v>126</v>
      </c>
      <c r="E132" s="19" t="s">
        <v>65</v>
      </c>
      <c r="F132" s="19" t="s">
        <v>438</v>
      </c>
      <c r="G132" s="19" t="s">
        <v>1168</v>
      </c>
      <c r="H132" s="19" t="s">
        <v>1169</v>
      </c>
      <c r="I132" s="19" t="s">
        <v>885</v>
      </c>
      <c r="J132" s="19" t="n">
        <v>170.69</v>
      </c>
      <c r="K132" s="19" t="s">
        <v>985</v>
      </c>
      <c r="L132" s="19"/>
      <c r="M132" s="20" t="str">
        <f aca="false">IF(G132&lt;&gt;"","PASS","FAIL - Missing UPC")</f>
        <v>PASS</v>
      </c>
      <c r="N132" s="20" t="str">
        <f aca="false">IF(AND(G132&lt;&gt;"",H132&lt;&gt;""),IF("0"&amp;G132=H132,"PASS","FAIL - GTIN Mismatch"),"SKIP")</f>
        <v>PASS</v>
      </c>
      <c r="O132" s="20" t="str">
        <f aca="false">IF(I132="","FAIL - No Title",IF(LEN(I132)&lt;=126,"PASS","FAIL - Title &gt;"&amp;126&amp;" chars"))</f>
        <v>PASS</v>
      </c>
      <c r="P132" s="20" t="str">
        <f aca="false">IF(J132&gt;0,IF(J132&lt;5000,"PASS","FLAG - Review Price"),"FAIL - Zero Price")</f>
        <v>PASS</v>
      </c>
      <c r="Q132" s="20" t="str">
        <f aca="false">IF('Raw Catalog'!P130&lt;&gt;"","PASS","FAIL - No Image")</f>
        <v>PASS</v>
      </c>
      <c r="R132" s="20" t="str">
        <f aca="false">IF(F132&lt;&gt;"","PASS","FAIL - No Brand")</f>
        <v>PASS</v>
      </c>
      <c r="S132" s="20" t="str">
        <f aca="true">IF(K132="","FAIL - No Date",IF(TODAY()-DATEVALUE(K132)&lt;=180,"PASS","FLAG - Stale &gt;180d"))</f>
        <v>FLAG - Stale &gt;180d</v>
      </c>
      <c r="T132" s="20" t="n">
        <f aca="false">COUNTIF(M132:S132,"FAIL*")+COUNTIF(M132:S132,"FLAG*")</f>
        <v>1</v>
      </c>
      <c r="U132" s="20" t="str">
        <f aca="false">IF(T132=0,"CLEAN",IF(T132=1,"MINOR",IF(T132&lt;=3,"MODERATE","CRITICAL")))</f>
        <v>MINOR</v>
      </c>
      <c r="V132" s="20" t="str">
        <f aca="false">IF(U132="CLEAN","None",IF(U132="MINOR","Seller Notify",IF(U132="MODERATE","Listing Suspended","Immediate Removal")))</f>
        <v>Seller Notify</v>
      </c>
    </row>
    <row r="133" customFormat="false" ht="18" hidden="false" customHeight="true" outlineLevel="0" collapsed="false">
      <c r="A133" s="19" t="s">
        <v>6210</v>
      </c>
      <c r="B133" s="19" t="s">
        <v>1171</v>
      </c>
      <c r="C133" s="19" t="s">
        <v>63</v>
      </c>
      <c r="D133" s="19" t="s">
        <v>64</v>
      </c>
      <c r="E133" s="19" t="s">
        <v>65</v>
      </c>
      <c r="F133" s="19" t="s">
        <v>66</v>
      </c>
      <c r="G133" s="19" t="s">
        <v>1173</v>
      </c>
      <c r="H133" s="19" t="s">
        <v>1174</v>
      </c>
      <c r="I133" s="19" t="s">
        <v>1175</v>
      </c>
      <c r="J133" s="19" t="n">
        <v>341.67</v>
      </c>
      <c r="K133" s="19" t="s">
        <v>1180</v>
      </c>
      <c r="L133" s="21" t="s">
        <v>325</v>
      </c>
      <c r="M133" s="20" t="str">
        <f aca="false">IF(G133&lt;&gt;"","PASS","FAIL - Missing UPC")</f>
        <v>PASS</v>
      </c>
      <c r="N133" s="20" t="str">
        <f aca="false">IF(AND(G133&lt;&gt;"",H133&lt;&gt;""),IF("0"&amp;G133=H133,"PASS","FAIL - GTIN Mismatch"),"SKIP")</f>
        <v>PASS</v>
      </c>
      <c r="O133" s="20" t="str">
        <f aca="false">IF(I133="","FAIL - No Title",IF(LEN(I133)&lt;=126,"PASS","FAIL - Title &gt;"&amp;126&amp;" chars"))</f>
        <v>PASS</v>
      </c>
      <c r="P133" s="20" t="str">
        <f aca="false">IF(J133&gt;0,IF(J133&lt;5000,"PASS","FLAG - Review Price"),"FAIL - Zero Price")</f>
        <v>PASS</v>
      </c>
      <c r="Q133" s="20" t="str">
        <f aca="false">IF('Raw Catalog'!P131&lt;&gt;"","PASS","FAIL - No Image")</f>
        <v>PASS</v>
      </c>
      <c r="R133" s="20" t="str">
        <f aca="false">IF(F133&lt;&gt;"","PASS","FAIL - No Brand")</f>
        <v>PASS</v>
      </c>
      <c r="S133" s="20" t="str">
        <f aca="true">IF(K133="","FAIL - No Date",IF(TODAY()-DATEVALUE(K133)&lt;=180,"PASS","FLAG - Stale &gt;180d"))</f>
        <v>FLAG - Stale &gt;180d</v>
      </c>
      <c r="T133" s="20" t="n">
        <f aca="false">COUNTIF(M133:S133,"FAIL*")+COUNTIF(M133:S133,"FLAG*")</f>
        <v>1</v>
      </c>
      <c r="U133" s="20" t="str">
        <f aca="false">IF(T133=0,"CLEAN",IF(T133=1,"MINOR",IF(T133&lt;=3,"MODERATE","CRITICAL")))</f>
        <v>MINOR</v>
      </c>
      <c r="V133" s="20" t="str">
        <f aca="false">IF(U133="CLEAN","None",IF(U133="MINOR","Seller Notify",IF(U133="MODERATE","Listing Suspended","Immediate Removal")))</f>
        <v>Seller Notify</v>
      </c>
    </row>
    <row r="134" customFormat="false" ht="18" hidden="false" customHeight="true" outlineLevel="0" collapsed="false">
      <c r="A134" s="19" t="s">
        <v>6211</v>
      </c>
      <c r="B134" s="19" t="s">
        <v>1181</v>
      </c>
      <c r="C134" s="19" t="s">
        <v>255</v>
      </c>
      <c r="D134" s="19" t="s">
        <v>256</v>
      </c>
      <c r="E134" s="19" t="s">
        <v>161</v>
      </c>
      <c r="F134" s="19" t="s">
        <v>306</v>
      </c>
      <c r="G134" s="19" t="s">
        <v>1183</v>
      </c>
      <c r="H134" s="19" t="s">
        <v>1184</v>
      </c>
      <c r="I134" s="19" t="s">
        <v>1185</v>
      </c>
      <c r="J134" s="19" t="n">
        <v>198.8</v>
      </c>
      <c r="K134" s="19" t="s">
        <v>788</v>
      </c>
      <c r="L134" s="19"/>
      <c r="M134" s="20" t="str">
        <f aca="false">IF(G134&lt;&gt;"","PASS","FAIL - Missing UPC")</f>
        <v>PASS</v>
      </c>
      <c r="N134" s="20" t="str">
        <f aca="false">IF(AND(G134&lt;&gt;"",H134&lt;&gt;""),IF("0"&amp;G134=H134,"PASS","FAIL - GTIN Mismatch"),"SKIP")</f>
        <v>PASS</v>
      </c>
      <c r="O134" s="20" t="str">
        <f aca="false">IF(I134="","FAIL - No Title",IF(LEN(I134)&lt;=126,"PASS","FAIL - Title &gt;"&amp;126&amp;" chars"))</f>
        <v>PASS</v>
      </c>
      <c r="P134" s="20" t="str">
        <f aca="false">IF(J134&gt;0,IF(J134&lt;5000,"PASS","FLAG - Review Price"),"FAIL - Zero Price")</f>
        <v>PASS</v>
      </c>
      <c r="Q134" s="20" t="str">
        <f aca="false">IF('Raw Catalog'!P132&lt;&gt;"","PASS","FAIL - No Image")</f>
        <v>PASS</v>
      </c>
      <c r="R134" s="20" t="str">
        <f aca="false">IF(F134&lt;&gt;"","PASS","FAIL - No Brand")</f>
        <v>PASS</v>
      </c>
      <c r="S134" s="20" t="str">
        <f aca="true">IF(K134="","FAIL - No Date",IF(TODAY()-DATEVALUE(K134)&lt;=180,"PASS","FLAG - Stale &gt;180d"))</f>
        <v>FLAG - Stale &gt;180d</v>
      </c>
      <c r="T134" s="20" t="n">
        <f aca="false">COUNTIF(M134:S134,"FAIL*")+COUNTIF(M134:S134,"FLAG*")</f>
        <v>1</v>
      </c>
      <c r="U134" s="20" t="str">
        <f aca="false">IF(T134=0,"CLEAN",IF(T134=1,"MINOR",IF(T134&lt;=3,"MODERATE","CRITICAL")))</f>
        <v>MINOR</v>
      </c>
      <c r="V134" s="20" t="str">
        <f aca="false">IF(U134="CLEAN","None",IF(U134="MINOR","Seller Notify",IF(U134="MODERATE","Listing Suspended","Immediate Removal")))</f>
        <v>Seller Notify</v>
      </c>
    </row>
    <row r="135" customFormat="false" ht="18" hidden="false" customHeight="true" outlineLevel="0" collapsed="false">
      <c r="A135" s="19" t="s">
        <v>6212</v>
      </c>
      <c r="B135" s="19" t="s">
        <v>1189</v>
      </c>
      <c r="C135" s="19" t="s">
        <v>77</v>
      </c>
      <c r="D135" s="19" t="s">
        <v>78</v>
      </c>
      <c r="E135" s="19" t="s">
        <v>50</v>
      </c>
      <c r="F135" s="19" t="s">
        <v>138</v>
      </c>
      <c r="G135" s="19" t="s">
        <v>1191</v>
      </c>
      <c r="H135" s="19" t="s">
        <v>1192</v>
      </c>
      <c r="I135" s="19" t="s">
        <v>1193</v>
      </c>
      <c r="J135" s="19" t="n">
        <v>274.56</v>
      </c>
      <c r="K135" s="19" t="s">
        <v>1195</v>
      </c>
      <c r="L135" s="19"/>
      <c r="M135" s="20" t="str">
        <f aca="false">IF(G135&lt;&gt;"","PASS","FAIL - Missing UPC")</f>
        <v>PASS</v>
      </c>
      <c r="N135" s="20" t="str">
        <f aca="false">IF(AND(G135&lt;&gt;"",H135&lt;&gt;""),IF("0"&amp;G135=H135,"PASS","FAIL - GTIN Mismatch"),"SKIP")</f>
        <v>PASS</v>
      </c>
      <c r="O135" s="20" t="str">
        <f aca="false">IF(I135="","FAIL - No Title",IF(LEN(I135)&lt;=126,"PASS","FAIL - Title &gt;"&amp;126&amp;" chars"))</f>
        <v>PASS</v>
      </c>
      <c r="P135" s="20" t="str">
        <f aca="false">IF(J135&gt;0,IF(J135&lt;5000,"PASS","FLAG - Review Price"),"FAIL - Zero Price")</f>
        <v>PASS</v>
      </c>
      <c r="Q135" s="20" t="str">
        <f aca="false">IF('Raw Catalog'!P133&lt;&gt;"","PASS","FAIL - No Image")</f>
        <v>PASS</v>
      </c>
      <c r="R135" s="20" t="str">
        <f aca="false">IF(F135&lt;&gt;"","PASS","FAIL - No Brand")</f>
        <v>PASS</v>
      </c>
      <c r="S135" s="20" t="str">
        <f aca="true">IF(K135="","FAIL - No Date",IF(TODAY()-DATEVALUE(K135)&lt;=180,"PASS","FLAG - Stale &gt;180d"))</f>
        <v>FLAG - Stale &gt;180d</v>
      </c>
      <c r="T135" s="20" t="n">
        <f aca="false">COUNTIF(M135:S135,"FAIL*")+COUNTIF(M135:S135,"FLAG*")</f>
        <v>1</v>
      </c>
      <c r="U135" s="20" t="str">
        <f aca="false">IF(T135=0,"CLEAN",IF(T135=1,"MINOR",IF(T135&lt;=3,"MODERATE","CRITICAL")))</f>
        <v>MINOR</v>
      </c>
      <c r="V135" s="20" t="str">
        <f aca="false">IF(U135="CLEAN","None",IF(U135="MINOR","Seller Notify",IF(U135="MODERATE","Listing Suspended","Immediate Removal")))</f>
        <v>Seller Notify</v>
      </c>
    </row>
    <row r="136" customFormat="false" ht="18" hidden="false" customHeight="true" outlineLevel="0" collapsed="false">
      <c r="A136" s="19" t="s">
        <v>6213</v>
      </c>
      <c r="B136" s="19" t="s">
        <v>1196</v>
      </c>
      <c r="C136" s="19" t="s">
        <v>125</v>
      </c>
      <c r="D136" s="19" t="s">
        <v>126</v>
      </c>
      <c r="E136" s="19" t="s">
        <v>79</v>
      </c>
      <c r="F136" s="19" t="s">
        <v>51</v>
      </c>
      <c r="G136" s="19" t="s">
        <v>1198</v>
      </c>
      <c r="H136" s="19" t="s">
        <v>1199</v>
      </c>
      <c r="I136" s="19" t="s">
        <v>1200</v>
      </c>
      <c r="J136" s="19" t="n">
        <v>2493.34</v>
      </c>
      <c r="K136" s="19" t="s">
        <v>1202</v>
      </c>
      <c r="L136" s="19"/>
      <c r="M136" s="20" t="str">
        <f aca="false">IF(G136&lt;&gt;"","PASS","FAIL - Missing UPC")</f>
        <v>PASS</v>
      </c>
      <c r="N136" s="20" t="str">
        <f aca="false">IF(AND(G136&lt;&gt;"",H136&lt;&gt;""),IF("0"&amp;G136=H136,"PASS","FAIL - GTIN Mismatch"),"SKIP")</f>
        <v>PASS</v>
      </c>
      <c r="O136" s="20" t="str">
        <f aca="false">IF(I136="","FAIL - No Title",IF(LEN(I136)&lt;=126,"PASS","FAIL - Title &gt;"&amp;126&amp;" chars"))</f>
        <v>PASS</v>
      </c>
      <c r="P136" s="20" t="str">
        <f aca="false">IF(J136&gt;0,IF(J136&lt;5000,"PASS","FLAG - Review Price"),"FAIL - Zero Price")</f>
        <v>PASS</v>
      </c>
      <c r="Q136" s="20" t="str">
        <f aca="false">IF('Raw Catalog'!P134&lt;&gt;"","PASS","FAIL - No Image")</f>
        <v>PASS</v>
      </c>
      <c r="R136" s="20" t="str">
        <f aca="false">IF(F136&lt;&gt;"","PASS","FAIL - No Brand")</f>
        <v>PASS</v>
      </c>
      <c r="S136" s="20" t="str">
        <f aca="true">IF(K136="","FAIL - No Date",IF(TODAY()-DATEVALUE(K136)&lt;=180,"PASS","FLAG - Stale &gt;180d"))</f>
        <v>FLAG - Stale &gt;180d</v>
      </c>
      <c r="T136" s="20" t="n">
        <f aca="false">COUNTIF(M136:S136,"FAIL*")+COUNTIF(M136:S136,"FLAG*")</f>
        <v>1</v>
      </c>
      <c r="U136" s="20" t="str">
        <f aca="false">IF(T136=0,"CLEAN",IF(T136=1,"MINOR",IF(T136&lt;=3,"MODERATE","CRITICAL")))</f>
        <v>MINOR</v>
      </c>
      <c r="V136" s="20" t="str">
        <f aca="false">IF(U136="CLEAN","None",IF(U136="MINOR","Seller Notify",IF(U136="MODERATE","Listing Suspended","Immediate Removal")))</f>
        <v>Seller Notify</v>
      </c>
    </row>
    <row r="137" customFormat="false" ht="18" hidden="false" customHeight="true" outlineLevel="0" collapsed="false">
      <c r="A137" s="19" t="s">
        <v>6214</v>
      </c>
      <c r="B137" s="19" t="s">
        <v>1203</v>
      </c>
      <c r="C137" s="19" t="s">
        <v>125</v>
      </c>
      <c r="D137" s="19" t="s">
        <v>126</v>
      </c>
      <c r="E137" s="19" t="s">
        <v>79</v>
      </c>
      <c r="F137" s="19" t="s">
        <v>127</v>
      </c>
      <c r="G137" s="19" t="s">
        <v>1205</v>
      </c>
      <c r="H137" s="19" t="s">
        <v>1206</v>
      </c>
      <c r="I137" s="19" t="s">
        <v>1207</v>
      </c>
      <c r="J137" s="19" t="n">
        <v>1788.6</v>
      </c>
      <c r="K137" s="19" t="s">
        <v>1211</v>
      </c>
      <c r="L137" s="19"/>
      <c r="M137" s="20" t="str">
        <f aca="false">IF(G137&lt;&gt;"","PASS","FAIL - Missing UPC")</f>
        <v>PASS</v>
      </c>
      <c r="N137" s="20" t="str">
        <f aca="false">IF(AND(G137&lt;&gt;"",H137&lt;&gt;""),IF("0"&amp;G137=H137,"PASS","FAIL - GTIN Mismatch"),"SKIP")</f>
        <v>PASS</v>
      </c>
      <c r="O137" s="20" t="str">
        <f aca="false">IF(I137="","FAIL - No Title",IF(LEN(I137)&lt;=126,"PASS","FAIL - Title &gt;"&amp;126&amp;" chars"))</f>
        <v>PASS</v>
      </c>
      <c r="P137" s="20" t="str">
        <f aca="false">IF(J137&gt;0,IF(J137&lt;5000,"PASS","FLAG - Review Price"),"FAIL - Zero Price")</f>
        <v>PASS</v>
      </c>
      <c r="Q137" s="20" t="str">
        <f aca="false">IF('Raw Catalog'!P135&lt;&gt;"","PASS","FAIL - No Image")</f>
        <v>PASS</v>
      </c>
      <c r="R137" s="20" t="str">
        <f aca="false">IF(F137&lt;&gt;"","PASS","FAIL - No Brand")</f>
        <v>PASS</v>
      </c>
      <c r="S137" s="20" t="str">
        <f aca="true">IF(K137="","FAIL - No Date",IF(TODAY()-DATEVALUE(K137)&lt;=180,"PASS","FLAG - Stale &gt;180d"))</f>
        <v>FLAG - Stale &gt;180d</v>
      </c>
      <c r="T137" s="20" t="n">
        <f aca="false">COUNTIF(M137:S137,"FAIL*")+COUNTIF(M137:S137,"FLAG*")</f>
        <v>1</v>
      </c>
      <c r="U137" s="20" t="str">
        <f aca="false">IF(T137=0,"CLEAN",IF(T137=1,"MINOR",IF(T137&lt;=3,"MODERATE","CRITICAL")))</f>
        <v>MINOR</v>
      </c>
      <c r="V137" s="20" t="str">
        <f aca="false">IF(U137="CLEAN","None",IF(U137="MINOR","Seller Notify",IF(U137="MODERATE","Listing Suspended","Immediate Removal")))</f>
        <v>Seller Notify</v>
      </c>
    </row>
    <row r="138" customFormat="false" ht="18" hidden="false" customHeight="true" outlineLevel="0" collapsed="false">
      <c r="A138" s="19" t="s">
        <v>6215</v>
      </c>
      <c r="B138" s="19" t="s">
        <v>1212</v>
      </c>
      <c r="C138" s="19" t="s">
        <v>48</v>
      </c>
      <c r="D138" s="19" t="s">
        <v>49</v>
      </c>
      <c r="E138" s="19" t="s">
        <v>50</v>
      </c>
      <c r="F138" s="19" t="s">
        <v>115</v>
      </c>
      <c r="G138" s="19" t="s">
        <v>1214</v>
      </c>
      <c r="H138" s="19" t="s">
        <v>1215</v>
      </c>
      <c r="I138" s="19" t="s">
        <v>1216</v>
      </c>
      <c r="J138" s="19" t="n">
        <v>377.4</v>
      </c>
      <c r="K138" s="19" t="s">
        <v>1179</v>
      </c>
      <c r="L138" s="19"/>
      <c r="M138" s="20" t="str">
        <f aca="false">IF(G138&lt;&gt;"","PASS","FAIL - Missing UPC")</f>
        <v>PASS</v>
      </c>
      <c r="N138" s="20" t="str">
        <f aca="false">IF(AND(G138&lt;&gt;"",H138&lt;&gt;""),IF("0"&amp;G138=H138,"PASS","FAIL - GTIN Mismatch"),"SKIP")</f>
        <v>PASS</v>
      </c>
      <c r="O138" s="20" t="str">
        <f aca="false">IF(I138="","FAIL - No Title",IF(LEN(I138)&lt;=126,"PASS","FAIL - Title &gt;"&amp;126&amp;" chars"))</f>
        <v>PASS</v>
      </c>
      <c r="P138" s="20" t="str">
        <f aca="false">IF(J138&gt;0,IF(J138&lt;5000,"PASS","FLAG - Review Price"),"FAIL - Zero Price")</f>
        <v>PASS</v>
      </c>
      <c r="Q138" s="20" t="str">
        <f aca="false">IF('Raw Catalog'!P136&lt;&gt;"","PASS","FAIL - No Image")</f>
        <v>PASS</v>
      </c>
      <c r="R138" s="20" t="str">
        <f aca="false">IF(F138&lt;&gt;"","PASS","FAIL - No Brand")</f>
        <v>PASS</v>
      </c>
      <c r="S138" s="20" t="str">
        <f aca="true">IF(K138="","FAIL - No Date",IF(TODAY()-DATEVALUE(K138)&lt;=180,"PASS","FLAG - Stale &gt;180d"))</f>
        <v>FLAG - Stale &gt;180d</v>
      </c>
      <c r="T138" s="20" t="n">
        <f aca="false">COUNTIF(M138:S138,"FAIL*")+COUNTIF(M138:S138,"FLAG*")</f>
        <v>1</v>
      </c>
      <c r="U138" s="20" t="str">
        <f aca="false">IF(T138=0,"CLEAN",IF(T138=1,"MINOR",IF(T138&lt;=3,"MODERATE","CRITICAL")))</f>
        <v>MINOR</v>
      </c>
      <c r="V138" s="20" t="str">
        <f aca="false">IF(U138="CLEAN","None",IF(U138="MINOR","Seller Notify",IF(U138="MODERATE","Listing Suspended","Immediate Removal")))</f>
        <v>Seller Notify</v>
      </c>
    </row>
    <row r="139" customFormat="false" ht="18" hidden="false" customHeight="true" outlineLevel="0" collapsed="false">
      <c r="A139" s="19" t="s">
        <v>6216</v>
      </c>
      <c r="B139" s="19" t="s">
        <v>1218</v>
      </c>
      <c r="C139" s="19" t="s">
        <v>125</v>
      </c>
      <c r="D139" s="19" t="s">
        <v>126</v>
      </c>
      <c r="E139" s="19" t="s">
        <v>65</v>
      </c>
      <c r="F139" s="19" t="s">
        <v>115</v>
      </c>
      <c r="G139" s="19" t="s">
        <v>1220</v>
      </c>
      <c r="H139" s="19" t="s">
        <v>1221</v>
      </c>
      <c r="I139" s="19" t="s">
        <v>496</v>
      </c>
      <c r="J139" s="19" t="n">
        <v>387.12</v>
      </c>
      <c r="K139" s="19" t="s">
        <v>1222</v>
      </c>
      <c r="L139" s="19"/>
      <c r="M139" s="20" t="str">
        <f aca="false">IF(G139&lt;&gt;"","PASS","FAIL - Missing UPC")</f>
        <v>PASS</v>
      </c>
      <c r="N139" s="20" t="str">
        <f aca="false">IF(AND(G139&lt;&gt;"",H139&lt;&gt;""),IF("0"&amp;G139=H139,"PASS","FAIL - GTIN Mismatch"),"SKIP")</f>
        <v>PASS</v>
      </c>
      <c r="O139" s="20" t="str">
        <f aca="false">IF(I139="","FAIL - No Title",IF(LEN(I139)&lt;=126,"PASS","FAIL - Title &gt;"&amp;126&amp;" chars"))</f>
        <v>PASS</v>
      </c>
      <c r="P139" s="20" t="str">
        <f aca="false">IF(J139&gt;0,IF(J139&lt;5000,"PASS","FLAG - Review Price"),"FAIL - Zero Price")</f>
        <v>PASS</v>
      </c>
      <c r="Q139" s="20" t="str">
        <f aca="false">IF('Raw Catalog'!P137&lt;&gt;"","PASS","FAIL - No Image")</f>
        <v>PASS</v>
      </c>
      <c r="R139" s="20" t="str">
        <f aca="false">IF(F139&lt;&gt;"","PASS","FAIL - No Brand")</f>
        <v>PASS</v>
      </c>
      <c r="S139" s="20" t="str">
        <f aca="true">IF(K139="","FAIL - No Date",IF(TODAY()-DATEVALUE(K139)&lt;=180,"PASS","FLAG - Stale &gt;180d"))</f>
        <v>FLAG - Stale &gt;180d</v>
      </c>
      <c r="T139" s="20" t="n">
        <f aca="false">COUNTIF(M139:S139,"FAIL*")+COUNTIF(M139:S139,"FLAG*")</f>
        <v>1</v>
      </c>
      <c r="U139" s="20" t="str">
        <f aca="false">IF(T139=0,"CLEAN",IF(T139=1,"MINOR",IF(T139&lt;=3,"MODERATE","CRITICAL")))</f>
        <v>MINOR</v>
      </c>
      <c r="V139" s="20" t="str">
        <f aca="false">IF(U139="CLEAN","None",IF(U139="MINOR","Seller Notify",IF(U139="MODERATE","Listing Suspended","Immediate Removal")))</f>
        <v>Seller Notify</v>
      </c>
    </row>
    <row r="140" customFormat="false" ht="18" hidden="false" customHeight="true" outlineLevel="0" collapsed="false">
      <c r="A140" s="19" t="s">
        <v>6217</v>
      </c>
      <c r="B140" s="19" t="s">
        <v>1223</v>
      </c>
      <c r="C140" s="19" t="s">
        <v>159</v>
      </c>
      <c r="D140" s="19" t="s">
        <v>160</v>
      </c>
      <c r="E140" s="19" t="s">
        <v>91</v>
      </c>
      <c r="F140" s="19" t="s">
        <v>92</v>
      </c>
      <c r="G140" s="19" t="s">
        <v>1225</v>
      </c>
      <c r="H140" s="19" t="s">
        <v>1226</v>
      </c>
      <c r="I140" s="19" t="s">
        <v>1227</v>
      </c>
      <c r="J140" s="19" t="n">
        <v>2853.27</v>
      </c>
      <c r="K140" s="19" t="s">
        <v>194</v>
      </c>
      <c r="L140" s="19"/>
      <c r="M140" s="20" t="str">
        <f aca="false">IF(G140&lt;&gt;"","PASS","FAIL - Missing UPC")</f>
        <v>PASS</v>
      </c>
      <c r="N140" s="20" t="str">
        <f aca="false">IF(AND(G140&lt;&gt;"",H140&lt;&gt;""),IF("0"&amp;G140=H140,"PASS","FAIL - GTIN Mismatch"),"SKIP")</f>
        <v>PASS</v>
      </c>
      <c r="O140" s="20" t="str">
        <f aca="false">IF(I140="","FAIL - No Title",IF(LEN(I140)&lt;=126,"PASS","FAIL - Title &gt;"&amp;126&amp;" chars"))</f>
        <v>PASS</v>
      </c>
      <c r="P140" s="20" t="str">
        <f aca="false">IF(J140&gt;0,IF(J140&lt;5000,"PASS","FLAG - Review Price"),"FAIL - Zero Price")</f>
        <v>PASS</v>
      </c>
      <c r="Q140" s="20" t="str">
        <f aca="false">IF('Raw Catalog'!P138&lt;&gt;"","PASS","FAIL - No Image")</f>
        <v>PASS</v>
      </c>
      <c r="R140" s="20" t="str">
        <f aca="false">IF(F140&lt;&gt;"","PASS","FAIL - No Brand")</f>
        <v>PASS</v>
      </c>
      <c r="S140" s="20" t="str">
        <f aca="true">IF(K140="","FAIL - No Date",IF(TODAY()-DATEVALUE(K140)&lt;=180,"PASS","FLAG - Stale &gt;180d"))</f>
        <v>FLAG - Stale &gt;180d</v>
      </c>
      <c r="T140" s="20" t="n">
        <f aca="false">COUNTIF(M140:S140,"FAIL*")+COUNTIF(M140:S140,"FLAG*")</f>
        <v>1</v>
      </c>
      <c r="U140" s="20" t="str">
        <f aca="false">IF(T140=0,"CLEAN",IF(T140=1,"MINOR",IF(T140&lt;=3,"MODERATE","CRITICAL")))</f>
        <v>MINOR</v>
      </c>
      <c r="V140" s="20" t="str">
        <f aca="false">IF(U140="CLEAN","None",IF(U140="MINOR","Seller Notify",IF(U140="MODERATE","Listing Suspended","Immediate Removal")))</f>
        <v>Seller Notify</v>
      </c>
    </row>
    <row r="141" customFormat="false" ht="18" hidden="false" customHeight="true" outlineLevel="0" collapsed="false">
      <c r="A141" s="19" t="s">
        <v>6218</v>
      </c>
      <c r="B141" s="19" t="s">
        <v>1231</v>
      </c>
      <c r="C141" s="19" t="s">
        <v>77</v>
      </c>
      <c r="D141" s="19" t="s">
        <v>78</v>
      </c>
      <c r="E141" s="19" t="s">
        <v>65</v>
      </c>
      <c r="F141" s="19" t="s">
        <v>438</v>
      </c>
      <c r="G141" s="19" t="s">
        <v>1233</v>
      </c>
      <c r="H141" s="19" t="s">
        <v>1234</v>
      </c>
      <c r="I141" s="19" t="s">
        <v>442</v>
      </c>
      <c r="J141" s="19" t="n">
        <v>375.19</v>
      </c>
      <c r="K141" s="19" t="s">
        <v>1236</v>
      </c>
      <c r="L141" s="19"/>
      <c r="M141" s="20" t="str">
        <f aca="false">IF(G141&lt;&gt;"","PASS","FAIL - Missing UPC")</f>
        <v>PASS</v>
      </c>
      <c r="N141" s="20" t="str">
        <f aca="false">IF(AND(G141&lt;&gt;"",H141&lt;&gt;""),IF("0"&amp;G141=H141,"PASS","FAIL - GTIN Mismatch"),"SKIP")</f>
        <v>PASS</v>
      </c>
      <c r="O141" s="20" t="str">
        <f aca="false">IF(I141="","FAIL - No Title",IF(LEN(I141)&lt;=126,"PASS","FAIL - Title &gt;"&amp;126&amp;" chars"))</f>
        <v>PASS</v>
      </c>
      <c r="P141" s="20" t="str">
        <f aca="false">IF(J141&gt;0,IF(J141&lt;5000,"PASS","FLAG - Review Price"),"FAIL - Zero Price")</f>
        <v>PASS</v>
      </c>
      <c r="Q141" s="20" t="str">
        <f aca="false">IF('Raw Catalog'!P139&lt;&gt;"","PASS","FAIL - No Image")</f>
        <v>PASS</v>
      </c>
      <c r="R141" s="20" t="str">
        <f aca="false">IF(F141&lt;&gt;"","PASS","FAIL - No Brand")</f>
        <v>PASS</v>
      </c>
      <c r="S141" s="20" t="str">
        <f aca="true">IF(K141="","FAIL - No Date",IF(TODAY()-DATEVALUE(K141)&lt;=180,"PASS","FLAG - Stale &gt;180d"))</f>
        <v>FLAG - Stale &gt;180d</v>
      </c>
      <c r="T141" s="20" t="n">
        <f aca="false">COUNTIF(M141:S141,"FAIL*")+COUNTIF(M141:S141,"FLAG*")</f>
        <v>1</v>
      </c>
      <c r="U141" s="20" t="str">
        <f aca="false">IF(T141=0,"CLEAN",IF(T141=1,"MINOR",IF(T141&lt;=3,"MODERATE","CRITICAL")))</f>
        <v>MINOR</v>
      </c>
      <c r="V141" s="20" t="str">
        <f aca="false">IF(U141="CLEAN","None",IF(U141="MINOR","Seller Notify",IF(U141="MODERATE","Listing Suspended","Immediate Removal")))</f>
        <v>Seller Notify</v>
      </c>
    </row>
    <row r="142" customFormat="false" ht="18" hidden="false" customHeight="true" outlineLevel="0" collapsed="false">
      <c r="A142" s="19" t="s">
        <v>6219</v>
      </c>
      <c r="B142" s="19" t="s">
        <v>1237</v>
      </c>
      <c r="C142" s="19" t="s">
        <v>77</v>
      </c>
      <c r="D142" s="19" t="s">
        <v>78</v>
      </c>
      <c r="E142" s="19" t="s">
        <v>161</v>
      </c>
      <c r="F142" s="19" t="s">
        <v>51</v>
      </c>
      <c r="G142" s="19" t="s">
        <v>1239</v>
      </c>
      <c r="H142" s="19" t="s">
        <v>1240</v>
      </c>
      <c r="I142" s="19"/>
      <c r="J142" s="19" t="n">
        <v>525.91</v>
      </c>
      <c r="K142" s="19" t="s">
        <v>1244</v>
      </c>
      <c r="L142" s="21" t="s">
        <v>1048</v>
      </c>
      <c r="M142" s="20" t="str">
        <f aca="false">IF(G142&lt;&gt;"","PASS","FAIL - Missing UPC")</f>
        <v>PASS</v>
      </c>
      <c r="N142" s="20" t="str">
        <f aca="false">IF(AND(G142&lt;&gt;"",H142&lt;&gt;""),IF("0"&amp;G142=H142,"PASS","FAIL - GTIN Mismatch"),"SKIP")</f>
        <v>PASS</v>
      </c>
      <c r="O142" s="20" t="str">
        <f aca="false">IF(I142="","FAIL - No Title",IF(LEN(I142)&lt;=126,"PASS","FAIL - Title &gt;"&amp;126&amp;" chars"))</f>
        <v>FAIL - No Title</v>
      </c>
      <c r="P142" s="20" t="str">
        <f aca="false">IF(J142&gt;0,IF(J142&lt;5000,"PASS","FLAG - Review Price"),"FAIL - Zero Price")</f>
        <v>PASS</v>
      </c>
      <c r="Q142" s="20" t="str">
        <f aca="false">IF('Raw Catalog'!P140&lt;&gt;"","PASS","FAIL - No Image")</f>
        <v>PASS</v>
      </c>
      <c r="R142" s="20" t="str">
        <f aca="false">IF(F142&lt;&gt;"","PASS","FAIL - No Brand")</f>
        <v>PASS</v>
      </c>
      <c r="S142" s="20" t="str">
        <f aca="true">IF(K142="","FAIL - No Date",IF(TODAY()-DATEVALUE(K142)&lt;=180,"PASS","FLAG - Stale &gt;180d"))</f>
        <v>FLAG - Stale &gt;180d</v>
      </c>
      <c r="T142" s="20" t="n">
        <f aca="false">COUNTIF(M142:S142,"FAIL*")+COUNTIF(M142:S142,"FLAG*")</f>
        <v>2</v>
      </c>
      <c r="U142" s="20" t="str">
        <f aca="false">IF(T142=0,"CLEAN",IF(T142=1,"MINOR",IF(T142&lt;=3,"MODERATE","CRITICAL")))</f>
        <v>MODERATE</v>
      </c>
      <c r="V142" s="20" t="str">
        <f aca="false">IF(U142="CLEAN","None",IF(U142="MINOR","Seller Notify",IF(U142="MODERATE","Listing Suspended","Immediate Removal")))</f>
        <v>Listing Suspended</v>
      </c>
    </row>
    <row r="143" customFormat="false" ht="18" hidden="false" customHeight="true" outlineLevel="0" collapsed="false">
      <c r="A143" s="19" t="s">
        <v>6220</v>
      </c>
      <c r="B143" s="19" t="s">
        <v>1245</v>
      </c>
      <c r="C143" s="19" t="s">
        <v>77</v>
      </c>
      <c r="D143" s="19" t="s">
        <v>78</v>
      </c>
      <c r="E143" s="19" t="s">
        <v>79</v>
      </c>
      <c r="F143" s="19" t="s">
        <v>956</v>
      </c>
      <c r="G143" s="19" t="s">
        <v>1247</v>
      </c>
      <c r="H143" s="19" t="s">
        <v>1248</v>
      </c>
      <c r="I143" s="19" t="s">
        <v>1249</v>
      </c>
      <c r="J143" s="19" t="n">
        <v>2220.7</v>
      </c>
      <c r="K143" s="19" t="s">
        <v>1236</v>
      </c>
      <c r="L143" s="19"/>
      <c r="M143" s="20" t="str">
        <f aca="false">IF(G143&lt;&gt;"","PASS","FAIL - Missing UPC")</f>
        <v>PASS</v>
      </c>
      <c r="N143" s="20" t="str">
        <f aca="false">IF(AND(G143&lt;&gt;"",H143&lt;&gt;""),IF("0"&amp;G143=H143,"PASS","FAIL - GTIN Mismatch"),"SKIP")</f>
        <v>PASS</v>
      </c>
      <c r="O143" s="20" t="str">
        <f aca="false">IF(I143="","FAIL - No Title",IF(LEN(I143)&lt;=126,"PASS","FAIL - Title &gt;"&amp;126&amp;" chars"))</f>
        <v>PASS</v>
      </c>
      <c r="P143" s="20" t="str">
        <f aca="false">IF(J143&gt;0,IF(J143&lt;5000,"PASS","FLAG - Review Price"),"FAIL - Zero Price")</f>
        <v>PASS</v>
      </c>
      <c r="Q143" s="20" t="str">
        <f aca="false">IF('Raw Catalog'!P141&lt;&gt;"","PASS","FAIL - No Image")</f>
        <v>PASS</v>
      </c>
      <c r="R143" s="20" t="str">
        <f aca="false">IF(F143&lt;&gt;"","PASS","FAIL - No Brand")</f>
        <v>PASS</v>
      </c>
      <c r="S143" s="20" t="str">
        <f aca="true">IF(K143="","FAIL - No Date",IF(TODAY()-DATEVALUE(K143)&lt;=180,"PASS","FLAG - Stale &gt;180d"))</f>
        <v>FLAG - Stale &gt;180d</v>
      </c>
      <c r="T143" s="20" t="n">
        <f aca="false">COUNTIF(M143:S143,"FAIL*")+COUNTIF(M143:S143,"FLAG*")</f>
        <v>1</v>
      </c>
      <c r="U143" s="20" t="str">
        <f aca="false">IF(T143=0,"CLEAN",IF(T143=1,"MINOR",IF(T143&lt;=3,"MODERATE","CRITICAL")))</f>
        <v>MINOR</v>
      </c>
      <c r="V143" s="20" t="str">
        <f aca="false">IF(U143="CLEAN","None",IF(U143="MINOR","Seller Notify",IF(U143="MODERATE","Listing Suspended","Immediate Removal")))</f>
        <v>Seller Notify</v>
      </c>
    </row>
    <row r="144" customFormat="false" ht="18" hidden="false" customHeight="true" outlineLevel="0" collapsed="false">
      <c r="A144" s="19" t="s">
        <v>6221</v>
      </c>
      <c r="B144" s="19" t="s">
        <v>1253</v>
      </c>
      <c r="C144" s="19" t="s">
        <v>77</v>
      </c>
      <c r="D144" s="19" t="s">
        <v>78</v>
      </c>
      <c r="E144" s="19" t="s">
        <v>161</v>
      </c>
      <c r="F144" s="19" t="s">
        <v>115</v>
      </c>
      <c r="G144" s="19" t="s">
        <v>1255</v>
      </c>
      <c r="H144" s="19" t="s">
        <v>1256</v>
      </c>
      <c r="I144" s="19" t="s">
        <v>1257</v>
      </c>
      <c r="J144" s="19" t="n">
        <v>187.24</v>
      </c>
      <c r="K144" s="19" t="s">
        <v>1260</v>
      </c>
      <c r="L144" s="21" t="s">
        <v>453</v>
      </c>
      <c r="M144" s="20" t="str">
        <f aca="false">IF(G144&lt;&gt;"","PASS","FAIL - Missing UPC")</f>
        <v>PASS</v>
      </c>
      <c r="N144" s="20" t="str">
        <f aca="false">IF(AND(G144&lt;&gt;"",H144&lt;&gt;""),IF("0"&amp;G144=H144,"PASS","FAIL - GTIN Mismatch"),"SKIP")</f>
        <v>PASS</v>
      </c>
      <c r="O144" s="20" t="str">
        <f aca="false">IF(I144="","FAIL - No Title",IF(LEN(I144)&lt;=126,"PASS","FAIL - Title &gt;"&amp;126&amp;" chars"))</f>
        <v>PASS</v>
      </c>
      <c r="P144" s="20" t="str">
        <f aca="false">IF(J144&gt;0,IF(J144&lt;5000,"PASS","FLAG - Review Price"),"FAIL - Zero Price")</f>
        <v>PASS</v>
      </c>
      <c r="Q144" s="20" t="str">
        <f aca="false">IF('Raw Catalog'!P142&lt;&gt;"","PASS","FAIL - No Image")</f>
        <v>PASS</v>
      </c>
      <c r="R144" s="20" t="str">
        <f aca="false">IF(F144&lt;&gt;"","PASS","FAIL - No Brand")</f>
        <v>PASS</v>
      </c>
      <c r="S144" s="20" t="str">
        <f aca="true">IF(K144="","FAIL - No Date",IF(TODAY()-DATEVALUE(K144)&lt;=180,"PASS","FLAG - Stale &gt;180d"))</f>
        <v>FLAG - Stale &gt;180d</v>
      </c>
      <c r="T144" s="20" t="n">
        <f aca="false">COUNTIF(M144:S144,"FAIL*")+COUNTIF(M144:S144,"FLAG*")</f>
        <v>1</v>
      </c>
      <c r="U144" s="20" t="str">
        <f aca="false">IF(T144=0,"CLEAN",IF(T144=1,"MINOR",IF(T144&lt;=3,"MODERATE","CRITICAL")))</f>
        <v>MINOR</v>
      </c>
      <c r="V144" s="20" t="str">
        <f aca="false">IF(U144="CLEAN","None",IF(U144="MINOR","Seller Notify",IF(U144="MODERATE","Listing Suspended","Immediate Removal")))</f>
        <v>Seller Notify</v>
      </c>
    </row>
    <row r="145" customFormat="false" ht="18" hidden="false" customHeight="true" outlineLevel="0" collapsed="false">
      <c r="A145" s="19" t="s">
        <v>6222</v>
      </c>
      <c r="B145" s="19" t="s">
        <v>1261</v>
      </c>
      <c r="C145" s="19" t="s">
        <v>113</v>
      </c>
      <c r="D145" s="19" t="s">
        <v>114</v>
      </c>
      <c r="E145" s="19" t="s">
        <v>50</v>
      </c>
      <c r="F145" s="19" t="s">
        <v>503</v>
      </c>
      <c r="G145" s="19" t="s">
        <v>1263</v>
      </c>
      <c r="H145" s="19" t="s">
        <v>1264</v>
      </c>
      <c r="I145" s="19" t="s">
        <v>1265</v>
      </c>
      <c r="J145" s="19" t="n">
        <v>1287.42</v>
      </c>
      <c r="K145" s="19" t="s">
        <v>1267</v>
      </c>
      <c r="L145" s="19"/>
      <c r="M145" s="20" t="str">
        <f aca="false">IF(G145&lt;&gt;"","PASS","FAIL - Missing UPC")</f>
        <v>PASS</v>
      </c>
      <c r="N145" s="20" t="str">
        <f aca="false">IF(AND(G145&lt;&gt;"",H145&lt;&gt;""),IF("0"&amp;G145=H145,"PASS","FAIL - GTIN Mismatch"),"SKIP")</f>
        <v>PASS</v>
      </c>
      <c r="O145" s="20" t="str">
        <f aca="false">IF(I145="","FAIL - No Title",IF(LEN(I145)&lt;=126,"PASS","FAIL - Title &gt;"&amp;126&amp;" chars"))</f>
        <v>PASS</v>
      </c>
      <c r="P145" s="20" t="str">
        <f aca="false">IF(J145&gt;0,IF(J145&lt;5000,"PASS","FLAG - Review Price"),"FAIL - Zero Price")</f>
        <v>PASS</v>
      </c>
      <c r="Q145" s="20" t="str">
        <f aca="false">IF('Raw Catalog'!P143&lt;&gt;"","PASS","FAIL - No Image")</f>
        <v>PASS</v>
      </c>
      <c r="R145" s="20" t="str">
        <f aca="false">IF(F145&lt;&gt;"","PASS","FAIL - No Brand")</f>
        <v>PASS</v>
      </c>
      <c r="S145" s="20" t="str">
        <f aca="true">IF(K145="","FAIL - No Date",IF(TODAY()-DATEVALUE(K145)&lt;=180,"PASS","FLAG - Stale &gt;180d"))</f>
        <v>FLAG - Stale &gt;180d</v>
      </c>
      <c r="T145" s="20" t="n">
        <f aca="false">COUNTIF(M145:S145,"FAIL*")+COUNTIF(M145:S145,"FLAG*")</f>
        <v>1</v>
      </c>
      <c r="U145" s="20" t="str">
        <f aca="false">IF(T145=0,"CLEAN",IF(T145=1,"MINOR",IF(T145&lt;=3,"MODERATE","CRITICAL")))</f>
        <v>MINOR</v>
      </c>
      <c r="V145" s="20" t="str">
        <f aca="false">IF(U145="CLEAN","None",IF(U145="MINOR","Seller Notify",IF(U145="MODERATE","Listing Suspended","Immediate Removal")))</f>
        <v>Seller Notify</v>
      </c>
    </row>
    <row r="146" customFormat="false" ht="18" hidden="false" customHeight="true" outlineLevel="0" collapsed="false">
      <c r="A146" s="19" t="s">
        <v>6223</v>
      </c>
      <c r="B146" s="19" t="s">
        <v>1268</v>
      </c>
      <c r="C146" s="19" t="s">
        <v>63</v>
      </c>
      <c r="D146" s="19" t="s">
        <v>64</v>
      </c>
      <c r="E146" s="19" t="s">
        <v>161</v>
      </c>
      <c r="F146" s="19" t="s">
        <v>306</v>
      </c>
      <c r="G146" s="19" t="s">
        <v>1270</v>
      </c>
      <c r="H146" s="19" t="s">
        <v>1271</v>
      </c>
      <c r="I146" s="19" t="s">
        <v>1272</v>
      </c>
      <c r="J146" s="19" t="n">
        <v>539.19</v>
      </c>
      <c r="K146" s="19" t="s">
        <v>1274</v>
      </c>
      <c r="L146" s="21" t="s">
        <v>778</v>
      </c>
      <c r="M146" s="20" t="str">
        <f aca="false">IF(G146&lt;&gt;"","PASS","FAIL - Missing UPC")</f>
        <v>PASS</v>
      </c>
      <c r="N146" s="20" t="str">
        <f aca="false">IF(AND(G146&lt;&gt;"",H146&lt;&gt;""),IF("0"&amp;G146=H146,"PASS","FAIL - GTIN Mismatch"),"SKIP")</f>
        <v>PASS</v>
      </c>
      <c r="O146" s="20" t="str">
        <f aca="false">IF(I146="","FAIL - No Title",IF(LEN(I146)&lt;=126,"PASS","FAIL - Title &gt;"&amp;126&amp;" chars"))</f>
        <v>FAIL - Title &gt;126 chars</v>
      </c>
      <c r="P146" s="20" t="str">
        <f aca="false">IF(J146&gt;0,IF(J146&lt;5000,"PASS","FLAG - Review Price"),"FAIL - Zero Price")</f>
        <v>PASS</v>
      </c>
      <c r="Q146" s="20" t="str">
        <f aca="false">IF('Raw Catalog'!P144&lt;&gt;"","PASS","FAIL - No Image")</f>
        <v>PASS</v>
      </c>
      <c r="R146" s="20" t="str">
        <f aca="false">IF(F146&lt;&gt;"","PASS","FAIL - No Brand")</f>
        <v>PASS</v>
      </c>
      <c r="S146" s="20" t="str">
        <f aca="true">IF(K146="","FAIL - No Date",IF(TODAY()-DATEVALUE(K146)&lt;=180,"PASS","FLAG - Stale &gt;180d"))</f>
        <v>FLAG - Stale &gt;180d</v>
      </c>
      <c r="T146" s="20" t="n">
        <f aca="false">COUNTIF(M146:S146,"FAIL*")+COUNTIF(M146:S146,"FLAG*")</f>
        <v>2</v>
      </c>
      <c r="U146" s="20" t="str">
        <f aca="false">IF(T146=0,"CLEAN",IF(T146=1,"MINOR",IF(T146&lt;=3,"MODERATE","CRITICAL")))</f>
        <v>MODERATE</v>
      </c>
      <c r="V146" s="20" t="str">
        <f aca="false">IF(U146="CLEAN","None",IF(U146="MINOR","Seller Notify",IF(U146="MODERATE","Listing Suspended","Immediate Removal")))</f>
        <v>Listing Suspended</v>
      </c>
    </row>
    <row r="147" customFormat="false" ht="18" hidden="false" customHeight="true" outlineLevel="0" collapsed="false">
      <c r="A147" s="19" t="s">
        <v>6224</v>
      </c>
      <c r="B147" s="19" t="s">
        <v>1275</v>
      </c>
      <c r="C147" s="19" t="s">
        <v>63</v>
      </c>
      <c r="D147" s="19" t="s">
        <v>64</v>
      </c>
      <c r="E147" s="19" t="s">
        <v>50</v>
      </c>
      <c r="F147" s="19" t="s">
        <v>115</v>
      </c>
      <c r="G147" s="19" t="s">
        <v>1277</v>
      </c>
      <c r="H147" s="19" t="s">
        <v>1278</v>
      </c>
      <c r="I147" s="19" t="s">
        <v>1279</v>
      </c>
      <c r="J147" s="19" t="n">
        <v>1280.41</v>
      </c>
      <c r="K147" s="19" t="s">
        <v>1283</v>
      </c>
      <c r="L147" s="19"/>
      <c r="M147" s="20" t="str">
        <f aca="false">IF(G147&lt;&gt;"","PASS","FAIL - Missing UPC")</f>
        <v>PASS</v>
      </c>
      <c r="N147" s="20" t="str">
        <f aca="false">IF(AND(G147&lt;&gt;"",H147&lt;&gt;""),IF("0"&amp;G147=H147,"PASS","FAIL - GTIN Mismatch"),"SKIP")</f>
        <v>PASS</v>
      </c>
      <c r="O147" s="20" t="str">
        <f aca="false">IF(I147="","FAIL - No Title",IF(LEN(I147)&lt;=126,"PASS","FAIL - Title &gt;"&amp;126&amp;" chars"))</f>
        <v>PASS</v>
      </c>
      <c r="P147" s="20" t="str">
        <f aca="false">IF(J147&gt;0,IF(J147&lt;5000,"PASS","FLAG - Review Price"),"FAIL - Zero Price")</f>
        <v>PASS</v>
      </c>
      <c r="Q147" s="20" t="str">
        <f aca="false">IF('Raw Catalog'!P145&lt;&gt;"","PASS","FAIL - No Image")</f>
        <v>PASS</v>
      </c>
      <c r="R147" s="20" t="str">
        <f aca="false">IF(F147&lt;&gt;"","PASS","FAIL - No Brand")</f>
        <v>PASS</v>
      </c>
      <c r="S147" s="20" t="str">
        <f aca="true">IF(K147="","FAIL - No Date",IF(TODAY()-DATEVALUE(K147)&lt;=180,"PASS","FLAG - Stale &gt;180d"))</f>
        <v>FLAG - Stale &gt;180d</v>
      </c>
      <c r="T147" s="20" t="n">
        <f aca="false">COUNTIF(M147:S147,"FAIL*")+COUNTIF(M147:S147,"FLAG*")</f>
        <v>1</v>
      </c>
      <c r="U147" s="20" t="str">
        <f aca="false">IF(T147=0,"CLEAN",IF(T147=1,"MINOR",IF(T147&lt;=3,"MODERATE","CRITICAL")))</f>
        <v>MINOR</v>
      </c>
      <c r="V147" s="20" t="str">
        <f aca="false">IF(U147="CLEAN","None",IF(U147="MINOR","Seller Notify",IF(U147="MODERATE","Listing Suspended","Immediate Removal")))</f>
        <v>Seller Notify</v>
      </c>
    </row>
    <row r="148" customFormat="false" ht="18" hidden="false" customHeight="true" outlineLevel="0" collapsed="false">
      <c r="A148" s="19" t="s">
        <v>6225</v>
      </c>
      <c r="B148" s="19" t="s">
        <v>1284</v>
      </c>
      <c r="C148" s="19" t="s">
        <v>159</v>
      </c>
      <c r="D148" s="19" t="s">
        <v>160</v>
      </c>
      <c r="E148" s="19" t="s">
        <v>79</v>
      </c>
      <c r="F148" s="19" t="s">
        <v>956</v>
      </c>
      <c r="G148" s="19" t="s">
        <v>1286</v>
      </c>
      <c r="H148" s="19" t="s">
        <v>1287</v>
      </c>
      <c r="I148" s="19" t="s">
        <v>1288</v>
      </c>
      <c r="J148" s="19" t="n">
        <v>18339.38</v>
      </c>
      <c r="K148" s="19" t="s">
        <v>1292</v>
      </c>
      <c r="L148" s="21" t="s">
        <v>343</v>
      </c>
      <c r="M148" s="20" t="str">
        <f aca="false">IF(G148&lt;&gt;"","PASS","FAIL - Missing UPC")</f>
        <v>PASS</v>
      </c>
      <c r="N148" s="20" t="str">
        <f aca="false">IF(AND(G148&lt;&gt;"",H148&lt;&gt;""),IF("0"&amp;G148=H148,"PASS","FAIL - GTIN Mismatch"),"SKIP")</f>
        <v>PASS</v>
      </c>
      <c r="O148" s="20" t="str">
        <f aca="false">IF(I148="","FAIL - No Title",IF(LEN(I148)&lt;=126,"PASS","FAIL - Title &gt;"&amp;126&amp;" chars"))</f>
        <v>PASS</v>
      </c>
      <c r="P148" s="20" t="str">
        <f aca="false">IF(J148&gt;0,IF(J148&lt;5000,"PASS","FLAG - Review Price"),"FAIL - Zero Price")</f>
        <v>FLAG - Review Price</v>
      </c>
      <c r="Q148" s="20" t="str">
        <f aca="false">IF('Raw Catalog'!P146&lt;&gt;"","PASS","FAIL - No Image")</f>
        <v>PASS</v>
      </c>
      <c r="R148" s="20" t="str">
        <f aca="false">IF(F148&lt;&gt;"","PASS","FAIL - No Brand")</f>
        <v>PASS</v>
      </c>
      <c r="S148" s="20" t="str">
        <f aca="true">IF(K148="","FAIL - No Date",IF(TODAY()-DATEVALUE(K148)&lt;=180,"PASS","FLAG - Stale &gt;180d"))</f>
        <v>FLAG - Stale &gt;180d</v>
      </c>
      <c r="T148" s="20" t="n">
        <f aca="false">COUNTIF(M148:S148,"FAIL*")+COUNTIF(M148:S148,"FLAG*")</f>
        <v>2</v>
      </c>
      <c r="U148" s="20" t="str">
        <f aca="false">IF(T148=0,"CLEAN",IF(T148=1,"MINOR",IF(T148&lt;=3,"MODERATE","CRITICAL")))</f>
        <v>MODERATE</v>
      </c>
      <c r="V148" s="20" t="str">
        <f aca="false">IF(U148="CLEAN","None",IF(U148="MINOR","Seller Notify",IF(U148="MODERATE","Listing Suspended","Immediate Removal")))</f>
        <v>Listing Suspended</v>
      </c>
    </row>
    <row r="149" customFormat="false" ht="18" hidden="false" customHeight="true" outlineLevel="0" collapsed="false">
      <c r="A149" s="19" t="s">
        <v>6226</v>
      </c>
      <c r="B149" s="19" t="s">
        <v>1293</v>
      </c>
      <c r="C149" s="19" t="s">
        <v>48</v>
      </c>
      <c r="D149" s="19" t="s">
        <v>49</v>
      </c>
      <c r="E149" s="19" t="s">
        <v>50</v>
      </c>
      <c r="F149" s="19" t="s">
        <v>503</v>
      </c>
      <c r="G149" s="19" t="s">
        <v>1295</v>
      </c>
      <c r="H149" s="19" t="s">
        <v>1296</v>
      </c>
      <c r="I149" s="19" t="s">
        <v>1297</v>
      </c>
      <c r="J149" s="19" t="n">
        <v>670.25</v>
      </c>
      <c r="K149" s="19" t="s">
        <v>1301</v>
      </c>
      <c r="L149" s="19"/>
      <c r="M149" s="20" t="str">
        <f aca="false">IF(G149&lt;&gt;"","PASS","FAIL - Missing UPC")</f>
        <v>PASS</v>
      </c>
      <c r="N149" s="20" t="str">
        <f aca="false">IF(AND(G149&lt;&gt;"",H149&lt;&gt;""),IF("0"&amp;G149=H149,"PASS","FAIL - GTIN Mismatch"),"SKIP")</f>
        <v>PASS</v>
      </c>
      <c r="O149" s="20" t="str">
        <f aca="false">IF(I149="","FAIL - No Title",IF(LEN(I149)&lt;=126,"PASS","FAIL - Title &gt;"&amp;126&amp;" chars"))</f>
        <v>PASS</v>
      </c>
      <c r="P149" s="20" t="str">
        <f aca="false">IF(J149&gt;0,IF(J149&lt;5000,"PASS","FLAG - Review Price"),"FAIL - Zero Price")</f>
        <v>PASS</v>
      </c>
      <c r="Q149" s="20" t="str">
        <f aca="false">IF('Raw Catalog'!P147&lt;&gt;"","PASS","FAIL - No Image")</f>
        <v>PASS</v>
      </c>
      <c r="R149" s="20" t="str">
        <f aca="false">IF(F149&lt;&gt;"","PASS","FAIL - No Brand")</f>
        <v>PASS</v>
      </c>
      <c r="S149" s="20" t="str">
        <f aca="true">IF(K149="","FAIL - No Date",IF(TODAY()-DATEVALUE(K149)&lt;=180,"PASS","FLAG - Stale &gt;180d"))</f>
        <v>FLAG - Stale &gt;180d</v>
      </c>
      <c r="T149" s="20" t="n">
        <f aca="false">COUNTIF(M149:S149,"FAIL*")+COUNTIF(M149:S149,"FLAG*")</f>
        <v>1</v>
      </c>
      <c r="U149" s="20" t="str">
        <f aca="false">IF(T149=0,"CLEAN",IF(T149=1,"MINOR",IF(T149&lt;=3,"MODERATE","CRITICAL")))</f>
        <v>MINOR</v>
      </c>
      <c r="V149" s="20" t="str">
        <f aca="false">IF(U149="CLEAN","None",IF(U149="MINOR","Seller Notify",IF(U149="MODERATE","Listing Suspended","Immediate Removal")))</f>
        <v>Seller Notify</v>
      </c>
    </row>
    <row r="150" customFormat="false" ht="18" hidden="false" customHeight="true" outlineLevel="0" collapsed="false">
      <c r="A150" s="19" t="s">
        <v>6227</v>
      </c>
      <c r="B150" s="19" t="s">
        <v>1302</v>
      </c>
      <c r="C150" s="19" t="s">
        <v>159</v>
      </c>
      <c r="D150" s="19" t="s">
        <v>160</v>
      </c>
      <c r="E150" s="19" t="s">
        <v>161</v>
      </c>
      <c r="F150" s="19" t="s">
        <v>185</v>
      </c>
      <c r="G150" s="19" t="s">
        <v>1304</v>
      </c>
      <c r="H150" s="19" t="s">
        <v>1305</v>
      </c>
      <c r="I150" s="19" t="s">
        <v>1306</v>
      </c>
      <c r="J150" s="19" t="n">
        <v>146.5</v>
      </c>
      <c r="K150" s="19" t="s">
        <v>888</v>
      </c>
      <c r="L150" s="19"/>
      <c r="M150" s="20" t="str">
        <f aca="false">IF(G150&lt;&gt;"","PASS","FAIL - Missing UPC")</f>
        <v>PASS</v>
      </c>
      <c r="N150" s="20" t="str">
        <f aca="false">IF(AND(G150&lt;&gt;"",H150&lt;&gt;""),IF("0"&amp;G150=H150,"PASS","FAIL - GTIN Mismatch"),"SKIP")</f>
        <v>PASS</v>
      </c>
      <c r="O150" s="20" t="str">
        <f aca="false">IF(I150="","FAIL - No Title",IF(LEN(I150)&lt;=126,"PASS","FAIL - Title &gt;"&amp;126&amp;" chars"))</f>
        <v>PASS</v>
      </c>
      <c r="P150" s="20" t="str">
        <f aca="false">IF(J150&gt;0,IF(J150&lt;5000,"PASS","FLAG - Review Price"),"FAIL - Zero Price")</f>
        <v>PASS</v>
      </c>
      <c r="Q150" s="20" t="str">
        <f aca="false">IF('Raw Catalog'!P148&lt;&gt;"","PASS","FAIL - No Image")</f>
        <v>PASS</v>
      </c>
      <c r="R150" s="20" t="str">
        <f aca="false">IF(F150&lt;&gt;"","PASS","FAIL - No Brand")</f>
        <v>PASS</v>
      </c>
      <c r="S150" s="20" t="str">
        <f aca="true">IF(K150="","FAIL - No Date",IF(TODAY()-DATEVALUE(K150)&lt;=180,"PASS","FLAG - Stale &gt;180d"))</f>
        <v>FLAG - Stale &gt;180d</v>
      </c>
      <c r="T150" s="20" t="n">
        <f aca="false">COUNTIF(M150:S150,"FAIL*")+COUNTIF(M150:S150,"FLAG*")</f>
        <v>1</v>
      </c>
      <c r="U150" s="20" t="str">
        <f aca="false">IF(T150=0,"CLEAN",IF(T150=1,"MINOR",IF(T150&lt;=3,"MODERATE","CRITICAL")))</f>
        <v>MINOR</v>
      </c>
      <c r="V150" s="20" t="str">
        <f aca="false">IF(U150="CLEAN","None",IF(U150="MINOR","Seller Notify",IF(U150="MODERATE","Listing Suspended","Immediate Removal")))</f>
        <v>Seller Notify</v>
      </c>
    </row>
    <row r="151" customFormat="false" ht="18" hidden="false" customHeight="true" outlineLevel="0" collapsed="false">
      <c r="A151" s="19" t="s">
        <v>6228</v>
      </c>
      <c r="B151" s="19" t="s">
        <v>1309</v>
      </c>
      <c r="C151" s="19" t="s">
        <v>113</v>
      </c>
      <c r="D151" s="19" t="s">
        <v>114</v>
      </c>
      <c r="E151" s="19" t="s">
        <v>91</v>
      </c>
      <c r="F151" s="19" t="s">
        <v>780</v>
      </c>
      <c r="G151" s="19" t="s">
        <v>1311</v>
      </c>
      <c r="H151" s="19" t="s">
        <v>1312</v>
      </c>
      <c r="I151" s="19" t="s">
        <v>1313</v>
      </c>
      <c r="J151" s="19" t="n">
        <v>864.74</v>
      </c>
      <c r="K151" s="19" t="s">
        <v>541</v>
      </c>
      <c r="L151" s="19"/>
      <c r="M151" s="20" t="str">
        <f aca="false">IF(G151&lt;&gt;"","PASS","FAIL - Missing UPC")</f>
        <v>PASS</v>
      </c>
      <c r="N151" s="20" t="str">
        <f aca="false">IF(AND(G151&lt;&gt;"",H151&lt;&gt;""),IF("0"&amp;G151=H151,"PASS","FAIL - GTIN Mismatch"),"SKIP")</f>
        <v>PASS</v>
      </c>
      <c r="O151" s="20" t="str">
        <f aca="false">IF(I151="","FAIL - No Title",IF(LEN(I151)&lt;=126,"PASS","FAIL - Title &gt;"&amp;126&amp;" chars"))</f>
        <v>PASS</v>
      </c>
      <c r="P151" s="20" t="str">
        <f aca="false">IF(J151&gt;0,IF(J151&lt;5000,"PASS","FLAG - Review Price"),"FAIL - Zero Price")</f>
        <v>PASS</v>
      </c>
      <c r="Q151" s="20" t="str">
        <f aca="false">IF('Raw Catalog'!P149&lt;&gt;"","PASS","FAIL - No Image")</f>
        <v>PASS</v>
      </c>
      <c r="R151" s="20" t="str">
        <f aca="false">IF(F151&lt;&gt;"","PASS","FAIL - No Brand")</f>
        <v>PASS</v>
      </c>
      <c r="S151" s="20" t="str">
        <f aca="true">IF(K151="","FAIL - No Date",IF(TODAY()-DATEVALUE(K151)&lt;=180,"PASS","FLAG - Stale &gt;180d"))</f>
        <v>FLAG - Stale &gt;180d</v>
      </c>
      <c r="T151" s="20" t="n">
        <f aca="false">COUNTIF(M151:S151,"FAIL*")+COUNTIF(M151:S151,"FLAG*")</f>
        <v>1</v>
      </c>
      <c r="U151" s="20" t="str">
        <f aca="false">IF(T151=0,"CLEAN",IF(T151=1,"MINOR",IF(T151&lt;=3,"MODERATE","CRITICAL")))</f>
        <v>MINOR</v>
      </c>
      <c r="V151" s="20" t="str">
        <f aca="false">IF(U151="CLEAN","None",IF(U151="MINOR","Seller Notify",IF(U151="MODERATE","Listing Suspended","Immediate Removal")))</f>
        <v>Seller Notify</v>
      </c>
    </row>
    <row r="152" customFormat="false" ht="18" hidden="false" customHeight="true" outlineLevel="0" collapsed="false">
      <c r="A152" s="19" t="s">
        <v>6229</v>
      </c>
      <c r="B152" s="19" t="s">
        <v>1315</v>
      </c>
      <c r="C152" s="19" t="s">
        <v>255</v>
      </c>
      <c r="D152" s="19" t="s">
        <v>256</v>
      </c>
      <c r="E152" s="19" t="s">
        <v>161</v>
      </c>
      <c r="F152" s="19" t="s">
        <v>429</v>
      </c>
      <c r="G152" s="19" t="s">
        <v>1317</v>
      </c>
      <c r="H152" s="19" t="s">
        <v>1318</v>
      </c>
      <c r="I152" s="19" t="s">
        <v>458</v>
      </c>
      <c r="J152" s="19" t="n">
        <v>262.85</v>
      </c>
      <c r="K152" s="19" t="s">
        <v>731</v>
      </c>
      <c r="L152" s="19"/>
      <c r="M152" s="20" t="str">
        <f aca="false">IF(G152&lt;&gt;"","PASS","FAIL - Missing UPC")</f>
        <v>PASS</v>
      </c>
      <c r="N152" s="20" t="str">
        <f aca="false">IF(AND(G152&lt;&gt;"",H152&lt;&gt;""),IF("0"&amp;G152=H152,"PASS","FAIL - GTIN Mismatch"),"SKIP")</f>
        <v>PASS</v>
      </c>
      <c r="O152" s="20" t="str">
        <f aca="false">IF(I152="","FAIL - No Title",IF(LEN(I152)&lt;=126,"PASS","FAIL - Title &gt;"&amp;126&amp;" chars"))</f>
        <v>PASS</v>
      </c>
      <c r="P152" s="20" t="str">
        <f aca="false">IF(J152&gt;0,IF(J152&lt;5000,"PASS","FLAG - Review Price"),"FAIL - Zero Price")</f>
        <v>PASS</v>
      </c>
      <c r="Q152" s="20" t="str">
        <f aca="false">IF('Raw Catalog'!P150&lt;&gt;"","PASS","FAIL - No Image")</f>
        <v>PASS</v>
      </c>
      <c r="R152" s="20" t="str">
        <f aca="false">IF(F152&lt;&gt;"","PASS","FAIL - No Brand")</f>
        <v>PASS</v>
      </c>
      <c r="S152" s="20" t="str">
        <f aca="true">IF(K152="","FAIL - No Date",IF(TODAY()-DATEVALUE(K152)&lt;=180,"PASS","FLAG - Stale &gt;180d"))</f>
        <v>FLAG - Stale &gt;180d</v>
      </c>
      <c r="T152" s="20" t="n">
        <f aca="false">COUNTIF(M152:S152,"FAIL*")+COUNTIF(M152:S152,"FLAG*")</f>
        <v>1</v>
      </c>
      <c r="U152" s="20" t="str">
        <f aca="false">IF(T152=0,"CLEAN",IF(T152=1,"MINOR",IF(T152&lt;=3,"MODERATE","CRITICAL")))</f>
        <v>MINOR</v>
      </c>
      <c r="V152" s="20" t="str">
        <f aca="false">IF(U152="CLEAN","None",IF(U152="MINOR","Seller Notify",IF(U152="MODERATE","Listing Suspended","Immediate Removal")))</f>
        <v>Seller Notify</v>
      </c>
    </row>
    <row r="153" customFormat="false" ht="18" hidden="false" customHeight="true" outlineLevel="0" collapsed="false">
      <c r="A153" s="19" t="s">
        <v>6230</v>
      </c>
      <c r="B153" s="19" t="s">
        <v>1320</v>
      </c>
      <c r="C153" s="19" t="s">
        <v>48</v>
      </c>
      <c r="D153" s="19" t="s">
        <v>49</v>
      </c>
      <c r="E153" s="19" t="s">
        <v>79</v>
      </c>
      <c r="F153" s="19" t="s">
        <v>465</v>
      </c>
      <c r="G153" s="19" t="s">
        <v>1322</v>
      </c>
      <c r="H153" s="19" t="s">
        <v>1323</v>
      </c>
      <c r="I153" s="19" t="s">
        <v>1324</v>
      </c>
      <c r="J153" s="19" t="n">
        <v>1612.56</v>
      </c>
      <c r="K153" s="19" t="s">
        <v>157</v>
      </c>
      <c r="L153" s="19"/>
      <c r="M153" s="20" t="str">
        <f aca="false">IF(G153&lt;&gt;"","PASS","FAIL - Missing UPC")</f>
        <v>PASS</v>
      </c>
      <c r="N153" s="20" t="str">
        <f aca="false">IF(AND(G153&lt;&gt;"",H153&lt;&gt;""),IF("0"&amp;G153=H153,"PASS","FAIL - GTIN Mismatch"),"SKIP")</f>
        <v>PASS</v>
      </c>
      <c r="O153" s="20" t="str">
        <f aca="false">IF(I153="","FAIL - No Title",IF(LEN(I153)&lt;=126,"PASS","FAIL - Title &gt;"&amp;126&amp;" chars"))</f>
        <v>PASS</v>
      </c>
      <c r="P153" s="20" t="str">
        <f aca="false">IF(J153&gt;0,IF(J153&lt;5000,"PASS","FLAG - Review Price"),"FAIL - Zero Price")</f>
        <v>PASS</v>
      </c>
      <c r="Q153" s="20" t="str">
        <f aca="false">IF('Raw Catalog'!P151&lt;&gt;"","PASS","FAIL - No Image")</f>
        <v>PASS</v>
      </c>
      <c r="R153" s="20" t="str">
        <f aca="false">IF(F153&lt;&gt;"","PASS","FAIL - No Brand")</f>
        <v>PASS</v>
      </c>
      <c r="S153" s="20" t="str">
        <f aca="true">IF(K153="","FAIL - No Date",IF(TODAY()-DATEVALUE(K153)&lt;=180,"PASS","FLAG - Stale &gt;180d"))</f>
        <v>FLAG - Stale &gt;180d</v>
      </c>
      <c r="T153" s="20" t="n">
        <f aca="false">COUNTIF(M153:S153,"FAIL*")+COUNTIF(M153:S153,"FLAG*")</f>
        <v>1</v>
      </c>
      <c r="U153" s="20" t="str">
        <f aca="false">IF(T153=0,"CLEAN",IF(T153=1,"MINOR",IF(T153&lt;=3,"MODERATE","CRITICAL")))</f>
        <v>MINOR</v>
      </c>
      <c r="V153" s="20" t="str">
        <f aca="false">IF(U153="CLEAN","None",IF(U153="MINOR","Seller Notify",IF(U153="MODERATE","Listing Suspended","Immediate Removal")))</f>
        <v>Seller Notify</v>
      </c>
    </row>
    <row r="154" customFormat="false" ht="18" hidden="false" customHeight="true" outlineLevel="0" collapsed="false">
      <c r="A154" s="19" t="s">
        <v>6231</v>
      </c>
      <c r="B154" s="19" t="s">
        <v>1326</v>
      </c>
      <c r="C154" s="19" t="s">
        <v>173</v>
      </c>
      <c r="D154" s="19" t="s">
        <v>174</v>
      </c>
      <c r="E154" s="19" t="s">
        <v>79</v>
      </c>
      <c r="F154" s="19" t="s">
        <v>513</v>
      </c>
      <c r="G154" s="19" t="s">
        <v>1328</v>
      </c>
      <c r="H154" s="19" t="s">
        <v>1329</v>
      </c>
      <c r="I154" s="19" t="s">
        <v>1330</v>
      </c>
      <c r="J154" s="19" t="n">
        <v>2142.16</v>
      </c>
      <c r="K154" s="19" t="s">
        <v>1334</v>
      </c>
      <c r="L154" s="19"/>
      <c r="M154" s="20" t="str">
        <f aca="false">IF(G154&lt;&gt;"","PASS","FAIL - Missing UPC")</f>
        <v>PASS</v>
      </c>
      <c r="N154" s="20" t="str">
        <f aca="false">IF(AND(G154&lt;&gt;"",H154&lt;&gt;""),IF("0"&amp;G154=H154,"PASS","FAIL - GTIN Mismatch"),"SKIP")</f>
        <v>PASS</v>
      </c>
      <c r="O154" s="20" t="str">
        <f aca="false">IF(I154="","FAIL - No Title",IF(LEN(I154)&lt;=126,"PASS","FAIL - Title &gt;"&amp;126&amp;" chars"))</f>
        <v>PASS</v>
      </c>
      <c r="P154" s="20" t="str">
        <f aca="false">IF(J154&gt;0,IF(J154&lt;5000,"PASS","FLAG - Review Price"),"FAIL - Zero Price")</f>
        <v>PASS</v>
      </c>
      <c r="Q154" s="20" t="str">
        <f aca="false">IF('Raw Catalog'!P152&lt;&gt;"","PASS","FAIL - No Image")</f>
        <v>PASS</v>
      </c>
      <c r="R154" s="20" t="str">
        <f aca="false">IF(F154&lt;&gt;"","PASS","FAIL - No Brand")</f>
        <v>PASS</v>
      </c>
      <c r="S154" s="20" t="str">
        <f aca="true">IF(K154="","FAIL - No Date",IF(TODAY()-DATEVALUE(K154)&lt;=180,"PASS","FLAG - Stale &gt;180d"))</f>
        <v>FLAG - Stale &gt;180d</v>
      </c>
      <c r="T154" s="20" t="n">
        <f aca="false">COUNTIF(M154:S154,"FAIL*")+COUNTIF(M154:S154,"FLAG*")</f>
        <v>1</v>
      </c>
      <c r="U154" s="20" t="str">
        <f aca="false">IF(T154=0,"CLEAN",IF(T154=1,"MINOR",IF(T154&lt;=3,"MODERATE","CRITICAL")))</f>
        <v>MINOR</v>
      </c>
      <c r="V154" s="20" t="str">
        <f aca="false">IF(U154="CLEAN","None",IF(U154="MINOR","Seller Notify",IF(U154="MODERATE","Listing Suspended","Immediate Removal")))</f>
        <v>Seller Notify</v>
      </c>
    </row>
    <row r="155" customFormat="false" ht="18" hidden="false" customHeight="true" outlineLevel="0" collapsed="false">
      <c r="A155" s="19" t="s">
        <v>6232</v>
      </c>
      <c r="B155" s="19" t="s">
        <v>1335</v>
      </c>
      <c r="C155" s="19" t="s">
        <v>159</v>
      </c>
      <c r="D155" s="19" t="s">
        <v>160</v>
      </c>
      <c r="E155" s="19" t="s">
        <v>50</v>
      </c>
      <c r="F155" s="19" t="s">
        <v>503</v>
      </c>
      <c r="G155" s="19" t="s">
        <v>1337</v>
      </c>
      <c r="H155" s="19" t="s">
        <v>1338</v>
      </c>
      <c r="I155" s="19" t="s">
        <v>1339</v>
      </c>
      <c r="J155" s="19" t="n">
        <v>301.38</v>
      </c>
      <c r="K155" s="19" t="s">
        <v>1343</v>
      </c>
      <c r="L155" s="19"/>
      <c r="M155" s="20" t="str">
        <f aca="false">IF(G155&lt;&gt;"","PASS","FAIL - Missing UPC")</f>
        <v>PASS</v>
      </c>
      <c r="N155" s="20" t="str">
        <f aca="false">IF(AND(G155&lt;&gt;"",H155&lt;&gt;""),IF("0"&amp;G155=H155,"PASS","FAIL - GTIN Mismatch"),"SKIP")</f>
        <v>PASS</v>
      </c>
      <c r="O155" s="20" t="str">
        <f aca="false">IF(I155="","FAIL - No Title",IF(LEN(I155)&lt;=126,"PASS","FAIL - Title &gt;"&amp;126&amp;" chars"))</f>
        <v>PASS</v>
      </c>
      <c r="P155" s="20" t="str">
        <f aca="false">IF(J155&gt;0,IF(J155&lt;5000,"PASS","FLAG - Review Price"),"FAIL - Zero Price")</f>
        <v>PASS</v>
      </c>
      <c r="Q155" s="20" t="str">
        <f aca="false">IF('Raw Catalog'!P153&lt;&gt;"","PASS","FAIL - No Image")</f>
        <v>PASS</v>
      </c>
      <c r="R155" s="20" t="str">
        <f aca="false">IF(F155&lt;&gt;"","PASS","FAIL - No Brand")</f>
        <v>PASS</v>
      </c>
      <c r="S155" s="20" t="str">
        <f aca="true">IF(K155="","FAIL - No Date",IF(TODAY()-DATEVALUE(K155)&lt;=180,"PASS","FLAG - Stale &gt;180d"))</f>
        <v>FLAG - Stale &gt;180d</v>
      </c>
      <c r="T155" s="20" t="n">
        <f aca="false">COUNTIF(M155:S155,"FAIL*")+COUNTIF(M155:S155,"FLAG*")</f>
        <v>1</v>
      </c>
      <c r="U155" s="20" t="str">
        <f aca="false">IF(T155=0,"CLEAN",IF(T155=1,"MINOR",IF(T155&lt;=3,"MODERATE","CRITICAL")))</f>
        <v>MINOR</v>
      </c>
      <c r="V155" s="20" t="str">
        <f aca="false">IF(U155="CLEAN","None",IF(U155="MINOR","Seller Notify",IF(U155="MODERATE","Listing Suspended","Immediate Removal")))</f>
        <v>Seller Notify</v>
      </c>
    </row>
    <row r="156" customFormat="false" ht="18" hidden="false" customHeight="true" outlineLevel="0" collapsed="false">
      <c r="A156" s="19" t="s">
        <v>6233</v>
      </c>
      <c r="B156" s="19" t="s">
        <v>1344</v>
      </c>
      <c r="C156" s="19" t="s">
        <v>48</v>
      </c>
      <c r="D156" s="19" t="s">
        <v>49</v>
      </c>
      <c r="E156" s="19" t="s">
        <v>91</v>
      </c>
      <c r="F156" s="19" t="s">
        <v>92</v>
      </c>
      <c r="G156" s="19" t="s">
        <v>1346</v>
      </c>
      <c r="H156" s="19" t="s">
        <v>1347</v>
      </c>
      <c r="I156" s="19" t="s">
        <v>1348</v>
      </c>
      <c r="J156" s="19" t="n">
        <v>3837.4</v>
      </c>
      <c r="K156" s="19" t="s">
        <v>1352</v>
      </c>
      <c r="L156" s="19"/>
      <c r="M156" s="20" t="str">
        <f aca="false">IF(G156&lt;&gt;"","PASS","FAIL - Missing UPC")</f>
        <v>PASS</v>
      </c>
      <c r="N156" s="20" t="str">
        <f aca="false">IF(AND(G156&lt;&gt;"",H156&lt;&gt;""),IF("0"&amp;G156=H156,"PASS","FAIL - GTIN Mismatch"),"SKIP")</f>
        <v>PASS</v>
      </c>
      <c r="O156" s="20" t="str">
        <f aca="false">IF(I156="","FAIL - No Title",IF(LEN(I156)&lt;=126,"PASS","FAIL - Title &gt;"&amp;126&amp;" chars"))</f>
        <v>PASS</v>
      </c>
      <c r="P156" s="20" t="str">
        <f aca="false">IF(J156&gt;0,IF(J156&lt;5000,"PASS","FLAG - Review Price"),"FAIL - Zero Price")</f>
        <v>PASS</v>
      </c>
      <c r="Q156" s="20" t="str">
        <f aca="false">IF('Raw Catalog'!P154&lt;&gt;"","PASS","FAIL - No Image")</f>
        <v>PASS</v>
      </c>
      <c r="R156" s="20" t="str">
        <f aca="false">IF(F156&lt;&gt;"","PASS","FAIL - No Brand")</f>
        <v>PASS</v>
      </c>
      <c r="S156" s="20" t="str">
        <f aca="true">IF(K156="","FAIL - No Date",IF(TODAY()-DATEVALUE(K156)&lt;=180,"PASS","FLAG - Stale &gt;180d"))</f>
        <v>FLAG - Stale &gt;180d</v>
      </c>
      <c r="T156" s="20" t="n">
        <f aca="false">COUNTIF(M156:S156,"FAIL*")+COUNTIF(M156:S156,"FLAG*")</f>
        <v>1</v>
      </c>
      <c r="U156" s="20" t="str">
        <f aca="false">IF(T156=0,"CLEAN",IF(T156=1,"MINOR",IF(T156&lt;=3,"MODERATE","CRITICAL")))</f>
        <v>MINOR</v>
      </c>
      <c r="V156" s="20" t="str">
        <f aca="false">IF(U156="CLEAN","None",IF(U156="MINOR","Seller Notify",IF(U156="MODERATE","Listing Suspended","Immediate Removal")))</f>
        <v>Seller Notify</v>
      </c>
    </row>
    <row r="157" customFormat="false" ht="18" hidden="false" customHeight="true" outlineLevel="0" collapsed="false">
      <c r="A157" s="19" t="s">
        <v>6234</v>
      </c>
      <c r="B157" s="19" t="s">
        <v>1353</v>
      </c>
      <c r="C157" s="19" t="s">
        <v>48</v>
      </c>
      <c r="D157" s="19" t="s">
        <v>49</v>
      </c>
      <c r="E157" s="19" t="s">
        <v>91</v>
      </c>
      <c r="F157" s="19" t="s">
        <v>780</v>
      </c>
      <c r="G157" s="19" t="s">
        <v>1355</v>
      </c>
      <c r="H157" s="19" t="s">
        <v>1356</v>
      </c>
      <c r="I157" s="19" t="s">
        <v>1357</v>
      </c>
      <c r="J157" s="19" t="n">
        <v>2134.69</v>
      </c>
      <c r="K157" s="19" t="s">
        <v>697</v>
      </c>
      <c r="L157" s="19"/>
      <c r="M157" s="20" t="str">
        <f aca="false">IF(G157&lt;&gt;"","PASS","FAIL - Missing UPC")</f>
        <v>PASS</v>
      </c>
      <c r="N157" s="20" t="str">
        <f aca="false">IF(AND(G157&lt;&gt;"",H157&lt;&gt;""),IF("0"&amp;G157=H157,"PASS","FAIL - GTIN Mismatch"),"SKIP")</f>
        <v>PASS</v>
      </c>
      <c r="O157" s="20" t="str">
        <f aca="false">IF(I157="","FAIL - No Title",IF(LEN(I157)&lt;=126,"PASS","FAIL - Title &gt;"&amp;126&amp;" chars"))</f>
        <v>PASS</v>
      </c>
      <c r="P157" s="20" t="str">
        <f aca="false">IF(J157&gt;0,IF(J157&lt;5000,"PASS","FLAG - Review Price"),"FAIL - Zero Price")</f>
        <v>PASS</v>
      </c>
      <c r="Q157" s="20" t="str">
        <f aca="false">IF('Raw Catalog'!P155&lt;&gt;"","PASS","FAIL - No Image")</f>
        <v>PASS</v>
      </c>
      <c r="R157" s="20" t="str">
        <f aca="false">IF(F157&lt;&gt;"","PASS","FAIL - No Brand")</f>
        <v>PASS</v>
      </c>
      <c r="S157" s="20" t="str">
        <f aca="true">IF(K157="","FAIL - No Date",IF(TODAY()-DATEVALUE(K157)&lt;=180,"PASS","FLAG - Stale &gt;180d"))</f>
        <v>FLAG - Stale &gt;180d</v>
      </c>
      <c r="T157" s="20" t="n">
        <f aca="false">COUNTIF(M157:S157,"FAIL*")+COUNTIF(M157:S157,"FLAG*")</f>
        <v>1</v>
      </c>
      <c r="U157" s="20" t="str">
        <f aca="false">IF(T157=0,"CLEAN",IF(T157=1,"MINOR",IF(T157&lt;=3,"MODERATE","CRITICAL")))</f>
        <v>MINOR</v>
      </c>
      <c r="V157" s="20" t="str">
        <f aca="false">IF(U157="CLEAN","None",IF(U157="MINOR","Seller Notify",IF(U157="MODERATE","Listing Suspended","Immediate Removal")))</f>
        <v>Seller Notify</v>
      </c>
    </row>
    <row r="158" customFormat="false" ht="18" hidden="false" customHeight="true" outlineLevel="0" collapsed="false">
      <c r="A158" s="19" t="s">
        <v>6235</v>
      </c>
      <c r="B158" s="19" t="s">
        <v>1359</v>
      </c>
      <c r="C158" s="19" t="s">
        <v>173</v>
      </c>
      <c r="D158" s="19" t="s">
        <v>174</v>
      </c>
      <c r="E158" s="19" t="s">
        <v>65</v>
      </c>
      <c r="F158" s="19" t="s">
        <v>438</v>
      </c>
      <c r="G158" s="19" t="s">
        <v>1361</v>
      </c>
      <c r="H158" s="19" t="s">
        <v>1362</v>
      </c>
      <c r="I158" s="19" t="s">
        <v>1363</v>
      </c>
      <c r="J158" s="19" t="n">
        <v>383.83</v>
      </c>
      <c r="K158" s="19" t="s">
        <v>1366</v>
      </c>
      <c r="L158" s="19"/>
      <c r="M158" s="20" t="str">
        <f aca="false">IF(G158&lt;&gt;"","PASS","FAIL - Missing UPC")</f>
        <v>PASS</v>
      </c>
      <c r="N158" s="20" t="str">
        <f aca="false">IF(AND(G158&lt;&gt;"",H158&lt;&gt;""),IF("0"&amp;G158=H158,"PASS","FAIL - GTIN Mismatch"),"SKIP")</f>
        <v>PASS</v>
      </c>
      <c r="O158" s="20" t="str">
        <f aca="false">IF(I158="","FAIL - No Title",IF(LEN(I158)&lt;=126,"PASS","FAIL - Title &gt;"&amp;126&amp;" chars"))</f>
        <v>PASS</v>
      </c>
      <c r="P158" s="20" t="str">
        <f aca="false">IF(J158&gt;0,IF(J158&lt;5000,"PASS","FLAG - Review Price"),"FAIL - Zero Price")</f>
        <v>PASS</v>
      </c>
      <c r="Q158" s="20" t="str">
        <f aca="false">IF('Raw Catalog'!P156&lt;&gt;"","PASS","FAIL - No Image")</f>
        <v>PASS</v>
      </c>
      <c r="R158" s="20" t="str">
        <f aca="false">IF(F158&lt;&gt;"","PASS","FAIL - No Brand")</f>
        <v>PASS</v>
      </c>
      <c r="S158" s="20" t="str">
        <f aca="true">IF(K158="","FAIL - No Date",IF(TODAY()-DATEVALUE(K158)&lt;=180,"PASS","FLAG - Stale &gt;180d"))</f>
        <v>FLAG - Stale &gt;180d</v>
      </c>
      <c r="T158" s="20" t="n">
        <f aca="false">COUNTIF(M158:S158,"FAIL*")+COUNTIF(M158:S158,"FLAG*")</f>
        <v>1</v>
      </c>
      <c r="U158" s="20" t="str">
        <f aca="false">IF(T158=0,"CLEAN",IF(T158=1,"MINOR",IF(T158&lt;=3,"MODERATE","CRITICAL")))</f>
        <v>MINOR</v>
      </c>
      <c r="V158" s="20" t="str">
        <f aca="false">IF(U158="CLEAN","None",IF(U158="MINOR","Seller Notify",IF(U158="MODERATE","Listing Suspended","Immediate Removal")))</f>
        <v>Seller Notify</v>
      </c>
    </row>
    <row r="159" customFormat="false" ht="18" hidden="false" customHeight="true" outlineLevel="0" collapsed="false">
      <c r="A159" s="19" t="s">
        <v>6236</v>
      </c>
      <c r="B159" s="19" t="s">
        <v>1367</v>
      </c>
      <c r="C159" s="19" t="s">
        <v>113</v>
      </c>
      <c r="D159" s="19" t="s">
        <v>114</v>
      </c>
      <c r="E159" s="19" t="s">
        <v>50</v>
      </c>
      <c r="F159" s="19" t="s">
        <v>115</v>
      </c>
      <c r="G159" s="19" t="s">
        <v>1369</v>
      </c>
      <c r="H159" s="19" t="s">
        <v>1370</v>
      </c>
      <c r="I159" s="19" t="s">
        <v>1371</v>
      </c>
      <c r="J159" s="19" t="n">
        <v>280.68</v>
      </c>
      <c r="K159" s="19" t="s">
        <v>930</v>
      </c>
      <c r="L159" s="21" t="s">
        <v>1107</v>
      </c>
      <c r="M159" s="20" t="str">
        <f aca="false">IF(G159&lt;&gt;"","PASS","FAIL - Missing UPC")</f>
        <v>PASS</v>
      </c>
      <c r="N159" s="20" t="str">
        <f aca="false">IF(AND(G159&lt;&gt;"",H159&lt;&gt;""),IF("0"&amp;G159=H159,"PASS","FAIL - GTIN Mismatch"),"SKIP")</f>
        <v>PASS</v>
      </c>
      <c r="O159" s="20" t="str">
        <f aca="false">IF(I159="","FAIL - No Title",IF(LEN(I159)&lt;=126,"PASS","FAIL - Title &gt;"&amp;126&amp;" chars"))</f>
        <v>PASS</v>
      </c>
      <c r="P159" s="20" t="str">
        <f aca="false">IF(J159&gt;0,IF(J159&lt;5000,"PASS","FLAG - Review Price"),"FAIL - Zero Price")</f>
        <v>PASS</v>
      </c>
      <c r="Q159" s="20" t="str">
        <f aca="false">IF('Raw Catalog'!P157&lt;&gt;"","PASS","FAIL - No Image")</f>
        <v>PASS</v>
      </c>
      <c r="R159" s="20" t="str">
        <f aca="false">IF(F159&lt;&gt;"","PASS","FAIL - No Brand")</f>
        <v>PASS</v>
      </c>
      <c r="S159" s="20" t="str">
        <f aca="true">IF(K159="","FAIL - No Date",IF(TODAY()-DATEVALUE(K159)&lt;=180,"PASS","FLAG - Stale &gt;180d"))</f>
        <v>FLAG - Stale &gt;180d</v>
      </c>
      <c r="T159" s="20" t="n">
        <f aca="false">COUNTIF(M159:S159,"FAIL*")+COUNTIF(M159:S159,"FLAG*")</f>
        <v>1</v>
      </c>
      <c r="U159" s="20" t="str">
        <f aca="false">IF(T159=0,"CLEAN",IF(T159=1,"MINOR",IF(T159&lt;=3,"MODERATE","CRITICAL")))</f>
        <v>MINOR</v>
      </c>
      <c r="V159" s="20" t="str">
        <f aca="false">IF(U159="CLEAN","None",IF(U159="MINOR","Seller Notify",IF(U159="MODERATE","Listing Suspended","Immediate Removal")))</f>
        <v>Seller Notify</v>
      </c>
    </row>
    <row r="160" customFormat="false" ht="18" hidden="false" customHeight="true" outlineLevel="0" collapsed="false">
      <c r="A160" s="19" t="s">
        <v>6237</v>
      </c>
      <c r="B160" s="19" t="s">
        <v>1373</v>
      </c>
      <c r="C160" s="19" t="s">
        <v>125</v>
      </c>
      <c r="D160" s="19" t="s">
        <v>126</v>
      </c>
      <c r="E160" s="19" t="s">
        <v>50</v>
      </c>
      <c r="F160" s="19" t="s">
        <v>503</v>
      </c>
      <c r="G160" s="19" t="s">
        <v>1375</v>
      </c>
      <c r="H160" s="19" t="s">
        <v>1376</v>
      </c>
      <c r="I160" s="19" t="s">
        <v>1377</v>
      </c>
      <c r="J160" s="19" t="n">
        <v>1053.81</v>
      </c>
      <c r="K160" s="19" t="s">
        <v>147</v>
      </c>
      <c r="L160" s="19"/>
      <c r="M160" s="20" t="str">
        <f aca="false">IF(G160&lt;&gt;"","PASS","FAIL - Missing UPC")</f>
        <v>PASS</v>
      </c>
      <c r="N160" s="20" t="str">
        <f aca="false">IF(AND(G160&lt;&gt;"",H160&lt;&gt;""),IF("0"&amp;G160=H160,"PASS","FAIL - GTIN Mismatch"),"SKIP")</f>
        <v>PASS</v>
      </c>
      <c r="O160" s="20" t="str">
        <f aca="false">IF(I160="","FAIL - No Title",IF(LEN(I160)&lt;=126,"PASS","FAIL - Title &gt;"&amp;126&amp;" chars"))</f>
        <v>PASS</v>
      </c>
      <c r="P160" s="20" t="str">
        <f aca="false">IF(J160&gt;0,IF(J160&lt;5000,"PASS","FLAG - Review Price"),"FAIL - Zero Price")</f>
        <v>PASS</v>
      </c>
      <c r="Q160" s="20" t="str">
        <f aca="false">IF('Raw Catalog'!P158&lt;&gt;"","PASS","FAIL - No Image")</f>
        <v>PASS</v>
      </c>
      <c r="R160" s="20" t="str">
        <f aca="false">IF(F160&lt;&gt;"","PASS","FAIL - No Brand")</f>
        <v>PASS</v>
      </c>
      <c r="S160" s="20" t="str">
        <f aca="true">IF(K160="","FAIL - No Date",IF(TODAY()-DATEVALUE(K160)&lt;=180,"PASS","FLAG - Stale &gt;180d"))</f>
        <v>FLAG - Stale &gt;180d</v>
      </c>
      <c r="T160" s="20" t="n">
        <f aca="false">COUNTIF(M160:S160,"FAIL*")+COUNTIF(M160:S160,"FLAG*")</f>
        <v>1</v>
      </c>
      <c r="U160" s="20" t="str">
        <f aca="false">IF(T160=0,"CLEAN",IF(T160=1,"MINOR",IF(T160&lt;=3,"MODERATE","CRITICAL")))</f>
        <v>MINOR</v>
      </c>
      <c r="V160" s="20" t="str">
        <f aca="false">IF(U160="CLEAN","None",IF(U160="MINOR","Seller Notify",IF(U160="MODERATE","Listing Suspended","Immediate Removal")))</f>
        <v>Seller Notify</v>
      </c>
    </row>
    <row r="161" customFormat="false" ht="18" hidden="false" customHeight="true" outlineLevel="0" collapsed="false">
      <c r="A161" s="19" t="s">
        <v>6238</v>
      </c>
      <c r="B161" s="19" t="s">
        <v>1379</v>
      </c>
      <c r="C161" s="19" t="s">
        <v>159</v>
      </c>
      <c r="D161" s="19" t="s">
        <v>160</v>
      </c>
      <c r="E161" s="19" t="s">
        <v>91</v>
      </c>
      <c r="F161" s="19"/>
      <c r="G161" s="19" t="s">
        <v>1381</v>
      </c>
      <c r="H161" s="19" t="s">
        <v>1382</v>
      </c>
      <c r="I161" s="19" t="s">
        <v>1383</v>
      </c>
      <c r="J161" s="19" t="n">
        <v>2666.53</v>
      </c>
      <c r="K161" s="19" t="s">
        <v>1384</v>
      </c>
      <c r="L161" s="21" t="s">
        <v>89</v>
      </c>
      <c r="M161" s="20" t="str">
        <f aca="false">IF(G161&lt;&gt;"","PASS","FAIL - Missing UPC")</f>
        <v>PASS</v>
      </c>
      <c r="N161" s="20" t="str">
        <f aca="false">IF(AND(G161&lt;&gt;"",H161&lt;&gt;""),IF("0"&amp;G161=H161,"PASS","FAIL - GTIN Mismatch"),"SKIP")</f>
        <v>PASS</v>
      </c>
      <c r="O161" s="20" t="str">
        <f aca="false">IF(I161="","FAIL - No Title",IF(LEN(I161)&lt;=126,"PASS","FAIL - Title &gt;"&amp;126&amp;" chars"))</f>
        <v>PASS</v>
      </c>
      <c r="P161" s="20" t="str">
        <f aca="false">IF(J161&gt;0,IF(J161&lt;5000,"PASS","FLAG - Review Price"),"FAIL - Zero Price")</f>
        <v>PASS</v>
      </c>
      <c r="Q161" s="20" t="str">
        <f aca="false">IF('Raw Catalog'!P159&lt;&gt;"","PASS","FAIL - No Image")</f>
        <v>PASS</v>
      </c>
      <c r="R161" s="20" t="str">
        <f aca="false">IF(F161&lt;&gt;"","PASS","FAIL - No Brand")</f>
        <v>FAIL - No Brand</v>
      </c>
      <c r="S161" s="20" t="str">
        <f aca="true">IF(K161="","FAIL - No Date",IF(TODAY()-DATEVALUE(K161)&lt;=180,"PASS","FLAG - Stale &gt;180d"))</f>
        <v>FLAG - Stale &gt;180d</v>
      </c>
      <c r="T161" s="20" t="n">
        <f aca="false">COUNTIF(M161:S161,"FAIL*")+COUNTIF(M161:S161,"FLAG*")</f>
        <v>2</v>
      </c>
      <c r="U161" s="20" t="str">
        <f aca="false">IF(T161=0,"CLEAN",IF(T161=1,"MINOR",IF(T161&lt;=3,"MODERATE","CRITICAL")))</f>
        <v>MODERATE</v>
      </c>
      <c r="V161" s="20" t="str">
        <f aca="false">IF(U161="CLEAN","None",IF(U161="MINOR","Seller Notify",IF(U161="MODERATE","Listing Suspended","Immediate Removal")))</f>
        <v>Listing Suspended</v>
      </c>
    </row>
    <row r="162" customFormat="false" ht="18" hidden="false" customHeight="true" outlineLevel="0" collapsed="false">
      <c r="A162" s="19" t="s">
        <v>6239</v>
      </c>
      <c r="B162" s="19" t="s">
        <v>1385</v>
      </c>
      <c r="C162" s="19" t="s">
        <v>255</v>
      </c>
      <c r="D162" s="19" t="s">
        <v>256</v>
      </c>
      <c r="E162" s="19" t="s">
        <v>161</v>
      </c>
      <c r="F162" s="19" t="s">
        <v>185</v>
      </c>
      <c r="G162" s="19" t="s">
        <v>1387</v>
      </c>
      <c r="H162" s="19" t="s">
        <v>1388</v>
      </c>
      <c r="I162" s="19" t="s">
        <v>1389</v>
      </c>
      <c r="J162" s="19" t="n">
        <v>295.07</v>
      </c>
      <c r="K162" s="19" t="s">
        <v>1393</v>
      </c>
      <c r="L162" s="19"/>
      <c r="M162" s="20" t="str">
        <f aca="false">IF(G162&lt;&gt;"","PASS","FAIL - Missing UPC")</f>
        <v>PASS</v>
      </c>
      <c r="N162" s="20" t="str">
        <f aca="false">IF(AND(G162&lt;&gt;"",H162&lt;&gt;""),IF("0"&amp;G162=H162,"PASS","FAIL - GTIN Mismatch"),"SKIP")</f>
        <v>PASS</v>
      </c>
      <c r="O162" s="20" t="str">
        <f aca="false">IF(I162="","FAIL - No Title",IF(LEN(I162)&lt;=126,"PASS","FAIL - Title &gt;"&amp;126&amp;" chars"))</f>
        <v>PASS</v>
      </c>
      <c r="P162" s="20" t="str">
        <f aca="false">IF(J162&gt;0,IF(J162&lt;5000,"PASS","FLAG - Review Price"),"FAIL - Zero Price")</f>
        <v>PASS</v>
      </c>
      <c r="Q162" s="20" t="str">
        <f aca="false">IF('Raw Catalog'!P160&lt;&gt;"","PASS","FAIL - No Image")</f>
        <v>PASS</v>
      </c>
      <c r="R162" s="20" t="str">
        <f aca="false">IF(F162&lt;&gt;"","PASS","FAIL - No Brand")</f>
        <v>PASS</v>
      </c>
      <c r="S162" s="20" t="str">
        <f aca="true">IF(K162="","FAIL - No Date",IF(TODAY()-DATEVALUE(K162)&lt;=180,"PASS","FLAG - Stale &gt;180d"))</f>
        <v>FLAG - Stale &gt;180d</v>
      </c>
      <c r="T162" s="20" t="n">
        <f aca="false">COUNTIF(M162:S162,"FAIL*")+COUNTIF(M162:S162,"FLAG*")</f>
        <v>1</v>
      </c>
      <c r="U162" s="20" t="str">
        <f aca="false">IF(T162=0,"CLEAN",IF(T162=1,"MINOR",IF(T162&lt;=3,"MODERATE","CRITICAL")))</f>
        <v>MINOR</v>
      </c>
      <c r="V162" s="20" t="str">
        <f aca="false">IF(U162="CLEAN","None",IF(U162="MINOR","Seller Notify",IF(U162="MODERATE","Listing Suspended","Immediate Removal")))</f>
        <v>Seller Notify</v>
      </c>
    </row>
    <row r="163" customFormat="false" ht="18" hidden="false" customHeight="true" outlineLevel="0" collapsed="false">
      <c r="A163" s="19" t="s">
        <v>6240</v>
      </c>
      <c r="B163" s="19" t="s">
        <v>1394</v>
      </c>
      <c r="C163" s="19" t="s">
        <v>48</v>
      </c>
      <c r="D163" s="19" t="s">
        <v>49</v>
      </c>
      <c r="E163" s="19" t="s">
        <v>65</v>
      </c>
      <c r="F163" s="19" t="s">
        <v>371</v>
      </c>
      <c r="G163" s="19" t="s">
        <v>1396</v>
      </c>
      <c r="H163" s="19" t="s">
        <v>1397</v>
      </c>
      <c r="I163" s="19" t="s">
        <v>1398</v>
      </c>
      <c r="J163" s="19" t="n">
        <v>133.15</v>
      </c>
      <c r="K163" s="19" t="s">
        <v>978</v>
      </c>
      <c r="L163" s="19"/>
      <c r="M163" s="20" t="str">
        <f aca="false">IF(G163&lt;&gt;"","PASS","FAIL - Missing UPC")</f>
        <v>PASS</v>
      </c>
      <c r="N163" s="20" t="str">
        <f aca="false">IF(AND(G163&lt;&gt;"",H163&lt;&gt;""),IF("0"&amp;G163=H163,"PASS","FAIL - GTIN Mismatch"),"SKIP")</f>
        <v>PASS</v>
      </c>
      <c r="O163" s="20" t="str">
        <f aca="false">IF(I163="","FAIL - No Title",IF(LEN(I163)&lt;=126,"PASS","FAIL - Title &gt;"&amp;126&amp;" chars"))</f>
        <v>PASS</v>
      </c>
      <c r="P163" s="20" t="str">
        <f aca="false">IF(J163&gt;0,IF(J163&lt;5000,"PASS","FLAG - Review Price"),"FAIL - Zero Price")</f>
        <v>PASS</v>
      </c>
      <c r="Q163" s="20" t="str">
        <f aca="false">IF('Raw Catalog'!P161&lt;&gt;"","PASS","FAIL - No Image")</f>
        <v>PASS</v>
      </c>
      <c r="R163" s="20" t="str">
        <f aca="false">IF(F163&lt;&gt;"","PASS","FAIL - No Brand")</f>
        <v>PASS</v>
      </c>
      <c r="S163" s="20" t="str">
        <f aca="true">IF(K163="","FAIL - No Date",IF(TODAY()-DATEVALUE(K163)&lt;=180,"PASS","FLAG - Stale &gt;180d"))</f>
        <v>FLAG - Stale &gt;180d</v>
      </c>
      <c r="T163" s="20" t="n">
        <f aca="false">COUNTIF(M163:S163,"FAIL*")+COUNTIF(M163:S163,"FLAG*")</f>
        <v>1</v>
      </c>
      <c r="U163" s="20" t="str">
        <f aca="false">IF(T163=0,"CLEAN",IF(T163=1,"MINOR",IF(T163&lt;=3,"MODERATE","CRITICAL")))</f>
        <v>MINOR</v>
      </c>
      <c r="V163" s="20" t="str">
        <f aca="false">IF(U163="CLEAN","None",IF(U163="MINOR","Seller Notify",IF(U163="MODERATE","Listing Suspended","Immediate Removal")))</f>
        <v>Seller Notify</v>
      </c>
    </row>
    <row r="164" customFormat="false" ht="18" hidden="false" customHeight="true" outlineLevel="0" collapsed="false">
      <c r="A164" s="19" t="s">
        <v>6241</v>
      </c>
      <c r="B164" s="19" t="s">
        <v>1401</v>
      </c>
      <c r="C164" s="19" t="s">
        <v>159</v>
      </c>
      <c r="D164" s="19" t="s">
        <v>160</v>
      </c>
      <c r="E164" s="19" t="s">
        <v>161</v>
      </c>
      <c r="F164" s="19" t="s">
        <v>429</v>
      </c>
      <c r="G164" s="19" t="s">
        <v>1403</v>
      </c>
      <c r="H164" s="19" t="s">
        <v>1404</v>
      </c>
      <c r="I164" s="19" t="s">
        <v>1405</v>
      </c>
      <c r="J164" s="19" t="n">
        <v>428.63</v>
      </c>
      <c r="K164" s="19" t="s">
        <v>408</v>
      </c>
      <c r="L164" s="21" t="s">
        <v>325</v>
      </c>
      <c r="M164" s="20" t="str">
        <f aca="false">IF(G164&lt;&gt;"","PASS","FAIL - Missing UPC")</f>
        <v>PASS</v>
      </c>
      <c r="N164" s="20" t="str">
        <f aca="false">IF(AND(G164&lt;&gt;"",H164&lt;&gt;""),IF("0"&amp;G164=H164,"PASS","FAIL - GTIN Mismatch"),"SKIP")</f>
        <v>PASS</v>
      </c>
      <c r="O164" s="20" t="str">
        <f aca="false">IF(I164="","FAIL - No Title",IF(LEN(I164)&lt;=126,"PASS","FAIL - Title &gt;"&amp;126&amp;" chars"))</f>
        <v>PASS</v>
      </c>
      <c r="P164" s="20" t="str">
        <f aca="false">IF(J164&gt;0,IF(J164&lt;5000,"PASS","FLAG - Review Price"),"FAIL - Zero Price")</f>
        <v>PASS</v>
      </c>
      <c r="Q164" s="20" t="str">
        <f aca="false">IF('Raw Catalog'!P162&lt;&gt;"","PASS","FAIL - No Image")</f>
        <v>PASS</v>
      </c>
      <c r="R164" s="20" t="str">
        <f aca="false">IF(F164&lt;&gt;"","PASS","FAIL - No Brand")</f>
        <v>PASS</v>
      </c>
      <c r="S164" s="20" t="str">
        <f aca="true">IF(K164="","FAIL - No Date",IF(TODAY()-DATEVALUE(K164)&lt;=180,"PASS","FLAG - Stale &gt;180d"))</f>
        <v>FLAG - Stale &gt;180d</v>
      </c>
      <c r="T164" s="20" t="n">
        <f aca="false">COUNTIF(M164:S164,"FAIL*")+COUNTIF(M164:S164,"FLAG*")</f>
        <v>1</v>
      </c>
      <c r="U164" s="20" t="str">
        <f aca="false">IF(T164=0,"CLEAN",IF(T164=1,"MINOR",IF(T164&lt;=3,"MODERATE","CRITICAL")))</f>
        <v>MINOR</v>
      </c>
      <c r="V164" s="20" t="str">
        <f aca="false">IF(U164="CLEAN","None",IF(U164="MINOR","Seller Notify",IF(U164="MODERATE","Listing Suspended","Immediate Removal")))</f>
        <v>Seller Notify</v>
      </c>
    </row>
    <row r="165" customFormat="false" ht="18" hidden="false" customHeight="true" outlineLevel="0" collapsed="false">
      <c r="A165" s="19" t="s">
        <v>6242</v>
      </c>
      <c r="B165" s="19" t="s">
        <v>1410</v>
      </c>
      <c r="C165" s="19" t="s">
        <v>159</v>
      </c>
      <c r="D165" s="19" t="s">
        <v>160</v>
      </c>
      <c r="E165" s="19" t="s">
        <v>65</v>
      </c>
      <c r="F165" s="19" t="s">
        <v>245</v>
      </c>
      <c r="G165" s="19" t="s">
        <v>1412</v>
      </c>
      <c r="H165" s="19" t="s">
        <v>1413</v>
      </c>
      <c r="I165" s="19" t="s">
        <v>1414</v>
      </c>
      <c r="J165" s="19" t="n">
        <v>105.75</v>
      </c>
      <c r="K165" s="19" t="s">
        <v>1417</v>
      </c>
      <c r="L165" s="19"/>
      <c r="M165" s="20" t="str">
        <f aca="false">IF(G165&lt;&gt;"","PASS","FAIL - Missing UPC")</f>
        <v>PASS</v>
      </c>
      <c r="N165" s="20" t="str">
        <f aca="false">IF(AND(G165&lt;&gt;"",H165&lt;&gt;""),IF("0"&amp;G165=H165,"PASS","FAIL - GTIN Mismatch"),"SKIP")</f>
        <v>PASS</v>
      </c>
      <c r="O165" s="20" t="str">
        <f aca="false">IF(I165="","FAIL - No Title",IF(LEN(I165)&lt;=126,"PASS","FAIL - Title &gt;"&amp;126&amp;" chars"))</f>
        <v>PASS</v>
      </c>
      <c r="P165" s="20" t="str">
        <f aca="false">IF(J165&gt;0,IF(J165&lt;5000,"PASS","FLAG - Review Price"),"FAIL - Zero Price")</f>
        <v>PASS</v>
      </c>
      <c r="Q165" s="20" t="str">
        <f aca="false">IF('Raw Catalog'!P163&lt;&gt;"","PASS","FAIL - No Image")</f>
        <v>PASS</v>
      </c>
      <c r="R165" s="20" t="str">
        <f aca="false">IF(F165&lt;&gt;"","PASS","FAIL - No Brand")</f>
        <v>PASS</v>
      </c>
      <c r="S165" s="20" t="str">
        <f aca="true">IF(K165="","FAIL - No Date",IF(TODAY()-DATEVALUE(K165)&lt;=180,"PASS","FLAG - Stale &gt;180d"))</f>
        <v>FLAG - Stale &gt;180d</v>
      </c>
      <c r="T165" s="20" t="n">
        <f aca="false">COUNTIF(M165:S165,"FAIL*")+COUNTIF(M165:S165,"FLAG*")</f>
        <v>1</v>
      </c>
      <c r="U165" s="20" t="str">
        <f aca="false">IF(T165=0,"CLEAN",IF(T165=1,"MINOR",IF(T165&lt;=3,"MODERATE","CRITICAL")))</f>
        <v>MINOR</v>
      </c>
      <c r="V165" s="20" t="str">
        <f aca="false">IF(U165="CLEAN","None",IF(U165="MINOR","Seller Notify",IF(U165="MODERATE","Listing Suspended","Immediate Removal")))</f>
        <v>Seller Notify</v>
      </c>
    </row>
    <row r="166" customFormat="false" ht="18" hidden="false" customHeight="true" outlineLevel="0" collapsed="false">
      <c r="A166" s="19" t="s">
        <v>6243</v>
      </c>
      <c r="B166" s="19" t="s">
        <v>1418</v>
      </c>
      <c r="C166" s="19" t="s">
        <v>125</v>
      </c>
      <c r="D166" s="19" t="s">
        <v>126</v>
      </c>
      <c r="E166" s="19" t="s">
        <v>50</v>
      </c>
      <c r="F166" s="19" t="s">
        <v>503</v>
      </c>
      <c r="G166" s="19" t="s">
        <v>1420</v>
      </c>
      <c r="H166" s="19" t="s">
        <v>1421</v>
      </c>
      <c r="I166" s="19" t="s">
        <v>1422</v>
      </c>
      <c r="J166" s="19" t="n">
        <v>303.54</v>
      </c>
      <c r="K166" s="19" t="s">
        <v>1423</v>
      </c>
      <c r="L166" s="19"/>
      <c r="M166" s="20" t="str">
        <f aca="false">IF(G166&lt;&gt;"","PASS","FAIL - Missing UPC")</f>
        <v>PASS</v>
      </c>
      <c r="N166" s="20" t="str">
        <f aca="false">IF(AND(G166&lt;&gt;"",H166&lt;&gt;""),IF("0"&amp;G166=H166,"PASS","FAIL - GTIN Mismatch"),"SKIP")</f>
        <v>PASS</v>
      </c>
      <c r="O166" s="20" t="str">
        <f aca="false">IF(I166="","FAIL - No Title",IF(LEN(I166)&lt;=126,"PASS","FAIL - Title &gt;"&amp;126&amp;" chars"))</f>
        <v>PASS</v>
      </c>
      <c r="P166" s="20" t="str">
        <f aca="false">IF(J166&gt;0,IF(J166&lt;5000,"PASS","FLAG - Review Price"),"FAIL - Zero Price")</f>
        <v>PASS</v>
      </c>
      <c r="Q166" s="20" t="str">
        <f aca="false">IF('Raw Catalog'!P164&lt;&gt;"","PASS","FAIL - No Image")</f>
        <v>PASS</v>
      </c>
      <c r="R166" s="20" t="str">
        <f aca="false">IF(F166&lt;&gt;"","PASS","FAIL - No Brand")</f>
        <v>PASS</v>
      </c>
      <c r="S166" s="20" t="str">
        <f aca="true">IF(K166="","FAIL - No Date",IF(TODAY()-DATEVALUE(K166)&lt;=180,"PASS","FLAG - Stale &gt;180d"))</f>
        <v>FLAG - Stale &gt;180d</v>
      </c>
      <c r="T166" s="20" t="n">
        <f aca="false">COUNTIF(M166:S166,"FAIL*")+COUNTIF(M166:S166,"FLAG*")</f>
        <v>1</v>
      </c>
      <c r="U166" s="20" t="str">
        <f aca="false">IF(T166=0,"CLEAN",IF(T166=1,"MINOR",IF(T166&lt;=3,"MODERATE","CRITICAL")))</f>
        <v>MINOR</v>
      </c>
      <c r="V166" s="20" t="str">
        <f aca="false">IF(U166="CLEAN","None",IF(U166="MINOR","Seller Notify",IF(U166="MODERATE","Listing Suspended","Immediate Removal")))</f>
        <v>Seller Notify</v>
      </c>
    </row>
    <row r="167" customFormat="false" ht="18" hidden="false" customHeight="true" outlineLevel="0" collapsed="false">
      <c r="A167" s="19" t="s">
        <v>6244</v>
      </c>
      <c r="B167" s="19" t="s">
        <v>1424</v>
      </c>
      <c r="C167" s="19" t="s">
        <v>77</v>
      </c>
      <c r="D167" s="19" t="s">
        <v>78</v>
      </c>
      <c r="E167" s="19" t="s">
        <v>79</v>
      </c>
      <c r="F167" s="19" t="s">
        <v>127</v>
      </c>
      <c r="G167" s="19" t="s">
        <v>1426</v>
      </c>
      <c r="H167" s="19" t="s">
        <v>1427</v>
      </c>
      <c r="I167" s="19" t="s">
        <v>1428</v>
      </c>
      <c r="J167" s="19" t="n">
        <v>1816.16</v>
      </c>
      <c r="K167" s="19" t="s">
        <v>1202</v>
      </c>
      <c r="L167" s="19"/>
      <c r="M167" s="20" t="str">
        <f aca="false">IF(G167&lt;&gt;"","PASS","FAIL - Missing UPC")</f>
        <v>PASS</v>
      </c>
      <c r="N167" s="20" t="str">
        <f aca="false">IF(AND(G167&lt;&gt;"",H167&lt;&gt;""),IF("0"&amp;G167=H167,"PASS","FAIL - GTIN Mismatch"),"SKIP")</f>
        <v>PASS</v>
      </c>
      <c r="O167" s="20" t="str">
        <f aca="false">IF(I167="","FAIL - No Title",IF(LEN(I167)&lt;=126,"PASS","FAIL - Title &gt;"&amp;126&amp;" chars"))</f>
        <v>PASS</v>
      </c>
      <c r="P167" s="20" t="str">
        <f aca="false">IF(J167&gt;0,IF(J167&lt;5000,"PASS","FLAG - Review Price"),"FAIL - Zero Price")</f>
        <v>PASS</v>
      </c>
      <c r="Q167" s="20" t="str">
        <f aca="false">IF('Raw Catalog'!P165&lt;&gt;"","PASS","FAIL - No Image")</f>
        <v>PASS</v>
      </c>
      <c r="R167" s="20" t="str">
        <f aca="false">IF(F167&lt;&gt;"","PASS","FAIL - No Brand")</f>
        <v>PASS</v>
      </c>
      <c r="S167" s="20" t="str">
        <f aca="true">IF(K167="","FAIL - No Date",IF(TODAY()-DATEVALUE(K167)&lt;=180,"PASS","FLAG - Stale &gt;180d"))</f>
        <v>FLAG - Stale &gt;180d</v>
      </c>
      <c r="T167" s="20" t="n">
        <f aca="false">COUNTIF(M167:S167,"FAIL*")+COUNTIF(M167:S167,"FLAG*")</f>
        <v>1</v>
      </c>
      <c r="U167" s="20" t="str">
        <f aca="false">IF(T167=0,"CLEAN",IF(T167=1,"MINOR",IF(T167&lt;=3,"MODERATE","CRITICAL")))</f>
        <v>MINOR</v>
      </c>
      <c r="V167" s="20" t="str">
        <f aca="false">IF(U167="CLEAN","None",IF(U167="MINOR","Seller Notify",IF(U167="MODERATE","Listing Suspended","Immediate Removal")))</f>
        <v>Seller Notify</v>
      </c>
    </row>
    <row r="168" customFormat="false" ht="18" hidden="false" customHeight="true" outlineLevel="0" collapsed="false">
      <c r="A168" s="19" t="s">
        <v>6245</v>
      </c>
      <c r="B168" s="19" t="s">
        <v>1430</v>
      </c>
      <c r="C168" s="19" t="s">
        <v>125</v>
      </c>
      <c r="D168" s="19" t="s">
        <v>126</v>
      </c>
      <c r="E168" s="19" t="s">
        <v>161</v>
      </c>
      <c r="F168" s="19" t="s">
        <v>185</v>
      </c>
      <c r="G168" s="19" t="s">
        <v>1432</v>
      </c>
      <c r="H168" s="19" t="s">
        <v>1433</v>
      </c>
      <c r="I168" s="19" t="s">
        <v>1434</v>
      </c>
      <c r="J168" s="19" t="n">
        <v>204.44</v>
      </c>
      <c r="K168" s="19" t="s">
        <v>1435</v>
      </c>
      <c r="L168" s="19"/>
      <c r="M168" s="20" t="str">
        <f aca="false">IF(G168&lt;&gt;"","PASS","FAIL - Missing UPC")</f>
        <v>PASS</v>
      </c>
      <c r="N168" s="20" t="str">
        <f aca="false">IF(AND(G168&lt;&gt;"",H168&lt;&gt;""),IF("0"&amp;G168=H168,"PASS","FAIL - GTIN Mismatch"),"SKIP")</f>
        <v>PASS</v>
      </c>
      <c r="O168" s="20" t="str">
        <f aca="false">IF(I168="","FAIL - No Title",IF(LEN(I168)&lt;=126,"PASS","FAIL - Title &gt;"&amp;126&amp;" chars"))</f>
        <v>PASS</v>
      </c>
      <c r="P168" s="20" t="str">
        <f aca="false">IF(J168&gt;0,IF(J168&lt;5000,"PASS","FLAG - Review Price"),"FAIL - Zero Price")</f>
        <v>PASS</v>
      </c>
      <c r="Q168" s="20" t="str">
        <f aca="false">IF('Raw Catalog'!P166&lt;&gt;"","PASS","FAIL - No Image")</f>
        <v>PASS</v>
      </c>
      <c r="R168" s="20" t="str">
        <f aca="false">IF(F168&lt;&gt;"","PASS","FAIL - No Brand")</f>
        <v>PASS</v>
      </c>
      <c r="S168" s="20" t="str">
        <f aca="true">IF(K168="","FAIL - No Date",IF(TODAY()-DATEVALUE(K168)&lt;=180,"PASS","FLAG - Stale &gt;180d"))</f>
        <v>FLAG - Stale &gt;180d</v>
      </c>
      <c r="T168" s="20" t="n">
        <f aca="false">COUNTIF(M168:S168,"FAIL*")+COUNTIF(M168:S168,"FLAG*")</f>
        <v>1</v>
      </c>
      <c r="U168" s="20" t="str">
        <f aca="false">IF(T168=0,"CLEAN",IF(T168=1,"MINOR",IF(T168&lt;=3,"MODERATE","CRITICAL")))</f>
        <v>MINOR</v>
      </c>
      <c r="V168" s="20" t="str">
        <f aca="false">IF(U168="CLEAN","None",IF(U168="MINOR","Seller Notify",IF(U168="MODERATE","Listing Suspended","Immediate Removal")))</f>
        <v>Seller Notify</v>
      </c>
    </row>
    <row r="169" customFormat="false" ht="18" hidden="false" customHeight="true" outlineLevel="0" collapsed="false">
      <c r="A169" s="19" t="s">
        <v>6246</v>
      </c>
      <c r="B169" s="19" t="s">
        <v>1436</v>
      </c>
      <c r="C169" s="19" t="s">
        <v>63</v>
      </c>
      <c r="D169" s="19" t="s">
        <v>64</v>
      </c>
      <c r="E169" s="19" t="s">
        <v>79</v>
      </c>
      <c r="F169" s="19" t="s">
        <v>127</v>
      </c>
      <c r="G169" s="19" t="s">
        <v>1438</v>
      </c>
      <c r="H169" s="19" t="s">
        <v>1439</v>
      </c>
      <c r="I169" s="19" t="s">
        <v>1440</v>
      </c>
      <c r="J169" s="19" t="n">
        <v>1396.97</v>
      </c>
      <c r="K169" s="19" t="s">
        <v>215</v>
      </c>
      <c r="L169" s="19"/>
      <c r="M169" s="20" t="str">
        <f aca="false">IF(G169&lt;&gt;"","PASS","FAIL - Missing UPC")</f>
        <v>PASS</v>
      </c>
      <c r="N169" s="20" t="str">
        <f aca="false">IF(AND(G169&lt;&gt;"",H169&lt;&gt;""),IF("0"&amp;G169=H169,"PASS","FAIL - GTIN Mismatch"),"SKIP")</f>
        <v>PASS</v>
      </c>
      <c r="O169" s="20" t="str">
        <f aca="false">IF(I169="","FAIL - No Title",IF(LEN(I169)&lt;=126,"PASS","FAIL - Title &gt;"&amp;126&amp;" chars"))</f>
        <v>PASS</v>
      </c>
      <c r="P169" s="20" t="str">
        <f aca="false">IF(J169&gt;0,IF(J169&lt;5000,"PASS","FLAG - Review Price"),"FAIL - Zero Price")</f>
        <v>PASS</v>
      </c>
      <c r="Q169" s="20" t="str">
        <f aca="false">IF('Raw Catalog'!P167&lt;&gt;"","PASS","FAIL - No Image")</f>
        <v>PASS</v>
      </c>
      <c r="R169" s="20" t="str">
        <f aca="false">IF(F169&lt;&gt;"","PASS","FAIL - No Brand")</f>
        <v>PASS</v>
      </c>
      <c r="S169" s="20" t="str">
        <f aca="true">IF(K169="","FAIL - No Date",IF(TODAY()-DATEVALUE(K169)&lt;=180,"PASS","FLAG - Stale &gt;180d"))</f>
        <v>FLAG - Stale &gt;180d</v>
      </c>
      <c r="T169" s="20" t="n">
        <f aca="false">COUNTIF(M169:S169,"FAIL*")+COUNTIF(M169:S169,"FLAG*")</f>
        <v>1</v>
      </c>
      <c r="U169" s="20" t="str">
        <f aca="false">IF(T169=0,"CLEAN",IF(T169=1,"MINOR",IF(T169&lt;=3,"MODERATE","CRITICAL")))</f>
        <v>MINOR</v>
      </c>
      <c r="V169" s="20" t="str">
        <f aca="false">IF(U169="CLEAN","None",IF(U169="MINOR","Seller Notify",IF(U169="MODERATE","Listing Suspended","Immediate Removal")))</f>
        <v>Seller Notify</v>
      </c>
    </row>
    <row r="170" customFormat="false" ht="18" hidden="false" customHeight="true" outlineLevel="0" collapsed="false">
      <c r="A170" s="19" t="s">
        <v>6247</v>
      </c>
      <c r="B170" s="19" t="s">
        <v>1442</v>
      </c>
      <c r="C170" s="19" t="s">
        <v>48</v>
      </c>
      <c r="D170" s="19" t="s">
        <v>49</v>
      </c>
      <c r="E170" s="19" t="s">
        <v>91</v>
      </c>
      <c r="F170" s="19" t="s">
        <v>780</v>
      </c>
      <c r="G170" s="19" t="s">
        <v>1444</v>
      </c>
      <c r="H170" s="19" t="s">
        <v>1445</v>
      </c>
      <c r="I170" s="19" t="s">
        <v>1446</v>
      </c>
      <c r="J170" s="19" t="n">
        <v>2584.49</v>
      </c>
      <c r="K170" s="19" t="s">
        <v>1450</v>
      </c>
      <c r="L170" s="19"/>
      <c r="M170" s="20" t="str">
        <f aca="false">IF(G170&lt;&gt;"","PASS","FAIL - Missing UPC")</f>
        <v>PASS</v>
      </c>
      <c r="N170" s="20" t="str">
        <f aca="false">IF(AND(G170&lt;&gt;"",H170&lt;&gt;""),IF("0"&amp;G170=H170,"PASS","FAIL - GTIN Mismatch"),"SKIP")</f>
        <v>PASS</v>
      </c>
      <c r="O170" s="20" t="str">
        <f aca="false">IF(I170="","FAIL - No Title",IF(LEN(I170)&lt;=126,"PASS","FAIL - Title &gt;"&amp;126&amp;" chars"))</f>
        <v>PASS</v>
      </c>
      <c r="P170" s="20" t="str">
        <f aca="false">IF(J170&gt;0,IF(J170&lt;5000,"PASS","FLAG - Review Price"),"FAIL - Zero Price")</f>
        <v>PASS</v>
      </c>
      <c r="Q170" s="20" t="str">
        <f aca="false">IF('Raw Catalog'!P168&lt;&gt;"","PASS","FAIL - No Image")</f>
        <v>PASS</v>
      </c>
      <c r="R170" s="20" t="str">
        <f aca="false">IF(F170&lt;&gt;"","PASS","FAIL - No Brand")</f>
        <v>PASS</v>
      </c>
      <c r="S170" s="20" t="str">
        <f aca="true">IF(K170="","FAIL - No Date",IF(TODAY()-DATEVALUE(K170)&lt;=180,"PASS","FLAG - Stale &gt;180d"))</f>
        <v>FLAG - Stale &gt;180d</v>
      </c>
      <c r="T170" s="20" t="n">
        <f aca="false">COUNTIF(M170:S170,"FAIL*")+COUNTIF(M170:S170,"FLAG*")</f>
        <v>1</v>
      </c>
      <c r="U170" s="20" t="str">
        <f aca="false">IF(T170=0,"CLEAN",IF(T170=1,"MINOR",IF(T170&lt;=3,"MODERATE","CRITICAL")))</f>
        <v>MINOR</v>
      </c>
      <c r="V170" s="20" t="str">
        <f aca="false">IF(U170="CLEAN","None",IF(U170="MINOR","Seller Notify",IF(U170="MODERATE","Listing Suspended","Immediate Removal")))</f>
        <v>Seller Notify</v>
      </c>
    </row>
    <row r="171" customFormat="false" ht="18" hidden="false" customHeight="true" outlineLevel="0" collapsed="false">
      <c r="A171" s="19" t="s">
        <v>6248</v>
      </c>
      <c r="B171" s="19" t="s">
        <v>1451</v>
      </c>
      <c r="C171" s="19" t="s">
        <v>125</v>
      </c>
      <c r="D171" s="19" t="s">
        <v>126</v>
      </c>
      <c r="E171" s="19" t="s">
        <v>79</v>
      </c>
      <c r="F171" s="19" t="s">
        <v>196</v>
      </c>
      <c r="G171" s="19" t="s">
        <v>1453</v>
      </c>
      <c r="H171" s="19" t="s">
        <v>1454</v>
      </c>
      <c r="I171" s="19" t="s">
        <v>1455</v>
      </c>
      <c r="J171" s="19" t="n">
        <v>740.25</v>
      </c>
      <c r="K171" s="19" t="s">
        <v>1459</v>
      </c>
      <c r="L171" s="19"/>
      <c r="M171" s="20" t="str">
        <f aca="false">IF(G171&lt;&gt;"","PASS","FAIL - Missing UPC")</f>
        <v>PASS</v>
      </c>
      <c r="N171" s="20" t="str">
        <f aca="false">IF(AND(G171&lt;&gt;"",H171&lt;&gt;""),IF("0"&amp;G171=H171,"PASS","FAIL - GTIN Mismatch"),"SKIP")</f>
        <v>PASS</v>
      </c>
      <c r="O171" s="20" t="str">
        <f aca="false">IF(I171="","FAIL - No Title",IF(LEN(I171)&lt;=126,"PASS","FAIL - Title &gt;"&amp;126&amp;" chars"))</f>
        <v>PASS</v>
      </c>
      <c r="P171" s="20" t="str">
        <f aca="false">IF(J171&gt;0,IF(J171&lt;5000,"PASS","FLAG - Review Price"),"FAIL - Zero Price")</f>
        <v>PASS</v>
      </c>
      <c r="Q171" s="20" t="str">
        <f aca="false">IF('Raw Catalog'!P169&lt;&gt;"","PASS","FAIL - No Image")</f>
        <v>PASS</v>
      </c>
      <c r="R171" s="20" t="str">
        <f aca="false">IF(F171&lt;&gt;"","PASS","FAIL - No Brand")</f>
        <v>PASS</v>
      </c>
      <c r="S171" s="20" t="str">
        <f aca="true">IF(K171="","FAIL - No Date",IF(TODAY()-DATEVALUE(K171)&lt;=180,"PASS","FLAG - Stale &gt;180d"))</f>
        <v>FLAG - Stale &gt;180d</v>
      </c>
      <c r="T171" s="20" t="n">
        <f aca="false">COUNTIF(M171:S171,"FAIL*")+COUNTIF(M171:S171,"FLAG*")</f>
        <v>1</v>
      </c>
      <c r="U171" s="20" t="str">
        <f aca="false">IF(T171=0,"CLEAN",IF(T171=1,"MINOR",IF(T171&lt;=3,"MODERATE","CRITICAL")))</f>
        <v>MINOR</v>
      </c>
      <c r="V171" s="20" t="str">
        <f aca="false">IF(U171="CLEAN","None",IF(U171="MINOR","Seller Notify",IF(U171="MODERATE","Listing Suspended","Immediate Removal")))</f>
        <v>Seller Notify</v>
      </c>
    </row>
    <row r="172" customFormat="false" ht="18" hidden="false" customHeight="true" outlineLevel="0" collapsed="false">
      <c r="A172" s="19" t="s">
        <v>6249</v>
      </c>
      <c r="B172" s="19" t="s">
        <v>1460</v>
      </c>
      <c r="C172" s="19" t="s">
        <v>77</v>
      </c>
      <c r="D172" s="19" t="s">
        <v>78</v>
      </c>
      <c r="E172" s="19" t="s">
        <v>91</v>
      </c>
      <c r="F172" s="19" t="s">
        <v>419</v>
      </c>
      <c r="G172" s="19" t="s">
        <v>1462</v>
      </c>
      <c r="H172" s="19" t="s">
        <v>1463</v>
      </c>
      <c r="I172" s="19" t="s">
        <v>1464</v>
      </c>
      <c r="J172" s="19" t="n">
        <v>3728.58</v>
      </c>
      <c r="K172" s="19" t="s">
        <v>806</v>
      </c>
      <c r="L172" s="21" t="s">
        <v>1014</v>
      </c>
      <c r="M172" s="20" t="str">
        <f aca="false">IF(G172&lt;&gt;"","PASS","FAIL - Missing UPC")</f>
        <v>PASS</v>
      </c>
      <c r="N172" s="20" t="str">
        <f aca="false">IF(AND(G172&lt;&gt;"",H172&lt;&gt;""),IF("0"&amp;G172=H172,"PASS","FAIL - GTIN Mismatch"),"SKIP")</f>
        <v>PASS</v>
      </c>
      <c r="O172" s="20" t="str">
        <f aca="false">IF(I172="","FAIL - No Title",IF(LEN(I172)&lt;=126,"PASS","FAIL - Title &gt;"&amp;126&amp;" chars"))</f>
        <v>PASS</v>
      </c>
      <c r="P172" s="20" t="str">
        <f aca="false">IF(J172&gt;0,IF(J172&lt;5000,"PASS","FLAG - Review Price"),"FAIL - Zero Price")</f>
        <v>PASS</v>
      </c>
      <c r="Q172" s="20" t="str">
        <f aca="false">IF('Raw Catalog'!P170&lt;&gt;"","PASS","FAIL - No Image")</f>
        <v>FAIL - No Image</v>
      </c>
      <c r="R172" s="20" t="str">
        <f aca="false">IF(F172&lt;&gt;"","PASS","FAIL - No Brand")</f>
        <v>PASS</v>
      </c>
      <c r="S172" s="20" t="str">
        <f aca="true">IF(K172="","FAIL - No Date",IF(TODAY()-DATEVALUE(K172)&lt;=180,"PASS","FLAG - Stale &gt;180d"))</f>
        <v>FLAG - Stale &gt;180d</v>
      </c>
      <c r="T172" s="20" t="n">
        <f aca="false">COUNTIF(M172:S172,"FAIL*")+COUNTIF(M172:S172,"FLAG*")</f>
        <v>2</v>
      </c>
      <c r="U172" s="20" t="str">
        <f aca="false">IF(T172=0,"CLEAN",IF(T172=1,"MINOR",IF(T172&lt;=3,"MODERATE","CRITICAL")))</f>
        <v>MODERATE</v>
      </c>
      <c r="V172" s="20" t="str">
        <f aca="false">IF(U172="CLEAN","None",IF(U172="MINOR","Seller Notify",IF(U172="MODERATE","Listing Suspended","Immediate Removal")))</f>
        <v>Listing Suspended</v>
      </c>
    </row>
    <row r="173" customFormat="false" ht="18" hidden="false" customHeight="true" outlineLevel="0" collapsed="false">
      <c r="A173" s="19" t="s">
        <v>6250</v>
      </c>
      <c r="B173" s="19" t="s">
        <v>1465</v>
      </c>
      <c r="C173" s="19" t="s">
        <v>48</v>
      </c>
      <c r="D173" s="19" t="s">
        <v>49</v>
      </c>
      <c r="E173" s="19" t="s">
        <v>65</v>
      </c>
      <c r="F173" s="19" t="s">
        <v>390</v>
      </c>
      <c r="G173" s="19" t="s">
        <v>1467</v>
      </c>
      <c r="H173" s="19" t="s">
        <v>1468</v>
      </c>
      <c r="I173" s="19" t="s">
        <v>1469</v>
      </c>
      <c r="J173" s="19" t="n">
        <v>366.12</v>
      </c>
      <c r="K173" s="19" t="s">
        <v>1450</v>
      </c>
      <c r="L173" s="19"/>
      <c r="M173" s="20" t="str">
        <f aca="false">IF(G173&lt;&gt;"","PASS","FAIL - Missing UPC")</f>
        <v>PASS</v>
      </c>
      <c r="N173" s="20" t="str">
        <f aca="false">IF(AND(G173&lt;&gt;"",H173&lt;&gt;""),IF("0"&amp;G173=H173,"PASS","FAIL - GTIN Mismatch"),"SKIP")</f>
        <v>PASS</v>
      </c>
      <c r="O173" s="20" t="str">
        <f aca="false">IF(I173="","FAIL - No Title",IF(LEN(I173)&lt;=126,"PASS","FAIL - Title &gt;"&amp;126&amp;" chars"))</f>
        <v>PASS</v>
      </c>
      <c r="P173" s="20" t="str">
        <f aca="false">IF(J173&gt;0,IF(J173&lt;5000,"PASS","FLAG - Review Price"),"FAIL - Zero Price")</f>
        <v>PASS</v>
      </c>
      <c r="Q173" s="20" t="str">
        <f aca="false">IF('Raw Catalog'!P171&lt;&gt;"","PASS","FAIL - No Image")</f>
        <v>PASS</v>
      </c>
      <c r="R173" s="20" t="str">
        <f aca="false">IF(F173&lt;&gt;"","PASS","FAIL - No Brand")</f>
        <v>PASS</v>
      </c>
      <c r="S173" s="20" t="str">
        <f aca="true">IF(K173="","FAIL - No Date",IF(TODAY()-DATEVALUE(K173)&lt;=180,"PASS","FLAG - Stale &gt;180d"))</f>
        <v>FLAG - Stale &gt;180d</v>
      </c>
      <c r="T173" s="20" t="n">
        <f aca="false">COUNTIF(M173:S173,"FAIL*")+COUNTIF(M173:S173,"FLAG*")</f>
        <v>1</v>
      </c>
      <c r="U173" s="20" t="str">
        <f aca="false">IF(T173=0,"CLEAN",IF(T173=1,"MINOR",IF(T173&lt;=3,"MODERATE","CRITICAL")))</f>
        <v>MINOR</v>
      </c>
      <c r="V173" s="20" t="str">
        <f aca="false">IF(U173="CLEAN","None",IF(U173="MINOR","Seller Notify",IF(U173="MODERATE","Listing Suspended","Immediate Removal")))</f>
        <v>Seller Notify</v>
      </c>
    </row>
    <row r="174" customFormat="false" ht="18" hidden="false" customHeight="true" outlineLevel="0" collapsed="false">
      <c r="A174" s="19" t="s">
        <v>6251</v>
      </c>
      <c r="B174" s="19" t="s">
        <v>1472</v>
      </c>
      <c r="C174" s="19" t="s">
        <v>77</v>
      </c>
      <c r="D174" s="19" t="s">
        <v>78</v>
      </c>
      <c r="E174" s="19" t="s">
        <v>161</v>
      </c>
      <c r="F174" s="19" t="s">
        <v>429</v>
      </c>
      <c r="G174" s="19" t="s">
        <v>1474</v>
      </c>
      <c r="H174" s="19" t="s">
        <v>1475</v>
      </c>
      <c r="I174" s="19" t="s">
        <v>1476</v>
      </c>
      <c r="J174" s="19" t="n">
        <v>192.38</v>
      </c>
      <c r="K174" s="19" t="s">
        <v>1409</v>
      </c>
      <c r="L174" s="19"/>
      <c r="M174" s="20" t="str">
        <f aca="false">IF(G174&lt;&gt;"","PASS","FAIL - Missing UPC")</f>
        <v>PASS</v>
      </c>
      <c r="N174" s="20" t="str">
        <f aca="false">IF(AND(G174&lt;&gt;"",H174&lt;&gt;""),IF("0"&amp;G174=H174,"PASS","FAIL - GTIN Mismatch"),"SKIP")</f>
        <v>PASS</v>
      </c>
      <c r="O174" s="20" t="str">
        <f aca="false">IF(I174="","FAIL - No Title",IF(LEN(I174)&lt;=126,"PASS","FAIL - Title &gt;"&amp;126&amp;" chars"))</f>
        <v>PASS</v>
      </c>
      <c r="P174" s="20" t="str">
        <f aca="false">IF(J174&gt;0,IF(J174&lt;5000,"PASS","FLAG - Review Price"),"FAIL - Zero Price")</f>
        <v>PASS</v>
      </c>
      <c r="Q174" s="20" t="str">
        <f aca="false">IF('Raw Catalog'!P172&lt;&gt;"","PASS","FAIL - No Image")</f>
        <v>PASS</v>
      </c>
      <c r="R174" s="20" t="str">
        <f aca="false">IF(F174&lt;&gt;"","PASS","FAIL - No Brand")</f>
        <v>PASS</v>
      </c>
      <c r="S174" s="20" t="str">
        <f aca="true">IF(K174="","FAIL - No Date",IF(TODAY()-DATEVALUE(K174)&lt;=180,"PASS","FLAG - Stale &gt;180d"))</f>
        <v>FLAG - Stale &gt;180d</v>
      </c>
      <c r="T174" s="20" t="n">
        <f aca="false">COUNTIF(M174:S174,"FAIL*")+COUNTIF(M174:S174,"FLAG*")</f>
        <v>1</v>
      </c>
      <c r="U174" s="20" t="str">
        <f aca="false">IF(T174=0,"CLEAN",IF(T174=1,"MINOR",IF(T174&lt;=3,"MODERATE","CRITICAL")))</f>
        <v>MINOR</v>
      </c>
      <c r="V174" s="20" t="str">
        <f aca="false">IF(U174="CLEAN","None",IF(U174="MINOR","Seller Notify",IF(U174="MODERATE","Listing Suspended","Immediate Removal")))</f>
        <v>Seller Notify</v>
      </c>
    </row>
    <row r="175" customFormat="false" ht="18" hidden="false" customHeight="true" outlineLevel="0" collapsed="false">
      <c r="A175" s="19" t="s">
        <v>6252</v>
      </c>
      <c r="B175" s="19" t="s">
        <v>1480</v>
      </c>
      <c r="C175" s="19" t="s">
        <v>77</v>
      </c>
      <c r="D175" s="19" t="s">
        <v>78</v>
      </c>
      <c r="E175" s="19" t="s">
        <v>161</v>
      </c>
      <c r="F175" s="19" t="s">
        <v>822</v>
      </c>
      <c r="G175" s="19" t="s">
        <v>1482</v>
      </c>
      <c r="H175" s="19" t="s">
        <v>1483</v>
      </c>
      <c r="I175" s="19" t="s">
        <v>825</v>
      </c>
      <c r="J175" s="19" t="n">
        <v>274.27</v>
      </c>
      <c r="K175" s="19" t="s">
        <v>687</v>
      </c>
      <c r="L175" s="19"/>
      <c r="M175" s="20" t="str">
        <f aca="false">IF(G175&lt;&gt;"","PASS","FAIL - Missing UPC")</f>
        <v>PASS</v>
      </c>
      <c r="N175" s="20" t="str">
        <f aca="false">IF(AND(G175&lt;&gt;"",H175&lt;&gt;""),IF("0"&amp;G175=H175,"PASS","FAIL - GTIN Mismatch"),"SKIP")</f>
        <v>PASS</v>
      </c>
      <c r="O175" s="20" t="str">
        <f aca="false">IF(I175="","FAIL - No Title",IF(LEN(I175)&lt;=126,"PASS","FAIL - Title &gt;"&amp;126&amp;" chars"))</f>
        <v>PASS</v>
      </c>
      <c r="P175" s="20" t="str">
        <f aca="false">IF(J175&gt;0,IF(J175&lt;5000,"PASS","FLAG - Review Price"),"FAIL - Zero Price")</f>
        <v>PASS</v>
      </c>
      <c r="Q175" s="20" t="str">
        <f aca="false">IF('Raw Catalog'!P173&lt;&gt;"","PASS","FAIL - No Image")</f>
        <v>PASS</v>
      </c>
      <c r="R175" s="20" t="str">
        <f aca="false">IF(F175&lt;&gt;"","PASS","FAIL - No Brand")</f>
        <v>PASS</v>
      </c>
      <c r="S175" s="20" t="str">
        <f aca="true">IF(K175="","FAIL - No Date",IF(TODAY()-DATEVALUE(K175)&lt;=180,"PASS","FLAG - Stale &gt;180d"))</f>
        <v>FLAG - Stale &gt;180d</v>
      </c>
      <c r="T175" s="20" t="n">
        <f aca="false">COUNTIF(M175:S175,"FAIL*")+COUNTIF(M175:S175,"FLAG*")</f>
        <v>1</v>
      </c>
      <c r="U175" s="20" t="str">
        <f aca="false">IF(T175=0,"CLEAN",IF(T175=1,"MINOR",IF(T175&lt;=3,"MODERATE","CRITICAL")))</f>
        <v>MINOR</v>
      </c>
      <c r="V175" s="20" t="str">
        <f aca="false">IF(U175="CLEAN","None",IF(U175="MINOR","Seller Notify",IF(U175="MODERATE","Listing Suspended","Immediate Removal")))</f>
        <v>Seller Notify</v>
      </c>
    </row>
    <row r="176" customFormat="false" ht="18" hidden="false" customHeight="true" outlineLevel="0" collapsed="false">
      <c r="A176" s="19" t="s">
        <v>6253</v>
      </c>
      <c r="B176" s="19" t="s">
        <v>1484</v>
      </c>
      <c r="C176" s="19" t="s">
        <v>63</v>
      </c>
      <c r="D176" s="19" t="s">
        <v>64</v>
      </c>
      <c r="E176" s="19" t="s">
        <v>161</v>
      </c>
      <c r="F176" s="19" t="s">
        <v>822</v>
      </c>
      <c r="G176" s="19" t="s">
        <v>1486</v>
      </c>
      <c r="H176" s="19" t="s">
        <v>1487</v>
      </c>
      <c r="I176" s="19" t="s">
        <v>1488</v>
      </c>
      <c r="J176" s="19" t="n">
        <v>501.59</v>
      </c>
      <c r="K176" s="19" t="s">
        <v>1334</v>
      </c>
      <c r="L176" s="19"/>
      <c r="M176" s="20" t="str">
        <f aca="false">IF(G176&lt;&gt;"","PASS","FAIL - Missing UPC")</f>
        <v>PASS</v>
      </c>
      <c r="N176" s="20" t="str">
        <f aca="false">IF(AND(G176&lt;&gt;"",H176&lt;&gt;""),IF("0"&amp;G176=H176,"PASS","FAIL - GTIN Mismatch"),"SKIP")</f>
        <v>PASS</v>
      </c>
      <c r="O176" s="20" t="str">
        <f aca="false">IF(I176="","FAIL - No Title",IF(LEN(I176)&lt;=126,"PASS","FAIL - Title &gt;"&amp;126&amp;" chars"))</f>
        <v>PASS</v>
      </c>
      <c r="P176" s="20" t="str">
        <f aca="false">IF(J176&gt;0,IF(J176&lt;5000,"PASS","FLAG - Review Price"),"FAIL - Zero Price")</f>
        <v>PASS</v>
      </c>
      <c r="Q176" s="20" t="str">
        <f aca="false">IF('Raw Catalog'!P174&lt;&gt;"","PASS","FAIL - No Image")</f>
        <v>PASS</v>
      </c>
      <c r="R176" s="20" t="str">
        <f aca="false">IF(F176&lt;&gt;"","PASS","FAIL - No Brand")</f>
        <v>PASS</v>
      </c>
      <c r="S176" s="20" t="str">
        <f aca="true">IF(K176="","FAIL - No Date",IF(TODAY()-DATEVALUE(K176)&lt;=180,"PASS","FLAG - Stale &gt;180d"))</f>
        <v>FLAG - Stale &gt;180d</v>
      </c>
      <c r="T176" s="20" t="n">
        <f aca="false">COUNTIF(M176:S176,"FAIL*")+COUNTIF(M176:S176,"FLAG*")</f>
        <v>1</v>
      </c>
      <c r="U176" s="20" t="str">
        <f aca="false">IF(T176=0,"CLEAN",IF(T176=1,"MINOR",IF(T176&lt;=3,"MODERATE","CRITICAL")))</f>
        <v>MINOR</v>
      </c>
      <c r="V176" s="20" t="str">
        <f aca="false">IF(U176="CLEAN","None",IF(U176="MINOR","Seller Notify",IF(U176="MODERATE","Listing Suspended","Immediate Removal")))</f>
        <v>Seller Notify</v>
      </c>
    </row>
    <row r="177" customFormat="false" ht="18" hidden="false" customHeight="true" outlineLevel="0" collapsed="false">
      <c r="A177" s="19" t="s">
        <v>6254</v>
      </c>
      <c r="B177" s="19" t="s">
        <v>1492</v>
      </c>
      <c r="C177" s="19" t="s">
        <v>113</v>
      </c>
      <c r="D177" s="19" t="s">
        <v>114</v>
      </c>
      <c r="E177" s="19" t="s">
        <v>79</v>
      </c>
      <c r="F177" s="19" t="s">
        <v>513</v>
      </c>
      <c r="G177" s="19" t="s">
        <v>1494</v>
      </c>
      <c r="H177" s="19" t="s">
        <v>1495</v>
      </c>
      <c r="I177" s="19" t="s">
        <v>1496</v>
      </c>
      <c r="J177" s="19" t="n">
        <v>2463.2</v>
      </c>
      <c r="K177" s="19" t="s">
        <v>147</v>
      </c>
      <c r="L177" s="19"/>
      <c r="M177" s="20" t="str">
        <f aca="false">IF(G177&lt;&gt;"","PASS","FAIL - Missing UPC")</f>
        <v>PASS</v>
      </c>
      <c r="N177" s="20" t="str">
        <f aca="false">IF(AND(G177&lt;&gt;"",H177&lt;&gt;""),IF("0"&amp;G177=H177,"PASS","FAIL - GTIN Mismatch"),"SKIP")</f>
        <v>PASS</v>
      </c>
      <c r="O177" s="20" t="str">
        <f aca="false">IF(I177="","FAIL - No Title",IF(LEN(I177)&lt;=126,"PASS","FAIL - Title &gt;"&amp;126&amp;" chars"))</f>
        <v>PASS</v>
      </c>
      <c r="P177" s="20" t="str">
        <f aca="false">IF(J177&gt;0,IF(J177&lt;5000,"PASS","FLAG - Review Price"),"FAIL - Zero Price")</f>
        <v>PASS</v>
      </c>
      <c r="Q177" s="20" t="str">
        <f aca="false">IF('Raw Catalog'!P175&lt;&gt;"","PASS","FAIL - No Image")</f>
        <v>PASS</v>
      </c>
      <c r="R177" s="20" t="str">
        <f aca="false">IF(F177&lt;&gt;"","PASS","FAIL - No Brand")</f>
        <v>PASS</v>
      </c>
      <c r="S177" s="20" t="str">
        <f aca="true">IF(K177="","FAIL - No Date",IF(TODAY()-DATEVALUE(K177)&lt;=180,"PASS","FLAG - Stale &gt;180d"))</f>
        <v>FLAG - Stale &gt;180d</v>
      </c>
      <c r="T177" s="20" t="n">
        <f aca="false">COUNTIF(M177:S177,"FAIL*")+COUNTIF(M177:S177,"FLAG*")</f>
        <v>1</v>
      </c>
      <c r="U177" s="20" t="str">
        <f aca="false">IF(T177=0,"CLEAN",IF(T177=1,"MINOR",IF(T177&lt;=3,"MODERATE","CRITICAL")))</f>
        <v>MINOR</v>
      </c>
      <c r="V177" s="20" t="str">
        <f aca="false">IF(U177="CLEAN","None",IF(U177="MINOR","Seller Notify",IF(U177="MODERATE","Listing Suspended","Immediate Removal")))</f>
        <v>Seller Notify</v>
      </c>
    </row>
    <row r="178" customFormat="false" ht="18" hidden="false" customHeight="true" outlineLevel="0" collapsed="false">
      <c r="A178" s="19" t="s">
        <v>6255</v>
      </c>
      <c r="B178" s="19" t="s">
        <v>1498</v>
      </c>
      <c r="C178" s="19" t="s">
        <v>48</v>
      </c>
      <c r="D178" s="19" t="s">
        <v>49</v>
      </c>
      <c r="E178" s="19" t="s">
        <v>50</v>
      </c>
      <c r="F178" s="19" t="s">
        <v>138</v>
      </c>
      <c r="G178" s="19" t="s">
        <v>1500</v>
      </c>
      <c r="H178" s="19" t="s">
        <v>1501</v>
      </c>
      <c r="I178" s="19" t="s">
        <v>1502</v>
      </c>
      <c r="J178" s="19" t="n">
        <v>476.63</v>
      </c>
      <c r="K178" s="19" t="s">
        <v>123</v>
      </c>
      <c r="L178" s="19"/>
      <c r="M178" s="20" t="str">
        <f aca="false">IF(G178&lt;&gt;"","PASS","FAIL - Missing UPC")</f>
        <v>PASS</v>
      </c>
      <c r="N178" s="20" t="str">
        <f aca="false">IF(AND(G178&lt;&gt;"",H178&lt;&gt;""),IF("0"&amp;G178=H178,"PASS","FAIL - GTIN Mismatch"),"SKIP")</f>
        <v>PASS</v>
      </c>
      <c r="O178" s="20" t="str">
        <f aca="false">IF(I178="","FAIL - No Title",IF(LEN(I178)&lt;=126,"PASS","FAIL - Title &gt;"&amp;126&amp;" chars"))</f>
        <v>PASS</v>
      </c>
      <c r="P178" s="20" t="str">
        <f aca="false">IF(J178&gt;0,IF(J178&lt;5000,"PASS","FLAG - Review Price"),"FAIL - Zero Price")</f>
        <v>PASS</v>
      </c>
      <c r="Q178" s="20" t="str">
        <f aca="false">IF('Raw Catalog'!P176&lt;&gt;"","PASS","FAIL - No Image")</f>
        <v>PASS</v>
      </c>
      <c r="R178" s="20" t="str">
        <f aca="false">IF(F178&lt;&gt;"","PASS","FAIL - No Brand")</f>
        <v>PASS</v>
      </c>
      <c r="S178" s="20" t="str">
        <f aca="true">IF(K178="","FAIL - No Date",IF(TODAY()-DATEVALUE(K178)&lt;=180,"PASS","FLAG - Stale &gt;180d"))</f>
        <v>FLAG - Stale &gt;180d</v>
      </c>
      <c r="T178" s="20" t="n">
        <f aca="false">COUNTIF(M178:S178,"FAIL*")+COUNTIF(M178:S178,"FLAG*")</f>
        <v>1</v>
      </c>
      <c r="U178" s="20" t="str">
        <f aca="false">IF(T178=0,"CLEAN",IF(T178=1,"MINOR",IF(T178&lt;=3,"MODERATE","CRITICAL")))</f>
        <v>MINOR</v>
      </c>
      <c r="V178" s="20" t="str">
        <f aca="false">IF(U178="CLEAN","None",IF(U178="MINOR","Seller Notify",IF(U178="MODERATE","Listing Suspended","Immediate Removal")))</f>
        <v>Seller Notify</v>
      </c>
    </row>
    <row r="179" customFormat="false" ht="18" hidden="false" customHeight="true" outlineLevel="0" collapsed="false">
      <c r="A179" s="19" t="s">
        <v>6256</v>
      </c>
      <c r="B179" s="19" t="s">
        <v>1504</v>
      </c>
      <c r="C179" s="19" t="s">
        <v>77</v>
      </c>
      <c r="D179" s="19" t="s">
        <v>78</v>
      </c>
      <c r="E179" s="19" t="s">
        <v>161</v>
      </c>
      <c r="F179" s="19" t="s">
        <v>51</v>
      </c>
      <c r="G179" s="19" t="s">
        <v>1506</v>
      </c>
      <c r="H179" s="19" t="s">
        <v>1507</v>
      </c>
      <c r="I179" s="19" t="s">
        <v>1508</v>
      </c>
      <c r="J179" s="19" t="n">
        <v>476.17</v>
      </c>
      <c r="K179" s="19" t="s">
        <v>1510</v>
      </c>
      <c r="L179" s="19"/>
      <c r="M179" s="20" t="str">
        <f aca="false">IF(G179&lt;&gt;"","PASS","FAIL - Missing UPC")</f>
        <v>PASS</v>
      </c>
      <c r="N179" s="20" t="str">
        <f aca="false">IF(AND(G179&lt;&gt;"",H179&lt;&gt;""),IF("0"&amp;G179=H179,"PASS","FAIL - GTIN Mismatch"),"SKIP")</f>
        <v>PASS</v>
      </c>
      <c r="O179" s="20" t="str">
        <f aca="false">IF(I179="","FAIL - No Title",IF(LEN(I179)&lt;=126,"PASS","FAIL - Title &gt;"&amp;126&amp;" chars"))</f>
        <v>PASS</v>
      </c>
      <c r="P179" s="20" t="str">
        <f aca="false">IF(J179&gt;0,IF(J179&lt;5000,"PASS","FLAG - Review Price"),"FAIL - Zero Price")</f>
        <v>PASS</v>
      </c>
      <c r="Q179" s="20" t="str">
        <f aca="false">IF('Raw Catalog'!P177&lt;&gt;"","PASS","FAIL - No Image")</f>
        <v>PASS</v>
      </c>
      <c r="R179" s="20" t="str">
        <f aca="false">IF(F179&lt;&gt;"","PASS","FAIL - No Brand")</f>
        <v>PASS</v>
      </c>
      <c r="S179" s="20" t="str">
        <f aca="true">IF(K179="","FAIL - No Date",IF(TODAY()-DATEVALUE(K179)&lt;=180,"PASS","FLAG - Stale &gt;180d"))</f>
        <v>FLAG - Stale &gt;180d</v>
      </c>
      <c r="T179" s="20" t="n">
        <f aca="false">COUNTIF(M179:S179,"FAIL*")+COUNTIF(M179:S179,"FLAG*")</f>
        <v>1</v>
      </c>
      <c r="U179" s="20" t="str">
        <f aca="false">IF(T179=0,"CLEAN",IF(T179=1,"MINOR",IF(T179&lt;=3,"MODERATE","CRITICAL")))</f>
        <v>MINOR</v>
      </c>
      <c r="V179" s="20" t="str">
        <f aca="false">IF(U179="CLEAN","None",IF(U179="MINOR","Seller Notify",IF(U179="MODERATE","Listing Suspended","Immediate Removal")))</f>
        <v>Seller Notify</v>
      </c>
    </row>
    <row r="180" customFormat="false" ht="18" hidden="false" customHeight="true" outlineLevel="0" collapsed="false">
      <c r="A180" s="19" t="s">
        <v>6257</v>
      </c>
      <c r="B180" s="19" t="s">
        <v>1511</v>
      </c>
      <c r="C180" s="19" t="s">
        <v>113</v>
      </c>
      <c r="D180" s="19" t="s">
        <v>114</v>
      </c>
      <c r="E180" s="19" t="s">
        <v>79</v>
      </c>
      <c r="F180" s="19" t="s">
        <v>956</v>
      </c>
      <c r="G180" s="19" t="s">
        <v>1513</v>
      </c>
      <c r="H180" s="19" t="s">
        <v>1514</v>
      </c>
      <c r="I180" s="19" t="s">
        <v>1515</v>
      </c>
      <c r="J180" s="19" t="n">
        <v>2172.71</v>
      </c>
      <c r="K180" s="19" t="s">
        <v>1517</v>
      </c>
      <c r="L180" s="19"/>
      <c r="M180" s="20" t="str">
        <f aca="false">IF(G180&lt;&gt;"","PASS","FAIL - Missing UPC")</f>
        <v>PASS</v>
      </c>
      <c r="N180" s="20" t="str">
        <f aca="false">IF(AND(G180&lt;&gt;"",H180&lt;&gt;""),IF("0"&amp;G180=H180,"PASS","FAIL - GTIN Mismatch"),"SKIP")</f>
        <v>PASS</v>
      </c>
      <c r="O180" s="20" t="str">
        <f aca="false">IF(I180="","FAIL - No Title",IF(LEN(I180)&lt;=126,"PASS","FAIL - Title &gt;"&amp;126&amp;" chars"))</f>
        <v>PASS</v>
      </c>
      <c r="P180" s="20" t="str">
        <f aca="false">IF(J180&gt;0,IF(J180&lt;5000,"PASS","FLAG - Review Price"),"FAIL - Zero Price")</f>
        <v>PASS</v>
      </c>
      <c r="Q180" s="20" t="str">
        <f aca="false">IF('Raw Catalog'!P178&lt;&gt;"","PASS","FAIL - No Image")</f>
        <v>PASS</v>
      </c>
      <c r="R180" s="20" t="str">
        <f aca="false">IF(F180&lt;&gt;"","PASS","FAIL - No Brand")</f>
        <v>PASS</v>
      </c>
      <c r="S180" s="20" t="str">
        <f aca="true">IF(K180="","FAIL - No Date",IF(TODAY()-DATEVALUE(K180)&lt;=180,"PASS","FLAG - Stale &gt;180d"))</f>
        <v>FLAG - Stale &gt;180d</v>
      </c>
      <c r="T180" s="20" t="n">
        <f aca="false">COUNTIF(M180:S180,"FAIL*")+COUNTIF(M180:S180,"FLAG*")</f>
        <v>1</v>
      </c>
      <c r="U180" s="20" t="str">
        <f aca="false">IF(T180=0,"CLEAN",IF(T180=1,"MINOR",IF(T180&lt;=3,"MODERATE","CRITICAL")))</f>
        <v>MINOR</v>
      </c>
      <c r="V180" s="20" t="str">
        <f aca="false">IF(U180="CLEAN","None",IF(U180="MINOR","Seller Notify",IF(U180="MODERATE","Listing Suspended","Immediate Removal")))</f>
        <v>Seller Notify</v>
      </c>
    </row>
    <row r="181" customFormat="false" ht="18" hidden="false" customHeight="true" outlineLevel="0" collapsed="false">
      <c r="A181" s="19" t="s">
        <v>6258</v>
      </c>
      <c r="B181" s="19" t="s">
        <v>1518</v>
      </c>
      <c r="C181" s="19" t="s">
        <v>77</v>
      </c>
      <c r="D181" s="19" t="s">
        <v>78</v>
      </c>
      <c r="E181" s="19" t="s">
        <v>50</v>
      </c>
      <c r="F181" s="19"/>
      <c r="G181" s="19" t="s">
        <v>1520</v>
      </c>
      <c r="H181" s="19" t="s">
        <v>1521</v>
      </c>
      <c r="I181" s="19" t="s">
        <v>1522</v>
      </c>
      <c r="J181" s="19" t="n">
        <v>1254.55</v>
      </c>
      <c r="K181" s="19" t="s">
        <v>271</v>
      </c>
      <c r="L181" s="21" t="s">
        <v>89</v>
      </c>
      <c r="M181" s="20" t="str">
        <f aca="false">IF(G181&lt;&gt;"","PASS","FAIL - Missing UPC")</f>
        <v>PASS</v>
      </c>
      <c r="N181" s="20" t="str">
        <f aca="false">IF(AND(G181&lt;&gt;"",H181&lt;&gt;""),IF("0"&amp;G181=H181,"PASS","FAIL - GTIN Mismatch"),"SKIP")</f>
        <v>PASS</v>
      </c>
      <c r="O181" s="20" t="str">
        <f aca="false">IF(I181="","FAIL - No Title",IF(LEN(I181)&lt;=126,"PASS","FAIL - Title &gt;"&amp;126&amp;" chars"))</f>
        <v>PASS</v>
      </c>
      <c r="P181" s="20" t="str">
        <f aca="false">IF(J181&gt;0,IF(J181&lt;5000,"PASS","FLAG - Review Price"),"FAIL - Zero Price")</f>
        <v>PASS</v>
      </c>
      <c r="Q181" s="20" t="str">
        <f aca="false">IF('Raw Catalog'!P179&lt;&gt;"","PASS","FAIL - No Image")</f>
        <v>PASS</v>
      </c>
      <c r="R181" s="20" t="str">
        <f aca="false">IF(F181&lt;&gt;"","PASS","FAIL - No Brand")</f>
        <v>FAIL - No Brand</v>
      </c>
      <c r="S181" s="20" t="str">
        <f aca="true">IF(K181="","FAIL - No Date",IF(TODAY()-DATEVALUE(K181)&lt;=180,"PASS","FLAG - Stale &gt;180d"))</f>
        <v>FLAG - Stale &gt;180d</v>
      </c>
      <c r="T181" s="20" t="n">
        <f aca="false">COUNTIF(M181:S181,"FAIL*")+COUNTIF(M181:S181,"FLAG*")</f>
        <v>2</v>
      </c>
      <c r="U181" s="20" t="str">
        <f aca="false">IF(T181=0,"CLEAN",IF(T181=1,"MINOR",IF(T181&lt;=3,"MODERATE","CRITICAL")))</f>
        <v>MODERATE</v>
      </c>
      <c r="V181" s="20" t="str">
        <f aca="false">IF(U181="CLEAN","None",IF(U181="MINOR","Seller Notify",IF(U181="MODERATE","Listing Suspended","Immediate Removal")))</f>
        <v>Listing Suspended</v>
      </c>
    </row>
    <row r="182" customFormat="false" ht="18" hidden="false" customHeight="true" outlineLevel="0" collapsed="false">
      <c r="A182" s="19" t="s">
        <v>6259</v>
      </c>
      <c r="B182" s="19" t="s">
        <v>1524</v>
      </c>
      <c r="C182" s="19" t="s">
        <v>125</v>
      </c>
      <c r="D182" s="19" t="s">
        <v>126</v>
      </c>
      <c r="E182" s="19" t="s">
        <v>50</v>
      </c>
      <c r="F182" s="19" t="s">
        <v>51</v>
      </c>
      <c r="G182" s="19" t="s">
        <v>1526</v>
      </c>
      <c r="H182" s="19" t="s">
        <v>1527</v>
      </c>
      <c r="I182" s="19" t="s">
        <v>1528</v>
      </c>
      <c r="J182" s="19" t="n">
        <v>344.97</v>
      </c>
      <c r="K182" s="19" t="s">
        <v>1529</v>
      </c>
      <c r="L182" s="19"/>
      <c r="M182" s="20" t="str">
        <f aca="false">IF(G182&lt;&gt;"","PASS","FAIL - Missing UPC")</f>
        <v>PASS</v>
      </c>
      <c r="N182" s="20" t="str">
        <f aca="false">IF(AND(G182&lt;&gt;"",H182&lt;&gt;""),IF("0"&amp;G182=H182,"PASS","FAIL - GTIN Mismatch"),"SKIP")</f>
        <v>PASS</v>
      </c>
      <c r="O182" s="20" t="str">
        <f aca="false">IF(I182="","FAIL - No Title",IF(LEN(I182)&lt;=126,"PASS","FAIL - Title &gt;"&amp;126&amp;" chars"))</f>
        <v>PASS</v>
      </c>
      <c r="P182" s="20" t="str">
        <f aca="false">IF(J182&gt;0,IF(J182&lt;5000,"PASS","FLAG - Review Price"),"FAIL - Zero Price")</f>
        <v>PASS</v>
      </c>
      <c r="Q182" s="20" t="str">
        <f aca="false">IF('Raw Catalog'!P180&lt;&gt;"","PASS","FAIL - No Image")</f>
        <v>PASS</v>
      </c>
      <c r="R182" s="20" t="str">
        <f aca="false">IF(F182&lt;&gt;"","PASS","FAIL - No Brand")</f>
        <v>PASS</v>
      </c>
      <c r="S182" s="20" t="str">
        <f aca="true">IF(K182="","FAIL - No Date",IF(TODAY()-DATEVALUE(K182)&lt;=180,"PASS","FLAG - Stale &gt;180d"))</f>
        <v>FLAG - Stale &gt;180d</v>
      </c>
      <c r="T182" s="20" t="n">
        <f aca="false">COUNTIF(M182:S182,"FAIL*")+COUNTIF(M182:S182,"FLAG*")</f>
        <v>1</v>
      </c>
      <c r="U182" s="20" t="str">
        <f aca="false">IF(T182=0,"CLEAN",IF(T182=1,"MINOR",IF(T182&lt;=3,"MODERATE","CRITICAL")))</f>
        <v>MINOR</v>
      </c>
      <c r="V182" s="20" t="str">
        <f aca="false">IF(U182="CLEAN","None",IF(U182="MINOR","Seller Notify",IF(U182="MODERATE","Listing Suspended","Immediate Removal")))</f>
        <v>Seller Notify</v>
      </c>
    </row>
    <row r="183" customFormat="false" ht="18" hidden="false" customHeight="true" outlineLevel="0" collapsed="false">
      <c r="A183" s="19" t="s">
        <v>6260</v>
      </c>
      <c r="B183" s="19" t="s">
        <v>1530</v>
      </c>
      <c r="C183" s="19" t="s">
        <v>113</v>
      </c>
      <c r="D183" s="19" t="s">
        <v>114</v>
      </c>
      <c r="E183" s="19" t="s">
        <v>79</v>
      </c>
      <c r="F183" s="19" t="s">
        <v>1531</v>
      </c>
      <c r="G183" s="19" t="s">
        <v>1533</v>
      </c>
      <c r="H183" s="19" t="s">
        <v>1534</v>
      </c>
      <c r="I183" s="19" t="s">
        <v>1535</v>
      </c>
      <c r="J183" s="19" t="n">
        <v>1719</v>
      </c>
      <c r="K183" s="19" t="s">
        <v>1539</v>
      </c>
      <c r="L183" s="19"/>
      <c r="M183" s="20" t="str">
        <f aca="false">IF(G183&lt;&gt;"","PASS","FAIL - Missing UPC")</f>
        <v>PASS</v>
      </c>
      <c r="N183" s="20" t="str">
        <f aca="false">IF(AND(G183&lt;&gt;"",H183&lt;&gt;""),IF("0"&amp;G183=H183,"PASS","FAIL - GTIN Mismatch"),"SKIP")</f>
        <v>PASS</v>
      </c>
      <c r="O183" s="20" t="str">
        <f aca="false">IF(I183="","FAIL - No Title",IF(LEN(I183)&lt;=126,"PASS","FAIL - Title &gt;"&amp;126&amp;" chars"))</f>
        <v>PASS</v>
      </c>
      <c r="P183" s="20" t="str">
        <f aca="false">IF(J183&gt;0,IF(J183&lt;5000,"PASS","FLAG - Review Price"),"FAIL - Zero Price")</f>
        <v>PASS</v>
      </c>
      <c r="Q183" s="20" t="str">
        <f aca="false">IF('Raw Catalog'!P181&lt;&gt;"","PASS","FAIL - No Image")</f>
        <v>PASS</v>
      </c>
      <c r="R183" s="20" t="str">
        <f aca="false">IF(F183&lt;&gt;"","PASS","FAIL - No Brand")</f>
        <v>PASS</v>
      </c>
      <c r="S183" s="20" t="str">
        <f aca="true">IF(K183="","FAIL - No Date",IF(TODAY()-DATEVALUE(K183)&lt;=180,"PASS","FLAG - Stale &gt;180d"))</f>
        <v>FLAG - Stale &gt;180d</v>
      </c>
      <c r="T183" s="20" t="n">
        <f aca="false">COUNTIF(M183:S183,"FAIL*")+COUNTIF(M183:S183,"FLAG*")</f>
        <v>1</v>
      </c>
      <c r="U183" s="20" t="str">
        <f aca="false">IF(T183=0,"CLEAN",IF(T183=1,"MINOR",IF(T183&lt;=3,"MODERATE","CRITICAL")))</f>
        <v>MINOR</v>
      </c>
      <c r="V183" s="20" t="str">
        <f aca="false">IF(U183="CLEAN","None",IF(U183="MINOR","Seller Notify",IF(U183="MODERATE","Listing Suspended","Immediate Removal")))</f>
        <v>Seller Notify</v>
      </c>
    </row>
    <row r="184" customFormat="false" ht="18" hidden="false" customHeight="true" outlineLevel="0" collapsed="false">
      <c r="A184" s="19" t="s">
        <v>6261</v>
      </c>
      <c r="B184" s="19" t="s">
        <v>1540</v>
      </c>
      <c r="C184" s="19" t="s">
        <v>113</v>
      </c>
      <c r="D184" s="19" t="s">
        <v>114</v>
      </c>
      <c r="E184" s="19" t="s">
        <v>161</v>
      </c>
      <c r="F184" s="19" t="s">
        <v>51</v>
      </c>
      <c r="G184" s="19" t="s">
        <v>1542</v>
      </c>
      <c r="H184" s="19" t="s">
        <v>1543</v>
      </c>
      <c r="I184" s="19" t="s">
        <v>1544</v>
      </c>
      <c r="J184" s="19" t="n">
        <v>517.39</v>
      </c>
      <c r="K184" s="19" t="s">
        <v>644</v>
      </c>
      <c r="L184" s="19"/>
      <c r="M184" s="20" t="str">
        <f aca="false">IF(G184&lt;&gt;"","PASS","FAIL - Missing UPC")</f>
        <v>PASS</v>
      </c>
      <c r="N184" s="20" t="str">
        <f aca="false">IF(AND(G184&lt;&gt;"",H184&lt;&gt;""),IF("0"&amp;G184=H184,"PASS","FAIL - GTIN Mismatch"),"SKIP")</f>
        <v>PASS</v>
      </c>
      <c r="O184" s="20" t="str">
        <f aca="false">IF(I184="","FAIL - No Title",IF(LEN(I184)&lt;=126,"PASS","FAIL - Title &gt;"&amp;126&amp;" chars"))</f>
        <v>PASS</v>
      </c>
      <c r="P184" s="20" t="str">
        <f aca="false">IF(J184&gt;0,IF(J184&lt;5000,"PASS","FLAG - Review Price"),"FAIL - Zero Price")</f>
        <v>PASS</v>
      </c>
      <c r="Q184" s="20" t="str">
        <f aca="false">IF('Raw Catalog'!P182&lt;&gt;"","PASS","FAIL - No Image")</f>
        <v>PASS</v>
      </c>
      <c r="R184" s="20" t="str">
        <f aca="false">IF(F184&lt;&gt;"","PASS","FAIL - No Brand")</f>
        <v>PASS</v>
      </c>
      <c r="S184" s="20" t="str">
        <f aca="true">IF(K184="","FAIL - No Date",IF(TODAY()-DATEVALUE(K184)&lt;=180,"PASS","FLAG - Stale &gt;180d"))</f>
        <v>FLAG - Stale &gt;180d</v>
      </c>
      <c r="T184" s="20" t="n">
        <f aca="false">COUNTIF(M184:S184,"FAIL*")+COUNTIF(M184:S184,"FLAG*")</f>
        <v>1</v>
      </c>
      <c r="U184" s="20" t="str">
        <f aca="false">IF(T184=0,"CLEAN",IF(T184=1,"MINOR",IF(T184&lt;=3,"MODERATE","CRITICAL")))</f>
        <v>MINOR</v>
      </c>
      <c r="V184" s="20" t="str">
        <f aca="false">IF(U184="CLEAN","None",IF(U184="MINOR","Seller Notify",IF(U184="MODERATE","Listing Suspended","Immediate Removal")))</f>
        <v>Seller Notify</v>
      </c>
    </row>
    <row r="185" customFormat="false" ht="18" hidden="false" customHeight="true" outlineLevel="0" collapsed="false">
      <c r="A185" s="19" t="s">
        <v>6262</v>
      </c>
      <c r="B185" s="19" t="s">
        <v>1546</v>
      </c>
      <c r="C185" s="19" t="s">
        <v>63</v>
      </c>
      <c r="D185" s="19" t="s">
        <v>64</v>
      </c>
      <c r="E185" s="19" t="s">
        <v>91</v>
      </c>
      <c r="F185" s="19" t="s">
        <v>185</v>
      </c>
      <c r="G185" s="19" t="s">
        <v>1548</v>
      </c>
      <c r="H185" s="19" t="s">
        <v>1549</v>
      </c>
      <c r="I185" s="19" t="s">
        <v>1550</v>
      </c>
      <c r="J185" s="19" t="n">
        <v>2641.01</v>
      </c>
      <c r="K185" s="19" t="s">
        <v>369</v>
      </c>
      <c r="L185" s="19"/>
      <c r="M185" s="20" t="str">
        <f aca="false">IF(G185&lt;&gt;"","PASS","FAIL - Missing UPC")</f>
        <v>PASS</v>
      </c>
      <c r="N185" s="20" t="str">
        <f aca="false">IF(AND(G185&lt;&gt;"",H185&lt;&gt;""),IF("0"&amp;G185=H185,"PASS","FAIL - GTIN Mismatch"),"SKIP")</f>
        <v>PASS</v>
      </c>
      <c r="O185" s="20" t="str">
        <f aca="false">IF(I185="","FAIL - No Title",IF(LEN(I185)&lt;=126,"PASS","FAIL - Title &gt;"&amp;126&amp;" chars"))</f>
        <v>PASS</v>
      </c>
      <c r="P185" s="20" t="str">
        <f aca="false">IF(J185&gt;0,IF(J185&lt;5000,"PASS","FLAG - Review Price"),"FAIL - Zero Price")</f>
        <v>PASS</v>
      </c>
      <c r="Q185" s="20" t="str">
        <f aca="false">IF('Raw Catalog'!P183&lt;&gt;"","PASS","FAIL - No Image")</f>
        <v>PASS</v>
      </c>
      <c r="R185" s="20" t="str">
        <f aca="false">IF(F185&lt;&gt;"","PASS","FAIL - No Brand")</f>
        <v>PASS</v>
      </c>
      <c r="S185" s="20" t="str">
        <f aca="true">IF(K185="","FAIL - No Date",IF(TODAY()-DATEVALUE(K185)&lt;=180,"PASS","FLAG - Stale &gt;180d"))</f>
        <v>FLAG - Stale &gt;180d</v>
      </c>
      <c r="T185" s="20" t="n">
        <f aca="false">COUNTIF(M185:S185,"FAIL*")+COUNTIF(M185:S185,"FLAG*")</f>
        <v>1</v>
      </c>
      <c r="U185" s="20" t="str">
        <f aca="false">IF(T185=0,"CLEAN",IF(T185=1,"MINOR",IF(T185&lt;=3,"MODERATE","CRITICAL")))</f>
        <v>MINOR</v>
      </c>
      <c r="V185" s="20" t="str">
        <f aca="false">IF(U185="CLEAN","None",IF(U185="MINOR","Seller Notify",IF(U185="MODERATE","Listing Suspended","Immediate Removal")))</f>
        <v>Seller Notify</v>
      </c>
    </row>
    <row r="186" customFormat="false" ht="18" hidden="false" customHeight="true" outlineLevel="0" collapsed="false">
      <c r="A186" s="19" t="s">
        <v>6263</v>
      </c>
      <c r="B186" s="19" t="s">
        <v>1551</v>
      </c>
      <c r="C186" s="19" t="s">
        <v>159</v>
      </c>
      <c r="D186" s="19" t="s">
        <v>160</v>
      </c>
      <c r="E186" s="19" t="s">
        <v>50</v>
      </c>
      <c r="F186" s="19" t="s">
        <v>51</v>
      </c>
      <c r="G186" s="19" t="s">
        <v>1553</v>
      </c>
      <c r="H186" s="19" t="s">
        <v>1554</v>
      </c>
      <c r="I186" s="19" t="s">
        <v>1555</v>
      </c>
      <c r="J186" s="19" t="n">
        <v>893.7</v>
      </c>
      <c r="K186" s="19" t="s">
        <v>595</v>
      </c>
      <c r="L186" s="19"/>
      <c r="M186" s="20" t="str">
        <f aca="false">IF(G186&lt;&gt;"","PASS","FAIL - Missing UPC")</f>
        <v>PASS</v>
      </c>
      <c r="N186" s="20" t="str">
        <f aca="false">IF(AND(G186&lt;&gt;"",H186&lt;&gt;""),IF("0"&amp;G186=H186,"PASS","FAIL - GTIN Mismatch"),"SKIP")</f>
        <v>PASS</v>
      </c>
      <c r="O186" s="20" t="str">
        <f aca="false">IF(I186="","FAIL - No Title",IF(LEN(I186)&lt;=126,"PASS","FAIL - Title &gt;"&amp;126&amp;" chars"))</f>
        <v>PASS</v>
      </c>
      <c r="P186" s="20" t="str">
        <f aca="false">IF(J186&gt;0,IF(J186&lt;5000,"PASS","FLAG - Review Price"),"FAIL - Zero Price")</f>
        <v>PASS</v>
      </c>
      <c r="Q186" s="20" t="str">
        <f aca="false">IF('Raw Catalog'!P184&lt;&gt;"","PASS","FAIL - No Image")</f>
        <v>PASS</v>
      </c>
      <c r="R186" s="20" t="str">
        <f aca="false">IF(F186&lt;&gt;"","PASS","FAIL - No Brand")</f>
        <v>PASS</v>
      </c>
      <c r="S186" s="20" t="str">
        <f aca="true">IF(K186="","FAIL - No Date",IF(TODAY()-DATEVALUE(K186)&lt;=180,"PASS","FLAG - Stale &gt;180d"))</f>
        <v>FLAG - Stale &gt;180d</v>
      </c>
      <c r="T186" s="20" t="n">
        <f aca="false">COUNTIF(M186:S186,"FAIL*")+COUNTIF(M186:S186,"FLAG*")</f>
        <v>1</v>
      </c>
      <c r="U186" s="20" t="str">
        <f aca="false">IF(T186=0,"CLEAN",IF(T186=1,"MINOR",IF(T186&lt;=3,"MODERATE","CRITICAL")))</f>
        <v>MINOR</v>
      </c>
      <c r="V186" s="20" t="str">
        <f aca="false">IF(U186="CLEAN","None",IF(U186="MINOR","Seller Notify",IF(U186="MODERATE","Listing Suspended","Immediate Removal")))</f>
        <v>Seller Notify</v>
      </c>
    </row>
    <row r="187" customFormat="false" ht="18" hidden="false" customHeight="true" outlineLevel="0" collapsed="false">
      <c r="A187" s="19" t="s">
        <v>6264</v>
      </c>
      <c r="B187" s="19" t="s">
        <v>1557</v>
      </c>
      <c r="C187" s="19" t="s">
        <v>255</v>
      </c>
      <c r="D187" s="19" t="s">
        <v>256</v>
      </c>
      <c r="E187" s="19" t="s">
        <v>161</v>
      </c>
      <c r="F187" s="19" t="s">
        <v>51</v>
      </c>
      <c r="G187" s="19" t="s">
        <v>1559</v>
      </c>
      <c r="H187" s="19" t="s">
        <v>1560</v>
      </c>
      <c r="I187" s="19" t="s">
        <v>1561</v>
      </c>
      <c r="J187" s="19" t="n">
        <v>336.77</v>
      </c>
      <c r="K187" s="19" t="s">
        <v>1267</v>
      </c>
      <c r="L187" s="19"/>
      <c r="M187" s="20" t="str">
        <f aca="false">IF(G187&lt;&gt;"","PASS","FAIL - Missing UPC")</f>
        <v>PASS</v>
      </c>
      <c r="N187" s="20" t="str">
        <f aca="false">IF(AND(G187&lt;&gt;"",H187&lt;&gt;""),IF("0"&amp;G187=H187,"PASS","FAIL - GTIN Mismatch"),"SKIP")</f>
        <v>PASS</v>
      </c>
      <c r="O187" s="20" t="str">
        <f aca="false">IF(I187="","FAIL - No Title",IF(LEN(I187)&lt;=126,"PASS","FAIL - Title &gt;"&amp;126&amp;" chars"))</f>
        <v>PASS</v>
      </c>
      <c r="P187" s="20" t="str">
        <f aca="false">IF(J187&gt;0,IF(J187&lt;5000,"PASS","FLAG - Review Price"),"FAIL - Zero Price")</f>
        <v>PASS</v>
      </c>
      <c r="Q187" s="20" t="str">
        <f aca="false">IF('Raw Catalog'!P185&lt;&gt;"","PASS","FAIL - No Image")</f>
        <v>PASS</v>
      </c>
      <c r="R187" s="20" t="str">
        <f aca="false">IF(F187&lt;&gt;"","PASS","FAIL - No Brand")</f>
        <v>PASS</v>
      </c>
      <c r="S187" s="20" t="str">
        <f aca="true">IF(K187="","FAIL - No Date",IF(TODAY()-DATEVALUE(K187)&lt;=180,"PASS","FLAG - Stale &gt;180d"))</f>
        <v>FLAG - Stale &gt;180d</v>
      </c>
      <c r="T187" s="20" t="n">
        <f aca="false">COUNTIF(M187:S187,"FAIL*")+COUNTIF(M187:S187,"FLAG*")</f>
        <v>1</v>
      </c>
      <c r="U187" s="20" t="str">
        <f aca="false">IF(T187=0,"CLEAN",IF(T187=1,"MINOR",IF(T187&lt;=3,"MODERATE","CRITICAL")))</f>
        <v>MINOR</v>
      </c>
      <c r="V187" s="20" t="str">
        <f aca="false">IF(U187="CLEAN","None",IF(U187="MINOR","Seller Notify",IF(U187="MODERATE","Listing Suspended","Immediate Removal")))</f>
        <v>Seller Notify</v>
      </c>
    </row>
    <row r="188" customFormat="false" ht="18" hidden="false" customHeight="true" outlineLevel="0" collapsed="false">
      <c r="A188" s="19" t="s">
        <v>6265</v>
      </c>
      <c r="B188" s="19" t="s">
        <v>1563</v>
      </c>
      <c r="C188" s="19" t="s">
        <v>159</v>
      </c>
      <c r="D188" s="19" t="s">
        <v>160</v>
      </c>
      <c r="E188" s="19" t="s">
        <v>161</v>
      </c>
      <c r="F188" s="19" t="s">
        <v>295</v>
      </c>
      <c r="G188" s="19"/>
      <c r="H188" s="19" t="s">
        <v>1565</v>
      </c>
      <c r="I188" s="19" t="s">
        <v>1566</v>
      </c>
      <c r="J188" s="19" t="n">
        <v>316.68</v>
      </c>
      <c r="K188" s="19" t="s">
        <v>1570</v>
      </c>
      <c r="L188" s="21" t="s">
        <v>272</v>
      </c>
      <c r="M188" s="20" t="str">
        <f aca="false">IF(G188&lt;&gt;"","PASS","FAIL - Missing UPC")</f>
        <v>FAIL - Missing UPC</v>
      </c>
      <c r="N188" s="20" t="str">
        <f aca="false">IF(AND(G188&lt;&gt;"",H188&lt;&gt;""),IF("0"&amp;G188=H188,"PASS","FAIL - GTIN Mismatch"),"SKIP")</f>
        <v>SKIP</v>
      </c>
      <c r="O188" s="20" t="str">
        <f aca="false">IF(I188="","FAIL - No Title",IF(LEN(I188)&lt;=126,"PASS","FAIL - Title &gt;"&amp;126&amp;" chars"))</f>
        <v>PASS</v>
      </c>
      <c r="P188" s="20" t="str">
        <f aca="false">IF(J188&gt;0,IF(J188&lt;5000,"PASS","FLAG - Review Price"),"FAIL - Zero Price")</f>
        <v>PASS</v>
      </c>
      <c r="Q188" s="20" t="str">
        <f aca="false">IF('Raw Catalog'!P186&lt;&gt;"","PASS","FAIL - No Image")</f>
        <v>PASS</v>
      </c>
      <c r="R188" s="20" t="str">
        <f aca="false">IF(F188&lt;&gt;"","PASS","FAIL - No Brand")</f>
        <v>PASS</v>
      </c>
      <c r="S188" s="20" t="str">
        <f aca="true">IF(K188="","FAIL - No Date",IF(TODAY()-DATEVALUE(K188)&lt;=180,"PASS","FLAG - Stale &gt;180d"))</f>
        <v>FLAG - Stale &gt;180d</v>
      </c>
      <c r="T188" s="20" t="n">
        <f aca="false">COUNTIF(M188:S188,"FAIL*")+COUNTIF(M188:S188,"FLAG*")</f>
        <v>2</v>
      </c>
      <c r="U188" s="20" t="str">
        <f aca="false">IF(T188=0,"CLEAN",IF(T188=1,"MINOR",IF(T188&lt;=3,"MODERATE","CRITICAL")))</f>
        <v>MODERATE</v>
      </c>
      <c r="V188" s="20" t="str">
        <f aca="false">IF(U188="CLEAN","None",IF(U188="MINOR","Seller Notify",IF(U188="MODERATE","Listing Suspended","Immediate Removal")))</f>
        <v>Listing Suspended</v>
      </c>
    </row>
    <row r="189" customFormat="false" ht="18" hidden="false" customHeight="true" outlineLevel="0" collapsed="false">
      <c r="A189" s="19" t="s">
        <v>6266</v>
      </c>
      <c r="B189" s="19" t="s">
        <v>1571</v>
      </c>
      <c r="C189" s="19" t="s">
        <v>48</v>
      </c>
      <c r="D189" s="19" t="s">
        <v>49</v>
      </c>
      <c r="E189" s="19" t="s">
        <v>91</v>
      </c>
      <c r="F189" s="19" t="s">
        <v>780</v>
      </c>
      <c r="G189" s="19" t="s">
        <v>1573</v>
      </c>
      <c r="H189" s="19" t="s">
        <v>1574</v>
      </c>
      <c r="I189" s="19" t="s">
        <v>1575</v>
      </c>
      <c r="J189" s="19" t="n">
        <v>2424.59</v>
      </c>
      <c r="K189" s="19" t="s">
        <v>1236</v>
      </c>
      <c r="L189" s="19"/>
      <c r="M189" s="20" t="str">
        <f aca="false">IF(G189&lt;&gt;"","PASS","FAIL - Missing UPC")</f>
        <v>PASS</v>
      </c>
      <c r="N189" s="20" t="str">
        <f aca="false">IF(AND(G189&lt;&gt;"",H189&lt;&gt;""),IF("0"&amp;G189=H189,"PASS","FAIL - GTIN Mismatch"),"SKIP")</f>
        <v>PASS</v>
      </c>
      <c r="O189" s="20" t="str">
        <f aca="false">IF(I189="","FAIL - No Title",IF(LEN(I189)&lt;=126,"PASS","FAIL - Title &gt;"&amp;126&amp;" chars"))</f>
        <v>PASS</v>
      </c>
      <c r="P189" s="20" t="str">
        <f aca="false">IF(J189&gt;0,IF(J189&lt;5000,"PASS","FLAG - Review Price"),"FAIL - Zero Price")</f>
        <v>PASS</v>
      </c>
      <c r="Q189" s="20" t="str">
        <f aca="false">IF('Raw Catalog'!P187&lt;&gt;"","PASS","FAIL - No Image")</f>
        <v>PASS</v>
      </c>
      <c r="R189" s="20" t="str">
        <f aca="false">IF(F189&lt;&gt;"","PASS","FAIL - No Brand")</f>
        <v>PASS</v>
      </c>
      <c r="S189" s="20" t="str">
        <f aca="true">IF(K189="","FAIL - No Date",IF(TODAY()-DATEVALUE(K189)&lt;=180,"PASS","FLAG - Stale &gt;180d"))</f>
        <v>FLAG - Stale &gt;180d</v>
      </c>
      <c r="T189" s="20" t="n">
        <f aca="false">COUNTIF(M189:S189,"FAIL*")+COUNTIF(M189:S189,"FLAG*")</f>
        <v>1</v>
      </c>
      <c r="U189" s="20" t="str">
        <f aca="false">IF(T189=0,"CLEAN",IF(T189=1,"MINOR",IF(T189&lt;=3,"MODERATE","CRITICAL")))</f>
        <v>MINOR</v>
      </c>
      <c r="V189" s="20" t="str">
        <f aca="false">IF(U189="CLEAN","None",IF(U189="MINOR","Seller Notify",IF(U189="MODERATE","Listing Suspended","Immediate Removal")))</f>
        <v>Seller Notify</v>
      </c>
    </row>
    <row r="190" customFormat="false" ht="18" hidden="false" customHeight="true" outlineLevel="0" collapsed="false">
      <c r="A190" s="19" t="s">
        <v>6267</v>
      </c>
      <c r="B190" s="19" t="s">
        <v>1579</v>
      </c>
      <c r="C190" s="19" t="s">
        <v>113</v>
      </c>
      <c r="D190" s="19" t="s">
        <v>114</v>
      </c>
      <c r="E190" s="19" t="s">
        <v>79</v>
      </c>
      <c r="F190" s="19" t="s">
        <v>465</v>
      </c>
      <c r="G190" s="19" t="s">
        <v>1581</v>
      </c>
      <c r="H190" s="19" t="s">
        <v>1582</v>
      </c>
      <c r="I190" s="19" t="s">
        <v>1583</v>
      </c>
      <c r="J190" s="19" t="n">
        <v>1118.09</v>
      </c>
      <c r="K190" s="19" t="s">
        <v>1179</v>
      </c>
      <c r="L190" s="19"/>
      <c r="M190" s="20" t="str">
        <f aca="false">IF(G190&lt;&gt;"","PASS","FAIL - Missing UPC")</f>
        <v>PASS</v>
      </c>
      <c r="N190" s="20" t="str">
        <f aca="false">IF(AND(G190&lt;&gt;"",H190&lt;&gt;""),IF("0"&amp;G190=H190,"PASS","FAIL - GTIN Mismatch"),"SKIP")</f>
        <v>PASS</v>
      </c>
      <c r="O190" s="20" t="str">
        <f aca="false">IF(I190="","FAIL - No Title",IF(LEN(I190)&lt;=126,"PASS","FAIL - Title &gt;"&amp;126&amp;" chars"))</f>
        <v>PASS</v>
      </c>
      <c r="P190" s="20" t="str">
        <f aca="false">IF(J190&gt;0,IF(J190&lt;5000,"PASS","FLAG - Review Price"),"FAIL - Zero Price")</f>
        <v>PASS</v>
      </c>
      <c r="Q190" s="20" t="str">
        <f aca="false">IF('Raw Catalog'!P188&lt;&gt;"","PASS","FAIL - No Image")</f>
        <v>PASS</v>
      </c>
      <c r="R190" s="20" t="str">
        <f aca="false">IF(F190&lt;&gt;"","PASS","FAIL - No Brand")</f>
        <v>PASS</v>
      </c>
      <c r="S190" s="20" t="str">
        <f aca="true">IF(K190="","FAIL - No Date",IF(TODAY()-DATEVALUE(K190)&lt;=180,"PASS","FLAG - Stale &gt;180d"))</f>
        <v>FLAG - Stale &gt;180d</v>
      </c>
      <c r="T190" s="20" t="n">
        <f aca="false">COUNTIF(M190:S190,"FAIL*")+COUNTIF(M190:S190,"FLAG*")</f>
        <v>1</v>
      </c>
      <c r="U190" s="20" t="str">
        <f aca="false">IF(T190=0,"CLEAN",IF(T190=1,"MINOR",IF(T190&lt;=3,"MODERATE","CRITICAL")))</f>
        <v>MINOR</v>
      </c>
      <c r="V190" s="20" t="str">
        <f aca="false">IF(U190="CLEAN","None",IF(U190="MINOR","Seller Notify",IF(U190="MODERATE","Listing Suspended","Immediate Removal")))</f>
        <v>Seller Notify</v>
      </c>
    </row>
    <row r="191" customFormat="false" ht="18" hidden="false" customHeight="true" outlineLevel="0" collapsed="false">
      <c r="A191" s="19" t="s">
        <v>6268</v>
      </c>
      <c r="B191" s="19" t="s">
        <v>1587</v>
      </c>
      <c r="C191" s="19" t="s">
        <v>48</v>
      </c>
      <c r="D191" s="19" t="s">
        <v>49</v>
      </c>
      <c r="E191" s="19" t="s">
        <v>79</v>
      </c>
      <c r="F191" s="19" t="s">
        <v>956</v>
      </c>
      <c r="G191" s="19" t="s">
        <v>1589</v>
      </c>
      <c r="H191" s="19" t="s">
        <v>1590</v>
      </c>
      <c r="I191" s="19" t="s">
        <v>1591</v>
      </c>
      <c r="J191" s="19" t="n">
        <v>567.93</v>
      </c>
      <c r="K191" s="19" t="s">
        <v>604</v>
      </c>
      <c r="L191" s="19"/>
      <c r="M191" s="20" t="str">
        <f aca="false">IF(G191&lt;&gt;"","PASS","FAIL - Missing UPC")</f>
        <v>PASS</v>
      </c>
      <c r="N191" s="20" t="str">
        <f aca="false">IF(AND(G191&lt;&gt;"",H191&lt;&gt;""),IF("0"&amp;G191=H191,"PASS","FAIL - GTIN Mismatch"),"SKIP")</f>
        <v>PASS</v>
      </c>
      <c r="O191" s="20" t="str">
        <f aca="false">IF(I191="","FAIL - No Title",IF(LEN(I191)&lt;=126,"PASS","FAIL - Title &gt;"&amp;126&amp;" chars"))</f>
        <v>PASS</v>
      </c>
      <c r="P191" s="20" t="str">
        <f aca="false">IF(J191&gt;0,IF(J191&lt;5000,"PASS","FLAG - Review Price"),"FAIL - Zero Price")</f>
        <v>PASS</v>
      </c>
      <c r="Q191" s="20" t="str">
        <f aca="false">IF('Raw Catalog'!P189&lt;&gt;"","PASS","FAIL - No Image")</f>
        <v>PASS</v>
      </c>
      <c r="R191" s="20" t="str">
        <f aca="false">IF(F191&lt;&gt;"","PASS","FAIL - No Brand")</f>
        <v>PASS</v>
      </c>
      <c r="S191" s="20" t="str">
        <f aca="true">IF(K191="","FAIL - No Date",IF(TODAY()-DATEVALUE(K191)&lt;=180,"PASS","FLAG - Stale &gt;180d"))</f>
        <v>FLAG - Stale &gt;180d</v>
      </c>
      <c r="T191" s="20" t="n">
        <f aca="false">COUNTIF(M191:S191,"FAIL*")+COUNTIF(M191:S191,"FLAG*")</f>
        <v>1</v>
      </c>
      <c r="U191" s="20" t="str">
        <f aca="false">IF(T191=0,"CLEAN",IF(T191=1,"MINOR",IF(T191&lt;=3,"MODERATE","CRITICAL")))</f>
        <v>MINOR</v>
      </c>
      <c r="V191" s="20" t="str">
        <f aca="false">IF(U191="CLEAN","None",IF(U191="MINOR","Seller Notify",IF(U191="MODERATE","Listing Suspended","Immediate Removal")))</f>
        <v>Seller Notify</v>
      </c>
    </row>
    <row r="192" customFormat="false" ht="18" hidden="false" customHeight="true" outlineLevel="0" collapsed="false">
      <c r="A192" s="19" t="s">
        <v>6269</v>
      </c>
      <c r="B192" s="19" t="s">
        <v>1593</v>
      </c>
      <c r="C192" s="19" t="s">
        <v>63</v>
      </c>
      <c r="D192" s="19" t="s">
        <v>64</v>
      </c>
      <c r="E192" s="19" t="s">
        <v>91</v>
      </c>
      <c r="F192" s="19" t="s">
        <v>780</v>
      </c>
      <c r="G192" s="19" t="s">
        <v>1595</v>
      </c>
      <c r="H192" s="19" t="s">
        <v>1596</v>
      </c>
      <c r="I192" s="19" t="s">
        <v>1597</v>
      </c>
      <c r="J192" s="19" t="n">
        <v>839.61</v>
      </c>
      <c r="K192" s="19" t="s">
        <v>1008</v>
      </c>
      <c r="L192" s="19"/>
      <c r="M192" s="20" t="str">
        <f aca="false">IF(G192&lt;&gt;"","PASS","FAIL - Missing UPC")</f>
        <v>PASS</v>
      </c>
      <c r="N192" s="20" t="str">
        <f aca="false">IF(AND(G192&lt;&gt;"",H192&lt;&gt;""),IF("0"&amp;G192=H192,"PASS","FAIL - GTIN Mismatch"),"SKIP")</f>
        <v>PASS</v>
      </c>
      <c r="O192" s="20" t="str">
        <f aca="false">IF(I192="","FAIL - No Title",IF(LEN(I192)&lt;=126,"PASS","FAIL - Title &gt;"&amp;126&amp;" chars"))</f>
        <v>PASS</v>
      </c>
      <c r="P192" s="20" t="str">
        <f aca="false">IF(J192&gt;0,IF(J192&lt;5000,"PASS","FLAG - Review Price"),"FAIL - Zero Price")</f>
        <v>PASS</v>
      </c>
      <c r="Q192" s="20" t="str">
        <f aca="false">IF('Raw Catalog'!P190&lt;&gt;"","PASS","FAIL - No Image")</f>
        <v>PASS</v>
      </c>
      <c r="R192" s="20" t="str">
        <f aca="false">IF(F192&lt;&gt;"","PASS","FAIL - No Brand")</f>
        <v>PASS</v>
      </c>
      <c r="S192" s="20" t="str">
        <f aca="true">IF(K192="","FAIL - No Date",IF(TODAY()-DATEVALUE(K192)&lt;=180,"PASS","FLAG - Stale &gt;180d"))</f>
        <v>FLAG - Stale &gt;180d</v>
      </c>
      <c r="T192" s="20" t="n">
        <f aca="false">COUNTIF(M192:S192,"FAIL*")+COUNTIF(M192:S192,"FLAG*")</f>
        <v>1</v>
      </c>
      <c r="U192" s="20" t="str">
        <f aca="false">IF(T192=0,"CLEAN",IF(T192=1,"MINOR",IF(T192&lt;=3,"MODERATE","CRITICAL")))</f>
        <v>MINOR</v>
      </c>
      <c r="V192" s="20" t="str">
        <f aca="false">IF(U192="CLEAN","None",IF(U192="MINOR","Seller Notify",IF(U192="MODERATE","Listing Suspended","Immediate Removal")))</f>
        <v>Seller Notify</v>
      </c>
    </row>
    <row r="193" customFormat="false" ht="18" hidden="false" customHeight="true" outlineLevel="0" collapsed="false">
      <c r="A193" s="19" t="s">
        <v>6270</v>
      </c>
      <c r="B193" s="19" t="s">
        <v>1598</v>
      </c>
      <c r="C193" s="19" t="s">
        <v>63</v>
      </c>
      <c r="D193" s="19" t="s">
        <v>64</v>
      </c>
      <c r="E193" s="19" t="s">
        <v>79</v>
      </c>
      <c r="F193" s="19" t="s">
        <v>513</v>
      </c>
      <c r="G193" s="19" t="s">
        <v>1600</v>
      </c>
      <c r="H193" s="19" t="s">
        <v>1601</v>
      </c>
      <c r="I193" s="19" t="s">
        <v>1602</v>
      </c>
      <c r="J193" s="19" t="n">
        <v>2445.5</v>
      </c>
      <c r="K193" s="19" t="s">
        <v>1604</v>
      </c>
      <c r="L193" s="19"/>
      <c r="M193" s="20" t="str">
        <f aca="false">IF(G193&lt;&gt;"","PASS","FAIL - Missing UPC")</f>
        <v>PASS</v>
      </c>
      <c r="N193" s="20" t="str">
        <f aca="false">IF(AND(G193&lt;&gt;"",H193&lt;&gt;""),IF("0"&amp;G193=H193,"PASS","FAIL - GTIN Mismatch"),"SKIP")</f>
        <v>PASS</v>
      </c>
      <c r="O193" s="20" t="str">
        <f aca="false">IF(I193="","FAIL - No Title",IF(LEN(I193)&lt;=126,"PASS","FAIL - Title &gt;"&amp;126&amp;" chars"))</f>
        <v>PASS</v>
      </c>
      <c r="P193" s="20" t="str">
        <f aca="false">IF(J193&gt;0,IF(J193&lt;5000,"PASS","FLAG - Review Price"),"FAIL - Zero Price")</f>
        <v>PASS</v>
      </c>
      <c r="Q193" s="20" t="str">
        <f aca="false">IF('Raw Catalog'!P191&lt;&gt;"","PASS","FAIL - No Image")</f>
        <v>PASS</v>
      </c>
      <c r="R193" s="20" t="str">
        <f aca="false">IF(F193&lt;&gt;"","PASS","FAIL - No Brand")</f>
        <v>PASS</v>
      </c>
      <c r="S193" s="20" t="str">
        <f aca="true">IF(K193="","FAIL - No Date",IF(TODAY()-DATEVALUE(K193)&lt;=180,"PASS","FLAG - Stale &gt;180d"))</f>
        <v>FLAG - Stale &gt;180d</v>
      </c>
      <c r="T193" s="20" t="n">
        <f aca="false">COUNTIF(M193:S193,"FAIL*")+COUNTIF(M193:S193,"FLAG*")</f>
        <v>1</v>
      </c>
      <c r="U193" s="20" t="str">
        <f aca="false">IF(T193=0,"CLEAN",IF(T193=1,"MINOR",IF(T193&lt;=3,"MODERATE","CRITICAL")))</f>
        <v>MINOR</v>
      </c>
      <c r="V193" s="20" t="str">
        <f aca="false">IF(U193="CLEAN","None",IF(U193="MINOR","Seller Notify",IF(U193="MODERATE","Listing Suspended","Immediate Removal")))</f>
        <v>Seller Notify</v>
      </c>
    </row>
    <row r="194" customFormat="false" ht="18" hidden="false" customHeight="true" outlineLevel="0" collapsed="false">
      <c r="A194" s="19" t="s">
        <v>6271</v>
      </c>
      <c r="B194" s="19" t="s">
        <v>1605</v>
      </c>
      <c r="C194" s="19" t="s">
        <v>63</v>
      </c>
      <c r="D194" s="19" t="s">
        <v>64</v>
      </c>
      <c r="E194" s="19" t="s">
        <v>161</v>
      </c>
      <c r="F194" s="19" t="s">
        <v>51</v>
      </c>
      <c r="G194" s="19" t="s">
        <v>1607</v>
      </c>
      <c r="H194" s="19" t="s">
        <v>1608</v>
      </c>
      <c r="I194" s="19" t="s">
        <v>1609</v>
      </c>
      <c r="J194" s="19" t="n">
        <v>521.96</v>
      </c>
      <c r="K194" s="19" t="s">
        <v>1611</v>
      </c>
      <c r="L194" s="19"/>
      <c r="M194" s="20" t="str">
        <f aca="false">IF(G194&lt;&gt;"","PASS","FAIL - Missing UPC")</f>
        <v>PASS</v>
      </c>
      <c r="N194" s="20" t="str">
        <f aca="false">IF(AND(G194&lt;&gt;"",H194&lt;&gt;""),IF("0"&amp;G194=H194,"PASS","FAIL - GTIN Mismatch"),"SKIP")</f>
        <v>PASS</v>
      </c>
      <c r="O194" s="20" t="str">
        <f aca="false">IF(I194="","FAIL - No Title",IF(LEN(I194)&lt;=126,"PASS","FAIL - Title &gt;"&amp;126&amp;" chars"))</f>
        <v>PASS</v>
      </c>
      <c r="P194" s="20" t="str">
        <f aca="false">IF(J194&gt;0,IF(J194&lt;5000,"PASS","FLAG - Review Price"),"FAIL - Zero Price")</f>
        <v>PASS</v>
      </c>
      <c r="Q194" s="20" t="str">
        <f aca="false">IF('Raw Catalog'!P192&lt;&gt;"","PASS","FAIL - No Image")</f>
        <v>PASS</v>
      </c>
      <c r="R194" s="20" t="str">
        <f aca="false">IF(F194&lt;&gt;"","PASS","FAIL - No Brand")</f>
        <v>PASS</v>
      </c>
      <c r="S194" s="20" t="str">
        <f aca="true">IF(K194="","FAIL - No Date",IF(TODAY()-DATEVALUE(K194)&lt;=180,"PASS","FLAG - Stale &gt;180d"))</f>
        <v>FLAG - Stale &gt;180d</v>
      </c>
      <c r="T194" s="20" t="n">
        <f aca="false">COUNTIF(M194:S194,"FAIL*")+COUNTIF(M194:S194,"FLAG*")</f>
        <v>1</v>
      </c>
      <c r="U194" s="20" t="str">
        <f aca="false">IF(T194=0,"CLEAN",IF(T194=1,"MINOR",IF(T194&lt;=3,"MODERATE","CRITICAL")))</f>
        <v>MINOR</v>
      </c>
      <c r="V194" s="20" t="str">
        <f aca="false">IF(U194="CLEAN","None",IF(U194="MINOR","Seller Notify",IF(U194="MODERATE","Listing Suspended","Immediate Removal")))</f>
        <v>Seller Notify</v>
      </c>
    </row>
    <row r="195" customFormat="false" ht="18" hidden="false" customHeight="true" outlineLevel="0" collapsed="false">
      <c r="A195" s="19" t="s">
        <v>6272</v>
      </c>
      <c r="B195" s="19" t="s">
        <v>1612</v>
      </c>
      <c r="C195" s="19" t="s">
        <v>159</v>
      </c>
      <c r="D195" s="19" t="s">
        <v>160</v>
      </c>
      <c r="E195" s="19" t="s">
        <v>91</v>
      </c>
      <c r="F195" s="19" t="s">
        <v>185</v>
      </c>
      <c r="G195" s="19" t="s">
        <v>1614</v>
      </c>
      <c r="H195" s="19" t="s">
        <v>1615</v>
      </c>
      <c r="I195" s="19" t="s">
        <v>1616</v>
      </c>
      <c r="J195" s="19" t="n">
        <v>2133.28</v>
      </c>
      <c r="K195" s="19" t="s">
        <v>985</v>
      </c>
      <c r="L195" s="19"/>
      <c r="M195" s="20" t="str">
        <f aca="false">IF(G195&lt;&gt;"","PASS","FAIL - Missing UPC")</f>
        <v>PASS</v>
      </c>
      <c r="N195" s="20" t="str">
        <f aca="false">IF(AND(G195&lt;&gt;"",H195&lt;&gt;""),IF("0"&amp;G195=H195,"PASS","FAIL - GTIN Mismatch"),"SKIP")</f>
        <v>PASS</v>
      </c>
      <c r="O195" s="20" t="str">
        <f aca="false">IF(I195="","FAIL - No Title",IF(LEN(I195)&lt;=126,"PASS","FAIL - Title &gt;"&amp;126&amp;" chars"))</f>
        <v>PASS</v>
      </c>
      <c r="P195" s="20" t="str">
        <f aca="false">IF(J195&gt;0,IF(J195&lt;5000,"PASS","FLAG - Review Price"),"FAIL - Zero Price")</f>
        <v>PASS</v>
      </c>
      <c r="Q195" s="20" t="str">
        <f aca="false">IF('Raw Catalog'!P193&lt;&gt;"","PASS","FAIL - No Image")</f>
        <v>PASS</v>
      </c>
      <c r="R195" s="20" t="str">
        <f aca="false">IF(F195&lt;&gt;"","PASS","FAIL - No Brand")</f>
        <v>PASS</v>
      </c>
      <c r="S195" s="20" t="str">
        <f aca="true">IF(K195="","FAIL - No Date",IF(TODAY()-DATEVALUE(K195)&lt;=180,"PASS","FLAG - Stale &gt;180d"))</f>
        <v>FLAG - Stale &gt;180d</v>
      </c>
      <c r="T195" s="20" t="n">
        <f aca="false">COUNTIF(M195:S195,"FAIL*")+COUNTIF(M195:S195,"FLAG*")</f>
        <v>1</v>
      </c>
      <c r="U195" s="20" t="str">
        <f aca="false">IF(T195=0,"CLEAN",IF(T195=1,"MINOR",IF(T195&lt;=3,"MODERATE","CRITICAL")))</f>
        <v>MINOR</v>
      </c>
      <c r="V195" s="20" t="str">
        <f aca="false">IF(U195="CLEAN","None",IF(U195="MINOR","Seller Notify",IF(U195="MODERATE","Listing Suspended","Immediate Removal")))</f>
        <v>Seller Notify</v>
      </c>
    </row>
    <row r="196" customFormat="false" ht="18" hidden="false" customHeight="true" outlineLevel="0" collapsed="false">
      <c r="A196" s="19" t="s">
        <v>6273</v>
      </c>
      <c r="B196" s="19" t="s">
        <v>1620</v>
      </c>
      <c r="C196" s="19" t="s">
        <v>63</v>
      </c>
      <c r="D196" s="19" t="s">
        <v>64</v>
      </c>
      <c r="E196" s="19" t="s">
        <v>91</v>
      </c>
      <c r="F196" s="19" t="s">
        <v>780</v>
      </c>
      <c r="G196" s="19" t="s">
        <v>1622</v>
      </c>
      <c r="H196" s="19" t="s">
        <v>1623</v>
      </c>
      <c r="I196" s="19" t="s">
        <v>1624</v>
      </c>
      <c r="J196" s="19" t="n">
        <v>14151.36</v>
      </c>
      <c r="K196" s="19" t="s">
        <v>111</v>
      </c>
      <c r="L196" s="21" t="s">
        <v>343</v>
      </c>
      <c r="M196" s="20" t="str">
        <f aca="false">IF(G196&lt;&gt;"","PASS","FAIL - Missing UPC")</f>
        <v>PASS</v>
      </c>
      <c r="N196" s="20" t="str">
        <f aca="false">IF(AND(G196&lt;&gt;"",H196&lt;&gt;""),IF("0"&amp;G196=H196,"PASS","FAIL - GTIN Mismatch"),"SKIP")</f>
        <v>PASS</v>
      </c>
      <c r="O196" s="20" t="str">
        <f aca="false">IF(I196="","FAIL - No Title",IF(LEN(I196)&lt;=126,"PASS","FAIL - Title &gt;"&amp;126&amp;" chars"))</f>
        <v>PASS</v>
      </c>
      <c r="P196" s="20" t="str">
        <f aca="false">IF(J196&gt;0,IF(J196&lt;5000,"PASS","FLAG - Review Price"),"FAIL - Zero Price")</f>
        <v>FLAG - Review Price</v>
      </c>
      <c r="Q196" s="20" t="str">
        <f aca="false">IF('Raw Catalog'!P194&lt;&gt;"","PASS","FAIL - No Image")</f>
        <v>PASS</v>
      </c>
      <c r="R196" s="20" t="str">
        <f aca="false">IF(F196&lt;&gt;"","PASS","FAIL - No Brand")</f>
        <v>PASS</v>
      </c>
      <c r="S196" s="20" t="str">
        <f aca="true">IF(K196="","FAIL - No Date",IF(TODAY()-DATEVALUE(K196)&lt;=180,"PASS","FLAG - Stale &gt;180d"))</f>
        <v>FLAG - Stale &gt;180d</v>
      </c>
      <c r="T196" s="20" t="n">
        <f aca="false">COUNTIF(M196:S196,"FAIL*")+COUNTIF(M196:S196,"FLAG*")</f>
        <v>2</v>
      </c>
      <c r="U196" s="20" t="str">
        <f aca="false">IF(T196=0,"CLEAN",IF(T196=1,"MINOR",IF(T196&lt;=3,"MODERATE","CRITICAL")))</f>
        <v>MODERATE</v>
      </c>
      <c r="V196" s="20" t="str">
        <f aca="false">IF(U196="CLEAN","None",IF(U196="MINOR","Seller Notify",IF(U196="MODERATE","Listing Suspended","Immediate Removal")))</f>
        <v>Listing Suspended</v>
      </c>
    </row>
    <row r="197" customFormat="false" ht="18" hidden="false" customHeight="true" outlineLevel="0" collapsed="false">
      <c r="A197" s="19" t="s">
        <v>6274</v>
      </c>
      <c r="B197" s="19" t="s">
        <v>1625</v>
      </c>
      <c r="C197" s="19" t="s">
        <v>63</v>
      </c>
      <c r="D197" s="19" t="s">
        <v>64</v>
      </c>
      <c r="E197" s="19" t="s">
        <v>79</v>
      </c>
      <c r="F197" s="19" t="s">
        <v>956</v>
      </c>
      <c r="G197" s="19" t="s">
        <v>1627</v>
      </c>
      <c r="H197" s="19" t="s">
        <v>1628</v>
      </c>
      <c r="I197" s="19" t="s">
        <v>1629</v>
      </c>
      <c r="J197" s="19" t="n">
        <v>1008.14</v>
      </c>
      <c r="K197" s="19" t="s">
        <v>1631</v>
      </c>
      <c r="L197" s="21" t="s">
        <v>778</v>
      </c>
      <c r="M197" s="20" t="str">
        <f aca="false">IF(G197&lt;&gt;"","PASS","FAIL - Missing UPC")</f>
        <v>PASS</v>
      </c>
      <c r="N197" s="20" t="str">
        <f aca="false">IF(AND(G197&lt;&gt;"",H197&lt;&gt;""),IF("0"&amp;G197=H197,"PASS","FAIL - GTIN Mismatch"),"SKIP")</f>
        <v>PASS</v>
      </c>
      <c r="O197" s="20" t="str">
        <f aca="false">IF(I197="","FAIL - No Title",IF(LEN(I197)&lt;=126,"PASS","FAIL - Title &gt;"&amp;126&amp;" chars"))</f>
        <v>FAIL - Title &gt;126 chars</v>
      </c>
      <c r="P197" s="20" t="str">
        <f aca="false">IF(J197&gt;0,IF(J197&lt;5000,"PASS","FLAG - Review Price"),"FAIL - Zero Price")</f>
        <v>PASS</v>
      </c>
      <c r="Q197" s="20" t="str">
        <f aca="false">IF('Raw Catalog'!P195&lt;&gt;"","PASS","FAIL - No Image")</f>
        <v>PASS</v>
      </c>
      <c r="R197" s="20" t="str">
        <f aca="false">IF(F197&lt;&gt;"","PASS","FAIL - No Brand")</f>
        <v>PASS</v>
      </c>
      <c r="S197" s="20" t="str">
        <f aca="true">IF(K197="","FAIL - No Date",IF(TODAY()-DATEVALUE(K197)&lt;=180,"PASS","FLAG - Stale &gt;180d"))</f>
        <v>FLAG - Stale &gt;180d</v>
      </c>
      <c r="T197" s="20" t="n">
        <f aca="false">COUNTIF(M197:S197,"FAIL*")+COUNTIF(M197:S197,"FLAG*")</f>
        <v>2</v>
      </c>
      <c r="U197" s="20" t="str">
        <f aca="false">IF(T197=0,"CLEAN",IF(T197=1,"MINOR",IF(T197&lt;=3,"MODERATE","CRITICAL")))</f>
        <v>MODERATE</v>
      </c>
      <c r="V197" s="20" t="str">
        <f aca="false">IF(U197="CLEAN","None",IF(U197="MINOR","Seller Notify",IF(U197="MODERATE","Listing Suspended","Immediate Removal")))</f>
        <v>Listing Suspended</v>
      </c>
    </row>
    <row r="198" customFormat="false" ht="18" hidden="false" customHeight="true" outlineLevel="0" collapsed="false">
      <c r="A198" s="19" t="s">
        <v>6275</v>
      </c>
      <c r="B198" s="19" t="s">
        <v>1632</v>
      </c>
      <c r="C198" s="19" t="s">
        <v>77</v>
      </c>
      <c r="D198" s="19" t="s">
        <v>78</v>
      </c>
      <c r="E198" s="19" t="s">
        <v>50</v>
      </c>
      <c r="F198" s="19" t="s">
        <v>51</v>
      </c>
      <c r="G198" s="19" t="s">
        <v>1634</v>
      </c>
      <c r="H198" s="19" t="s">
        <v>1635</v>
      </c>
      <c r="I198" s="19" t="s">
        <v>1636</v>
      </c>
      <c r="J198" s="19" t="n">
        <v>622.39</v>
      </c>
      <c r="K198" s="19" t="s">
        <v>1366</v>
      </c>
      <c r="L198" s="19"/>
      <c r="M198" s="20" t="str">
        <f aca="false">IF(G198&lt;&gt;"","PASS","FAIL - Missing UPC")</f>
        <v>PASS</v>
      </c>
      <c r="N198" s="20" t="str">
        <f aca="false">IF(AND(G198&lt;&gt;"",H198&lt;&gt;""),IF("0"&amp;G198=H198,"PASS","FAIL - GTIN Mismatch"),"SKIP")</f>
        <v>PASS</v>
      </c>
      <c r="O198" s="20" t="str">
        <f aca="false">IF(I198="","FAIL - No Title",IF(LEN(I198)&lt;=126,"PASS","FAIL - Title &gt;"&amp;126&amp;" chars"))</f>
        <v>PASS</v>
      </c>
      <c r="P198" s="20" t="str">
        <f aca="false">IF(J198&gt;0,IF(J198&lt;5000,"PASS","FLAG - Review Price"),"FAIL - Zero Price")</f>
        <v>PASS</v>
      </c>
      <c r="Q198" s="20" t="str">
        <f aca="false">IF('Raw Catalog'!P196&lt;&gt;"","PASS","FAIL - No Image")</f>
        <v>PASS</v>
      </c>
      <c r="R198" s="20" t="str">
        <f aca="false">IF(F198&lt;&gt;"","PASS","FAIL - No Brand")</f>
        <v>PASS</v>
      </c>
      <c r="S198" s="20" t="str">
        <f aca="true">IF(K198="","FAIL - No Date",IF(TODAY()-DATEVALUE(K198)&lt;=180,"PASS","FLAG - Stale &gt;180d"))</f>
        <v>FLAG - Stale &gt;180d</v>
      </c>
      <c r="T198" s="20" t="n">
        <f aca="false">COUNTIF(M198:S198,"FAIL*")+COUNTIF(M198:S198,"FLAG*")</f>
        <v>1</v>
      </c>
      <c r="U198" s="20" t="str">
        <f aca="false">IF(T198=0,"CLEAN",IF(T198=1,"MINOR",IF(T198&lt;=3,"MODERATE","CRITICAL")))</f>
        <v>MINOR</v>
      </c>
      <c r="V198" s="20" t="str">
        <f aca="false">IF(U198="CLEAN","None",IF(U198="MINOR","Seller Notify",IF(U198="MODERATE","Listing Suspended","Immediate Removal")))</f>
        <v>Seller Notify</v>
      </c>
    </row>
    <row r="199" customFormat="false" ht="18" hidden="false" customHeight="true" outlineLevel="0" collapsed="false">
      <c r="A199" s="19" t="s">
        <v>6276</v>
      </c>
      <c r="B199" s="19" t="s">
        <v>1637</v>
      </c>
      <c r="C199" s="19" t="s">
        <v>77</v>
      </c>
      <c r="D199" s="19" t="s">
        <v>78</v>
      </c>
      <c r="E199" s="19" t="s">
        <v>50</v>
      </c>
      <c r="F199" s="19" t="s">
        <v>115</v>
      </c>
      <c r="G199" s="19" t="s">
        <v>1639</v>
      </c>
      <c r="H199" s="19" t="s">
        <v>1640</v>
      </c>
      <c r="I199" s="19" t="s">
        <v>119</v>
      </c>
      <c r="J199" s="19" t="n">
        <v>1205.21</v>
      </c>
      <c r="K199" s="19" t="s">
        <v>1643</v>
      </c>
      <c r="L199" s="21" t="s">
        <v>325</v>
      </c>
      <c r="M199" s="20" t="str">
        <f aca="false">IF(G199&lt;&gt;"","PASS","FAIL - Missing UPC")</f>
        <v>PASS</v>
      </c>
      <c r="N199" s="20" t="str">
        <f aca="false">IF(AND(G199&lt;&gt;"",H199&lt;&gt;""),IF("0"&amp;G199=H199,"PASS","FAIL - GTIN Mismatch"),"SKIP")</f>
        <v>PASS</v>
      </c>
      <c r="O199" s="20" t="str">
        <f aca="false">IF(I199="","FAIL - No Title",IF(LEN(I199)&lt;=126,"PASS","FAIL - Title &gt;"&amp;126&amp;" chars"))</f>
        <v>PASS</v>
      </c>
      <c r="P199" s="20" t="str">
        <f aca="false">IF(J199&gt;0,IF(J199&lt;5000,"PASS","FLAG - Review Price"),"FAIL - Zero Price")</f>
        <v>PASS</v>
      </c>
      <c r="Q199" s="20" t="str">
        <f aca="false">IF('Raw Catalog'!P197&lt;&gt;"","PASS","FAIL - No Image")</f>
        <v>PASS</v>
      </c>
      <c r="R199" s="20" t="str">
        <f aca="false">IF(F199&lt;&gt;"","PASS","FAIL - No Brand")</f>
        <v>PASS</v>
      </c>
      <c r="S199" s="20" t="str">
        <f aca="true">IF(K199="","FAIL - No Date",IF(TODAY()-DATEVALUE(K199)&lt;=180,"PASS","FLAG - Stale &gt;180d"))</f>
        <v>FLAG - Stale &gt;180d</v>
      </c>
      <c r="T199" s="20" t="n">
        <f aca="false">COUNTIF(M199:S199,"FAIL*")+COUNTIF(M199:S199,"FLAG*")</f>
        <v>1</v>
      </c>
      <c r="U199" s="20" t="str">
        <f aca="false">IF(T199=0,"CLEAN",IF(T199=1,"MINOR",IF(T199&lt;=3,"MODERATE","CRITICAL")))</f>
        <v>MINOR</v>
      </c>
      <c r="V199" s="20" t="str">
        <f aca="false">IF(U199="CLEAN","None",IF(U199="MINOR","Seller Notify",IF(U199="MODERATE","Listing Suspended","Immediate Removal")))</f>
        <v>Seller Notify</v>
      </c>
    </row>
    <row r="200" customFormat="false" ht="18" hidden="false" customHeight="true" outlineLevel="0" collapsed="false">
      <c r="A200" s="19" t="s">
        <v>6277</v>
      </c>
      <c r="B200" s="19" t="s">
        <v>1644</v>
      </c>
      <c r="C200" s="19" t="s">
        <v>77</v>
      </c>
      <c r="D200" s="19" t="s">
        <v>78</v>
      </c>
      <c r="E200" s="19" t="s">
        <v>79</v>
      </c>
      <c r="F200" s="19" t="s">
        <v>127</v>
      </c>
      <c r="G200" s="19" t="s">
        <v>1646</v>
      </c>
      <c r="H200" s="19" t="s">
        <v>1647</v>
      </c>
      <c r="I200" s="19" t="s">
        <v>1648</v>
      </c>
      <c r="J200" s="19" t="n">
        <v>1029.6</v>
      </c>
      <c r="K200" s="19" t="s">
        <v>1652</v>
      </c>
      <c r="L200" s="19"/>
      <c r="M200" s="20" t="str">
        <f aca="false">IF(G200&lt;&gt;"","PASS","FAIL - Missing UPC")</f>
        <v>PASS</v>
      </c>
      <c r="N200" s="20" t="str">
        <f aca="false">IF(AND(G200&lt;&gt;"",H200&lt;&gt;""),IF("0"&amp;G200=H200,"PASS","FAIL - GTIN Mismatch"),"SKIP")</f>
        <v>PASS</v>
      </c>
      <c r="O200" s="20" t="str">
        <f aca="false">IF(I200="","FAIL - No Title",IF(LEN(I200)&lt;=126,"PASS","FAIL - Title &gt;"&amp;126&amp;" chars"))</f>
        <v>PASS</v>
      </c>
      <c r="P200" s="20" t="str">
        <f aca="false">IF(J200&gt;0,IF(J200&lt;5000,"PASS","FLAG - Review Price"),"FAIL - Zero Price")</f>
        <v>PASS</v>
      </c>
      <c r="Q200" s="20" t="str">
        <f aca="false">IF('Raw Catalog'!P198&lt;&gt;"","PASS","FAIL - No Image")</f>
        <v>PASS</v>
      </c>
      <c r="R200" s="20" t="str">
        <f aca="false">IF(F200&lt;&gt;"","PASS","FAIL - No Brand")</f>
        <v>PASS</v>
      </c>
      <c r="S200" s="20" t="str">
        <f aca="true">IF(K200="","FAIL - No Date",IF(TODAY()-DATEVALUE(K200)&lt;=180,"PASS","FLAG - Stale &gt;180d"))</f>
        <v>FLAG - Stale &gt;180d</v>
      </c>
      <c r="T200" s="20" t="n">
        <f aca="false">COUNTIF(M200:S200,"FAIL*")+COUNTIF(M200:S200,"FLAG*")</f>
        <v>1</v>
      </c>
      <c r="U200" s="20" t="str">
        <f aca="false">IF(T200=0,"CLEAN",IF(T200=1,"MINOR",IF(T200&lt;=3,"MODERATE","CRITICAL")))</f>
        <v>MINOR</v>
      </c>
      <c r="V200" s="20" t="str">
        <f aca="false">IF(U200="CLEAN","None",IF(U200="MINOR","Seller Notify",IF(U200="MODERATE","Listing Suspended","Immediate Removal")))</f>
        <v>Seller Notify</v>
      </c>
    </row>
    <row r="201" customFormat="false" ht="18" hidden="false" customHeight="true" outlineLevel="0" collapsed="false">
      <c r="A201" s="19" t="s">
        <v>6278</v>
      </c>
      <c r="B201" s="19" t="s">
        <v>1653</v>
      </c>
      <c r="C201" s="19" t="s">
        <v>77</v>
      </c>
      <c r="D201" s="19" t="s">
        <v>78</v>
      </c>
      <c r="E201" s="19" t="s">
        <v>65</v>
      </c>
      <c r="F201" s="19" t="s">
        <v>438</v>
      </c>
      <c r="G201" s="19" t="s">
        <v>1655</v>
      </c>
      <c r="H201" s="19" t="s">
        <v>1656</v>
      </c>
      <c r="I201" s="19" t="s">
        <v>1657</v>
      </c>
      <c r="J201" s="19" t="n">
        <v>194.22</v>
      </c>
      <c r="K201" s="19" t="s">
        <v>1661</v>
      </c>
      <c r="L201" s="19"/>
      <c r="M201" s="20" t="str">
        <f aca="false">IF(G201&lt;&gt;"","PASS","FAIL - Missing UPC")</f>
        <v>PASS</v>
      </c>
      <c r="N201" s="20" t="str">
        <f aca="false">IF(AND(G201&lt;&gt;"",H201&lt;&gt;""),IF("0"&amp;G201=H201,"PASS","FAIL - GTIN Mismatch"),"SKIP")</f>
        <v>PASS</v>
      </c>
      <c r="O201" s="20" t="str">
        <f aca="false">IF(I201="","FAIL - No Title",IF(LEN(I201)&lt;=126,"PASS","FAIL - Title &gt;"&amp;126&amp;" chars"))</f>
        <v>PASS</v>
      </c>
      <c r="P201" s="20" t="str">
        <f aca="false">IF(J201&gt;0,IF(J201&lt;5000,"PASS","FLAG - Review Price"),"FAIL - Zero Price")</f>
        <v>PASS</v>
      </c>
      <c r="Q201" s="20" t="str">
        <f aca="false">IF('Raw Catalog'!P199&lt;&gt;"","PASS","FAIL - No Image")</f>
        <v>PASS</v>
      </c>
      <c r="R201" s="20" t="str">
        <f aca="false">IF(F201&lt;&gt;"","PASS","FAIL - No Brand")</f>
        <v>PASS</v>
      </c>
      <c r="S201" s="20" t="str">
        <f aca="true">IF(K201="","FAIL - No Date",IF(TODAY()-DATEVALUE(K201)&lt;=180,"PASS","FLAG - Stale &gt;180d"))</f>
        <v>FLAG - Stale &gt;180d</v>
      </c>
      <c r="T201" s="20" t="n">
        <f aca="false">COUNTIF(M201:S201,"FAIL*")+COUNTIF(M201:S201,"FLAG*")</f>
        <v>1</v>
      </c>
      <c r="U201" s="20" t="str">
        <f aca="false">IF(T201=0,"CLEAN",IF(T201=1,"MINOR",IF(T201&lt;=3,"MODERATE","CRITICAL")))</f>
        <v>MINOR</v>
      </c>
      <c r="V201" s="20" t="str">
        <f aca="false">IF(U201="CLEAN","None",IF(U201="MINOR","Seller Notify",IF(U201="MODERATE","Listing Suspended","Immediate Removal")))</f>
        <v>Seller Notify</v>
      </c>
    </row>
    <row r="202" customFormat="false" ht="18" hidden="false" customHeight="true" outlineLevel="0" collapsed="false">
      <c r="A202" s="19" t="s">
        <v>6279</v>
      </c>
      <c r="B202" s="19" t="s">
        <v>1662</v>
      </c>
      <c r="C202" s="19" t="s">
        <v>48</v>
      </c>
      <c r="D202" s="19" t="s">
        <v>49</v>
      </c>
      <c r="E202" s="19" t="s">
        <v>79</v>
      </c>
      <c r="F202" s="19" t="s">
        <v>1531</v>
      </c>
      <c r="G202" s="19" t="s">
        <v>1664</v>
      </c>
      <c r="H202" s="19" t="s">
        <v>1665</v>
      </c>
      <c r="I202" s="19" t="s">
        <v>1666</v>
      </c>
      <c r="J202" s="19" t="n">
        <v>1427.18</v>
      </c>
      <c r="K202" s="19" t="s">
        <v>1669</v>
      </c>
      <c r="L202" s="21" t="s">
        <v>1014</v>
      </c>
      <c r="M202" s="20" t="str">
        <f aca="false">IF(G202&lt;&gt;"","PASS","FAIL - Missing UPC")</f>
        <v>PASS</v>
      </c>
      <c r="N202" s="20" t="str">
        <f aca="false">IF(AND(G202&lt;&gt;"",H202&lt;&gt;""),IF("0"&amp;G202=H202,"PASS","FAIL - GTIN Mismatch"),"SKIP")</f>
        <v>PASS</v>
      </c>
      <c r="O202" s="20" t="str">
        <f aca="false">IF(I202="","FAIL - No Title",IF(LEN(I202)&lt;=126,"PASS","FAIL - Title &gt;"&amp;126&amp;" chars"))</f>
        <v>PASS</v>
      </c>
      <c r="P202" s="20" t="str">
        <f aca="false">IF(J202&gt;0,IF(J202&lt;5000,"PASS","FLAG - Review Price"),"FAIL - Zero Price")</f>
        <v>PASS</v>
      </c>
      <c r="Q202" s="20" t="str">
        <f aca="false">IF('Raw Catalog'!P200&lt;&gt;"","PASS","FAIL - No Image")</f>
        <v>FAIL - No Image</v>
      </c>
      <c r="R202" s="20" t="str">
        <f aca="false">IF(F202&lt;&gt;"","PASS","FAIL - No Brand")</f>
        <v>PASS</v>
      </c>
      <c r="S202" s="20" t="str">
        <f aca="true">IF(K202="","FAIL - No Date",IF(TODAY()-DATEVALUE(K202)&lt;=180,"PASS","FLAG - Stale &gt;180d"))</f>
        <v>FLAG - Stale &gt;180d</v>
      </c>
      <c r="T202" s="20" t="n">
        <f aca="false">COUNTIF(M202:S202,"FAIL*")+COUNTIF(M202:S202,"FLAG*")</f>
        <v>2</v>
      </c>
      <c r="U202" s="20" t="str">
        <f aca="false">IF(T202=0,"CLEAN",IF(T202=1,"MINOR",IF(T202&lt;=3,"MODERATE","CRITICAL")))</f>
        <v>MODERATE</v>
      </c>
      <c r="V202" s="20" t="str">
        <f aca="false">IF(U202="CLEAN","None",IF(U202="MINOR","Seller Notify",IF(U202="MODERATE","Listing Suspended","Immediate Removal")))</f>
        <v>Listing Suspended</v>
      </c>
    </row>
    <row r="203" customFormat="false" ht="18" hidden="false" customHeight="true" outlineLevel="0" collapsed="false">
      <c r="A203" s="19" t="s">
        <v>6280</v>
      </c>
      <c r="B203" s="19" t="s">
        <v>1670</v>
      </c>
      <c r="C203" s="19" t="s">
        <v>63</v>
      </c>
      <c r="D203" s="19" t="s">
        <v>64</v>
      </c>
      <c r="E203" s="19" t="s">
        <v>91</v>
      </c>
      <c r="F203" s="19" t="s">
        <v>780</v>
      </c>
      <c r="G203" s="19" t="s">
        <v>1672</v>
      </c>
      <c r="H203" s="19" t="s">
        <v>1673</v>
      </c>
      <c r="I203" s="19" t="s">
        <v>1674</v>
      </c>
      <c r="J203" s="19" t="n">
        <v>3844.29</v>
      </c>
      <c r="K203" s="19" t="s">
        <v>1026</v>
      </c>
      <c r="L203" s="19"/>
      <c r="M203" s="20" t="str">
        <f aca="false">IF(G203&lt;&gt;"","PASS","FAIL - Missing UPC")</f>
        <v>PASS</v>
      </c>
      <c r="N203" s="20" t="str">
        <f aca="false">IF(AND(G203&lt;&gt;"",H203&lt;&gt;""),IF("0"&amp;G203=H203,"PASS","FAIL - GTIN Mismatch"),"SKIP")</f>
        <v>PASS</v>
      </c>
      <c r="O203" s="20" t="str">
        <f aca="false">IF(I203="","FAIL - No Title",IF(LEN(I203)&lt;=126,"PASS","FAIL - Title &gt;"&amp;126&amp;" chars"))</f>
        <v>PASS</v>
      </c>
      <c r="P203" s="20" t="str">
        <f aca="false">IF(J203&gt;0,IF(J203&lt;5000,"PASS","FLAG - Review Price"),"FAIL - Zero Price")</f>
        <v>PASS</v>
      </c>
      <c r="Q203" s="20" t="str">
        <f aca="false">IF('Raw Catalog'!P201&lt;&gt;"","PASS","FAIL - No Image")</f>
        <v>PASS</v>
      </c>
      <c r="R203" s="20" t="str">
        <f aca="false">IF(F203&lt;&gt;"","PASS","FAIL - No Brand")</f>
        <v>PASS</v>
      </c>
      <c r="S203" s="20" t="str">
        <f aca="true">IF(K203="","FAIL - No Date",IF(TODAY()-DATEVALUE(K203)&lt;=180,"PASS","FLAG - Stale &gt;180d"))</f>
        <v>FLAG - Stale &gt;180d</v>
      </c>
      <c r="T203" s="20" t="n">
        <f aca="false">COUNTIF(M203:S203,"FAIL*")+COUNTIF(M203:S203,"FLAG*")</f>
        <v>1</v>
      </c>
      <c r="U203" s="20" t="str">
        <f aca="false">IF(T203=0,"CLEAN",IF(T203=1,"MINOR",IF(T203&lt;=3,"MODERATE","CRITICAL")))</f>
        <v>MINOR</v>
      </c>
      <c r="V203" s="20" t="str">
        <f aca="false">IF(U203="CLEAN","None",IF(U203="MINOR","Seller Notify",IF(U203="MODERATE","Listing Suspended","Immediate Removal")))</f>
        <v>Seller Notify</v>
      </c>
    </row>
    <row r="204" customFormat="false" ht="18" hidden="false" customHeight="true" outlineLevel="0" collapsed="false">
      <c r="A204" s="19" t="s">
        <v>6281</v>
      </c>
      <c r="B204" s="19" t="s">
        <v>1678</v>
      </c>
      <c r="C204" s="19" t="s">
        <v>255</v>
      </c>
      <c r="D204" s="19" t="s">
        <v>256</v>
      </c>
      <c r="E204" s="19" t="s">
        <v>161</v>
      </c>
      <c r="F204" s="19" t="s">
        <v>306</v>
      </c>
      <c r="G204" s="19" t="s">
        <v>1680</v>
      </c>
      <c r="H204" s="19" t="s">
        <v>1681</v>
      </c>
      <c r="I204" s="19" t="s">
        <v>1682</v>
      </c>
      <c r="J204" s="19" t="n">
        <v>491.22</v>
      </c>
      <c r="K204" s="19" t="s">
        <v>1685</v>
      </c>
      <c r="L204" s="19"/>
      <c r="M204" s="20" t="str">
        <f aca="false">IF(G204&lt;&gt;"","PASS","FAIL - Missing UPC")</f>
        <v>PASS</v>
      </c>
      <c r="N204" s="20" t="str">
        <f aca="false">IF(AND(G204&lt;&gt;"",H204&lt;&gt;""),IF("0"&amp;G204=H204,"PASS","FAIL - GTIN Mismatch"),"SKIP")</f>
        <v>PASS</v>
      </c>
      <c r="O204" s="20" t="str">
        <f aca="false">IF(I204="","FAIL - No Title",IF(LEN(I204)&lt;=126,"PASS","FAIL - Title &gt;"&amp;126&amp;" chars"))</f>
        <v>PASS</v>
      </c>
      <c r="P204" s="20" t="str">
        <f aca="false">IF(J204&gt;0,IF(J204&lt;5000,"PASS","FLAG - Review Price"),"FAIL - Zero Price")</f>
        <v>PASS</v>
      </c>
      <c r="Q204" s="20" t="str">
        <f aca="false">IF('Raw Catalog'!P202&lt;&gt;"","PASS","FAIL - No Image")</f>
        <v>PASS</v>
      </c>
      <c r="R204" s="20" t="str">
        <f aca="false">IF(F204&lt;&gt;"","PASS","FAIL - No Brand")</f>
        <v>PASS</v>
      </c>
      <c r="S204" s="20" t="str">
        <f aca="true">IF(K204="","FAIL - No Date",IF(TODAY()-DATEVALUE(K204)&lt;=180,"PASS","FLAG - Stale &gt;180d"))</f>
        <v>FLAG - Stale &gt;180d</v>
      </c>
      <c r="T204" s="20" t="n">
        <f aca="false">COUNTIF(M204:S204,"FAIL*")+COUNTIF(M204:S204,"FLAG*")</f>
        <v>1</v>
      </c>
      <c r="U204" s="20" t="str">
        <f aca="false">IF(T204=0,"CLEAN",IF(T204=1,"MINOR",IF(T204&lt;=3,"MODERATE","CRITICAL")))</f>
        <v>MINOR</v>
      </c>
      <c r="V204" s="20" t="str">
        <f aca="false">IF(U204="CLEAN","None",IF(U204="MINOR","Seller Notify",IF(U204="MODERATE","Listing Suspended","Immediate Removal")))</f>
        <v>Seller Notify</v>
      </c>
    </row>
    <row r="205" customFormat="false" ht="18" hidden="false" customHeight="true" outlineLevel="0" collapsed="false">
      <c r="A205" s="19" t="s">
        <v>6282</v>
      </c>
      <c r="B205" s="19" t="s">
        <v>1686</v>
      </c>
      <c r="C205" s="19" t="s">
        <v>255</v>
      </c>
      <c r="D205" s="19" t="s">
        <v>256</v>
      </c>
      <c r="E205" s="19" t="s">
        <v>91</v>
      </c>
      <c r="F205" s="19" t="s">
        <v>419</v>
      </c>
      <c r="G205" s="19" t="s">
        <v>1688</v>
      </c>
      <c r="H205" s="19" t="s">
        <v>1689</v>
      </c>
      <c r="I205" s="19" t="s">
        <v>1690</v>
      </c>
      <c r="J205" s="19" t="n">
        <v>638.73</v>
      </c>
      <c r="K205" s="19" t="s">
        <v>531</v>
      </c>
      <c r="L205" s="19"/>
      <c r="M205" s="20" t="str">
        <f aca="false">IF(G205&lt;&gt;"","PASS","FAIL - Missing UPC")</f>
        <v>PASS</v>
      </c>
      <c r="N205" s="20" t="str">
        <f aca="false">IF(AND(G205&lt;&gt;"",H205&lt;&gt;""),IF("0"&amp;G205=H205,"PASS","FAIL - GTIN Mismatch"),"SKIP")</f>
        <v>PASS</v>
      </c>
      <c r="O205" s="20" t="str">
        <f aca="false">IF(I205="","FAIL - No Title",IF(LEN(I205)&lt;=126,"PASS","FAIL - Title &gt;"&amp;126&amp;" chars"))</f>
        <v>PASS</v>
      </c>
      <c r="P205" s="20" t="str">
        <f aca="false">IF(J205&gt;0,IF(J205&lt;5000,"PASS","FLAG - Review Price"),"FAIL - Zero Price")</f>
        <v>PASS</v>
      </c>
      <c r="Q205" s="20" t="str">
        <f aca="false">IF('Raw Catalog'!P203&lt;&gt;"","PASS","FAIL - No Image")</f>
        <v>PASS</v>
      </c>
      <c r="R205" s="20" t="str">
        <f aca="false">IF(F205&lt;&gt;"","PASS","FAIL - No Brand")</f>
        <v>PASS</v>
      </c>
      <c r="S205" s="20" t="str">
        <f aca="true">IF(K205="","FAIL - No Date",IF(TODAY()-DATEVALUE(K205)&lt;=180,"PASS","FLAG - Stale &gt;180d"))</f>
        <v>FLAG - Stale &gt;180d</v>
      </c>
      <c r="T205" s="20" t="n">
        <f aca="false">COUNTIF(M205:S205,"FAIL*")+COUNTIF(M205:S205,"FLAG*")</f>
        <v>1</v>
      </c>
      <c r="U205" s="20" t="str">
        <f aca="false">IF(T205=0,"CLEAN",IF(T205=1,"MINOR",IF(T205&lt;=3,"MODERATE","CRITICAL")))</f>
        <v>MINOR</v>
      </c>
      <c r="V205" s="20" t="str">
        <f aca="false">IF(U205="CLEAN","None",IF(U205="MINOR","Seller Notify",IF(U205="MODERATE","Listing Suspended","Immediate Removal")))</f>
        <v>Seller Notify</v>
      </c>
    </row>
    <row r="206" customFormat="false" ht="18" hidden="false" customHeight="true" outlineLevel="0" collapsed="false">
      <c r="A206" s="19" t="s">
        <v>6283</v>
      </c>
      <c r="B206" s="19" t="s">
        <v>1692</v>
      </c>
      <c r="C206" s="19" t="s">
        <v>125</v>
      </c>
      <c r="D206" s="19" t="s">
        <v>126</v>
      </c>
      <c r="E206" s="19" t="s">
        <v>65</v>
      </c>
      <c r="F206" s="19" t="s">
        <v>66</v>
      </c>
      <c r="G206" s="19" t="s">
        <v>1694</v>
      </c>
      <c r="H206" s="19" t="s">
        <v>1695</v>
      </c>
      <c r="I206" s="19" t="s">
        <v>1696</v>
      </c>
      <c r="J206" s="19" t="n">
        <v>297.21</v>
      </c>
      <c r="K206" s="19" t="s">
        <v>1700</v>
      </c>
      <c r="L206" s="19"/>
      <c r="M206" s="20" t="str">
        <f aca="false">IF(G206&lt;&gt;"","PASS","FAIL - Missing UPC")</f>
        <v>PASS</v>
      </c>
      <c r="N206" s="20" t="str">
        <f aca="false">IF(AND(G206&lt;&gt;"",H206&lt;&gt;""),IF("0"&amp;G206=H206,"PASS","FAIL - GTIN Mismatch"),"SKIP")</f>
        <v>PASS</v>
      </c>
      <c r="O206" s="20" t="str">
        <f aca="false">IF(I206="","FAIL - No Title",IF(LEN(I206)&lt;=126,"PASS","FAIL - Title &gt;"&amp;126&amp;" chars"))</f>
        <v>PASS</v>
      </c>
      <c r="P206" s="20" t="str">
        <f aca="false">IF(J206&gt;0,IF(J206&lt;5000,"PASS","FLAG - Review Price"),"FAIL - Zero Price")</f>
        <v>PASS</v>
      </c>
      <c r="Q206" s="20" t="str">
        <f aca="false">IF('Raw Catalog'!P204&lt;&gt;"","PASS","FAIL - No Image")</f>
        <v>PASS</v>
      </c>
      <c r="R206" s="20" t="str">
        <f aca="false">IF(F206&lt;&gt;"","PASS","FAIL - No Brand")</f>
        <v>PASS</v>
      </c>
      <c r="S206" s="20" t="str">
        <f aca="true">IF(K206="","FAIL - No Date",IF(TODAY()-DATEVALUE(K206)&lt;=180,"PASS","FLAG - Stale &gt;180d"))</f>
        <v>FLAG - Stale &gt;180d</v>
      </c>
      <c r="T206" s="20" t="n">
        <f aca="false">COUNTIF(M206:S206,"FAIL*")+COUNTIF(M206:S206,"FLAG*")</f>
        <v>1</v>
      </c>
      <c r="U206" s="20" t="str">
        <f aca="false">IF(T206=0,"CLEAN",IF(T206=1,"MINOR",IF(T206&lt;=3,"MODERATE","CRITICAL")))</f>
        <v>MINOR</v>
      </c>
      <c r="V206" s="20" t="str">
        <f aca="false">IF(U206="CLEAN","None",IF(U206="MINOR","Seller Notify",IF(U206="MODERATE","Listing Suspended","Immediate Removal")))</f>
        <v>Seller Notify</v>
      </c>
    </row>
    <row r="207" customFormat="false" ht="18" hidden="false" customHeight="true" outlineLevel="0" collapsed="false">
      <c r="A207" s="19" t="s">
        <v>6284</v>
      </c>
      <c r="B207" s="19" t="s">
        <v>1701</v>
      </c>
      <c r="C207" s="19" t="s">
        <v>125</v>
      </c>
      <c r="D207" s="19" t="s">
        <v>126</v>
      </c>
      <c r="E207" s="19" t="s">
        <v>91</v>
      </c>
      <c r="F207" s="19" t="s">
        <v>92</v>
      </c>
      <c r="G207" s="19" t="s">
        <v>1703</v>
      </c>
      <c r="H207" s="19" t="s">
        <v>1704</v>
      </c>
      <c r="I207" s="19" t="s">
        <v>1705</v>
      </c>
      <c r="J207" s="19" t="n">
        <v>2669.91</v>
      </c>
      <c r="K207" s="19" t="s">
        <v>1708</v>
      </c>
      <c r="L207" s="21" t="s">
        <v>778</v>
      </c>
      <c r="M207" s="20" t="str">
        <f aca="false">IF(G207&lt;&gt;"","PASS","FAIL - Missing UPC")</f>
        <v>PASS</v>
      </c>
      <c r="N207" s="20" t="str">
        <f aca="false">IF(AND(G207&lt;&gt;"",H207&lt;&gt;""),IF("0"&amp;G207=H207,"PASS","FAIL - GTIN Mismatch"),"SKIP")</f>
        <v>PASS</v>
      </c>
      <c r="O207" s="20" t="str">
        <f aca="false">IF(I207="","FAIL - No Title",IF(LEN(I207)&lt;=126,"PASS","FAIL - Title &gt;"&amp;126&amp;" chars"))</f>
        <v>FAIL - Title &gt;126 chars</v>
      </c>
      <c r="P207" s="20" t="str">
        <f aca="false">IF(J207&gt;0,IF(J207&lt;5000,"PASS","FLAG - Review Price"),"FAIL - Zero Price")</f>
        <v>PASS</v>
      </c>
      <c r="Q207" s="20" t="str">
        <f aca="false">IF('Raw Catalog'!P205&lt;&gt;"","PASS","FAIL - No Image")</f>
        <v>PASS</v>
      </c>
      <c r="R207" s="20" t="str">
        <f aca="false">IF(F207&lt;&gt;"","PASS","FAIL - No Brand")</f>
        <v>PASS</v>
      </c>
      <c r="S207" s="20" t="str">
        <f aca="true">IF(K207="","FAIL - No Date",IF(TODAY()-DATEVALUE(K207)&lt;=180,"PASS","FLAG - Stale &gt;180d"))</f>
        <v>FLAG - Stale &gt;180d</v>
      </c>
      <c r="T207" s="20" t="n">
        <f aca="false">COUNTIF(M207:S207,"FAIL*")+COUNTIF(M207:S207,"FLAG*")</f>
        <v>2</v>
      </c>
      <c r="U207" s="20" t="str">
        <f aca="false">IF(T207=0,"CLEAN",IF(T207=1,"MINOR",IF(T207&lt;=3,"MODERATE","CRITICAL")))</f>
        <v>MODERATE</v>
      </c>
      <c r="V207" s="20" t="str">
        <f aca="false">IF(U207="CLEAN","None",IF(U207="MINOR","Seller Notify",IF(U207="MODERATE","Listing Suspended","Immediate Removal")))</f>
        <v>Listing Suspended</v>
      </c>
    </row>
    <row r="208" customFormat="false" ht="18" hidden="false" customHeight="true" outlineLevel="0" collapsed="false">
      <c r="A208" s="19" t="s">
        <v>6285</v>
      </c>
      <c r="B208" s="19" t="s">
        <v>1709</v>
      </c>
      <c r="C208" s="19" t="s">
        <v>63</v>
      </c>
      <c r="D208" s="19" t="s">
        <v>64</v>
      </c>
      <c r="E208" s="19" t="s">
        <v>91</v>
      </c>
      <c r="F208" s="19" t="s">
        <v>587</v>
      </c>
      <c r="G208" s="19" t="s">
        <v>1711</v>
      </c>
      <c r="H208" s="19" t="s">
        <v>1712</v>
      </c>
      <c r="I208" s="19" t="s">
        <v>1713</v>
      </c>
      <c r="J208" s="19" t="n">
        <v>3813.33</v>
      </c>
      <c r="K208" s="19" t="s">
        <v>829</v>
      </c>
      <c r="L208" s="19"/>
      <c r="M208" s="20" t="str">
        <f aca="false">IF(G208&lt;&gt;"","PASS","FAIL - Missing UPC")</f>
        <v>PASS</v>
      </c>
      <c r="N208" s="20" t="str">
        <f aca="false">IF(AND(G208&lt;&gt;"",H208&lt;&gt;""),IF("0"&amp;G208=H208,"PASS","FAIL - GTIN Mismatch"),"SKIP")</f>
        <v>PASS</v>
      </c>
      <c r="O208" s="20" t="str">
        <f aca="false">IF(I208="","FAIL - No Title",IF(LEN(I208)&lt;=126,"PASS","FAIL - Title &gt;"&amp;126&amp;" chars"))</f>
        <v>PASS</v>
      </c>
      <c r="P208" s="20" t="str">
        <f aca="false">IF(J208&gt;0,IF(J208&lt;5000,"PASS","FLAG - Review Price"),"FAIL - Zero Price")</f>
        <v>PASS</v>
      </c>
      <c r="Q208" s="20" t="str">
        <f aca="false">IF('Raw Catalog'!P206&lt;&gt;"","PASS","FAIL - No Image")</f>
        <v>PASS</v>
      </c>
      <c r="R208" s="20" t="str">
        <f aca="false">IF(F208&lt;&gt;"","PASS","FAIL - No Brand")</f>
        <v>PASS</v>
      </c>
      <c r="S208" s="20" t="str">
        <f aca="true">IF(K208="","FAIL - No Date",IF(TODAY()-DATEVALUE(K208)&lt;=180,"PASS","FLAG - Stale &gt;180d"))</f>
        <v>FLAG - Stale &gt;180d</v>
      </c>
      <c r="T208" s="20" t="n">
        <f aca="false">COUNTIF(M208:S208,"FAIL*")+COUNTIF(M208:S208,"FLAG*")</f>
        <v>1</v>
      </c>
      <c r="U208" s="20" t="str">
        <f aca="false">IF(T208=0,"CLEAN",IF(T208=1,"MINOR",IF(T208&lt;=3,"MODERATE","CRITICAL")))</f>
        <v>MINOR</v>
      </c>
      <c r="V208" s="20" t="str">
        <f aca="false">IF(U208="CLEAN","None",IF(U208="MINOR","Seller Notify",IF(U208="MODERATE","Listing Suspended","Immediate Removal")))</f>
        <v>Seller Notify</v>
      </c>
    </row>
    <row r="209" customFormat="false" ht="18" hidden="false" customHeight="true" outlineLevel="0" collapsed="false">
      <c r="A209" s="19" t="s">
        <v>6286</v>
      </c>
      <c r="B209" s="19" t="s">
        <v>1716</v>
      </c>
      <c r="C209" s="19" t="s">
        <v>48</v>
      </c>
      <c r="D209" s="19" t="s">
        <v>49</v>
      </c>
      <c r="E209" s="19" t="s">
        <v>161</v>
      </c>
      <c r="F209" s="19" t="s">
        <v>295</v>
      </c>
      <c r="G209" s="19" t="s">
        <v>1718</v>
      </c>
      <c r="H209" s="19" t="s">
        <v>1719</v>
      </c>
      <c r="I209" s="19" t="s">
        <v>1720</v>
      </c>
      <c r="J209" s="19" t="n">
        <v>328.67</v>
      </c>
      <c r="K209" s="19" t="s">
        <v>1724</v>
      </c>
      <c r="L209" s="19"/>
      <c r="M209" s="20" t="str">
        <f aca="false">IF(G209&lt;&gt;"","PASS","FAIL - Missing UPC")</f>
        <v>PASS</v>
      </c>
      <c r="N209" s="20" t="str">
        <f aca="false">IF(AND(G209&lt;&gt;"",H209&lt;&gt;""),IF("0"&amp;G209=H209,"PASS","FAIL - GTIN Mismatch"),"SKIP")</f>
        <v>PASS</v>
      </c>
      <c r="O209" s="20" t="str">
        <f aca="false">IF(I209="","FAIL - No Title",IF(LEN(I209)&lt;=126,"PASS","FAIL - Title &gt;"&amp;126&amp;" chars"))</f>
        <v>PASS</v>
      </c>
      <c r="P209" s="20" t="str">
        <f aca="false">IF(J209&gt;0,IF(J209&lt;5000,"PASS","FLAG - Review Price"),"FAIL - Zero Price")</f>
        <v>PASS</v>
      </c>
      <c r="Q209" s="20" t="str">
        <f aca="false">IF('Raw Catalog'!P207&lt;&gt;"","PASS","FAIL - No Image")</f>
        <v>PASS</v>
      </c>
      <c r="R209" s="20" t="str">
        <f aca="false">IF(F209&lt;&gt;"","PASS","FAIL - No Brand")</f>
        <v>PASS</v>
      </c>
      <c r="S209" s="20" t="str">
        <f aca="true">IF(K209="","FAIL - No Date",IF(TODAY()-DATEVALUE(K209)&lt;=180,"PASS","FLAG - Stale &gt;180d"))</f>
        <v>FLAG - Stale &gt;180d</v>
      </c>
      <c r="T209" s="20" t="n">
        <f aca="false">COUNTIF(M209:S209,"FAIL*")+COUNTIF(M209:S209,"FLAG*")</f>
        <v>1</v>
      </c>
      <c r="U209" s="20" t="str">
        <f aca="false">IF(T209=0,"CLEAN",IF(T209=1,"MINOR",IF(T209&lt;=3,"MODERATE","CRITICAL")))</f>
        <v>MINOR</v>
      </c>
      <c r="V209" s="20" t="str">
        <f aca="false">IF(U209="CLEAN","None",IF(U209="MINOR","Seller Notify",IF(U209="MODERATE","Listing Suspended","Immediate Removal")))</f>
        <v>Seller Notify</v>
      </c>
    </row>
    <row r="210" customFormat="false" ht="18" hidden="false" customHeight="true" outlineLevel="0" collapsed="false">
      <c r="A210" s="19" t="s">
        <v>6287</v>
      </c>
      <c r="B210" s="19" t="s">
        <v>1725</v>
      </c>
      <c r="C210" s="19" t="s">
        <v>173</v>
      </c>
      <c r="D210" s="19" t="s">
        <v>174</v>
      </c>
      <c r="E210" s="19" t="s">
        <v>161</v>
      </c>
      <c r="F210" s="19" t="s">
        <v>185</v>
      </c>
      <c r="G210" s="19" t="s">
        <v>1727</v>
      </c>
      <c r="H210" s="19" t="s">
        <v>1728</v>
      </c>
      <c r="I210" s="19" t="s">
        <v>1729</v>
      </c>
      <c r="J210" s="19" t="n">
        <v>449.08</v>
      </c>
      <c r="K210" s="19" t="s">
        <v>1731</v>
      </c>
      <c r="L210" s="19"/>
      <c r="M210" s="20" t="str">
        <f aca="false">IF(G210&lt;&gt;"","PASS","FAIL - Missing UPC")</f>
        <v>PASS</v>
      </c>
      <c r="N210" s="20" t="str">
        <f aca="false">IF(AND(G210&lt;&gt;"",H210&lt;&gt;""),IF("0"&amp;G210=H210,"PASS","FAIL - GTIN Mismatch"),"SKIP")</f>
        <v>PASS</v>
      </c>
      <c r="O210" s="20" t="str">
        <f aca="false">IF(I210="","FAIL - No Title",IF(LEN(I210)&lt;=126,"PASS","FAIL - Title &gt;"&amp;126&amp;" chars"))</f>
        <v>PASS</v>
      </c>
      <c r="P210" s="20" t="str">
        <f aca="false">IF(J210&gt;0,IF(J210&lt;5000,"PASS","FLAG - Review Price"),"FAIL - Zero Price")</f>
        <v>PASS</v>
      </c>
      <c r="Q210" s="20" t="str">
        <f aca="false">IF('Raw Catalog'!P208&lt;&gt;"","PASS","FAIL - No Image")</f>
        <v>PASS</v>
      </c>
      <c r="R210" s="20" t="str">
        <f aca="false">IF(F210&lt;&gt;"","PASS","FAIL - No Brand")</f>
        <v>PASS</v>
      </c>
      <c r="S210" s="20" t="str">
        <f aca="true">IF(K210="","FAIL - No Date",IF(TODAY()-DATEVALUE(K210)&lt;=180,"PASS","FLAG - Stale &gt;180d"))</f>
        <v>FLAG - Stale &gt;180d</v>
      </c>
      <c r="T210" s="20" t="n">
        <f aca="false">COUNTIF(M210:S210,"FAIL*")+COUNTIF(M210:S210,"FLAG*")</f>
        <v>1</v>
      </c>
      <c r="U210" s="20" t="str">
        <f aca="false">IF(T210=0,"CLEAN",IF(T210=1,"MINOR",IF(T210&lt;=3,"MODERATE","CRITICAL")))</f>
        <v>MINOR</v>
      </c>
      <c r="V210" s="20" t="str">
        <f aca="false">IF(U210="CLEAN","None",IF(U210="MINOR","Seller Notify",IF(U210="MODERATE","Listing Suspended","Immediate Removal")))</f>
        <v>Seller Notify</v>
      </c>
    </row>
    <row r="211" customFormat="false" ht="18" hidden="false" customHeight="true" outlineLevel="0" collapsed="false">
      <c r="A211" s="19" t="s">
        <v>6288</v>
      </c>
      <c r="B211" s="19" t="s">
        <v>1732</v>
      </c>
      <c r="C211" s="19" t="s">
        <v>63</v>
      </c>
      <c r="D211" s="19" t="s">
        <v>64</v>
      </c>
      <c r="E211" s="19" t="s">
        <v>50</v>
      </c>
      <c r="F211" s="19" t="s">
        <v>127</v>
      </c>
      <c r="G211" s="19" t="s">
        <v>1734</v>
      </c>
      <c r="H211" s="19" t="s">
        <v>1735</v>
      </c>
      <c r="I211" s="19" t="s">
        <v>1736</v>
      </c>
      <c r="J211" s="19" t="n">
        <v>1254.9</v>
      </c>
      <c r="K211" s="19" t="s">
        <v>271</v>
      </c>
      <c r="L211" s="19"/>
      <c r="M211" s="20" t="str">
        <f aca="false">IF(G211&lt;&gt;"","PASS","FAIL - Missing UPC")</f>
        <v>PASS</v>
      </c>
      <c r="N211" s="20" t="str">
        <f aca="false">IF(AND(G211&lt;&gt;"",H211&lt;&gt;""),IF("0"&amp;G211=H211,"PASS","FAIL - GTIN Mismatch"),"SKIP")</f>
        <v>PASS</v>
      </c>
      <c r="O211" s="20" t="str">
        <f aca="false">IF(I211="","FAIL - No Title",IF(LEN(I211)&lt;=126,"PASS","FAIL - Title &gt;"&amp;126&amp;" chars"))</f>
        <v>PASS</v>
      </c>
      <c r="P211" s="20" t="str">
        <f aca="false">IF(J211&gt;0,IF(J211&lt;5000,"PASS","FLAG - Review Price"),"FAIL - Zero Price")</f>
        <v>PASS</v>
      </c>
      <c r="Q211" s="20" t="str">
        <f aca="false">IF('Raw Catalog'!P209&lt;&gt;"","PASS","FAIL - No Image")</f>
        <v>PASS</v>
      </c>
      <c r="R211" s="20" t="str">
        <f aca="false">IF(F211&lt;&gt;"","PASS","FAIL - No Brand")</f>
        <v>PASS</v>
      </c>
      <c r="S211" s="20" t="str">
        <f aca="true">IF(K211="","FAIL - No Date",IF(TODAY()-DATEVALUE(K211)&lt;=180,"PASS","FLAG - Stale &gt;180d"))</f>
        <v>FLAG - Stale &gt;180d</v>
      </c>
      <c r="T211" s="20" t="n">
        <f aca="false">COUNTIF(M211:S211,"FAIL*")+COUNTIF(M211:S211,"FLAG*")</f>
        <v>1</v>
      </c>
      <c r="U211" s="20" t="str">
        <f aca="false">IF(T211=0,"CLEAN",IF(T211=1,"MINOR",IF(T211&lt;=3,"MODERATE","CRITICAL")))</f>
        <v>MINOR</v>
      </c>
      <c r="V211" s="20" t="str">
        <f aca="false">IF(U211="CLEAN","None",IF(U211="MINOR","Seller Notify",IF(U211="MODERATE","Listing Suspended","Immediate Removal")))</f>
        <v>Seller Notify</v>
      </c>
    </row>
    <row r="212" customFormat="false" ht="18" hidden="false" customHeight="true" outlineLevel="0" collapsed="false">
      <c r="A212" s="19" t="s">
        <v>6289</v>
      </c>
      <c r="B212" s="19" t="s">
        <v>1740</v>
      </c>
      <c r="C212" s="19" t="s">
        <v>255</v>
      </c>
      <c r="D212" s="19" t="s">
        <v>256</v>
      </c>
      <c r="E212" s="19" t="s">
        <v>91</v>
      </c>
      <c r="F212" s="19" t="s">
        <v>92</v>
      </c>
      <c r="G212" s="19" t="s">
        <v>1742</v>
      </c>
      <c r="H212" s="19" t="s">
        <v>1743</v>
      </c>
      <c r="I212" s="19" t="s">
        <v>1744</v>
      </c>
      <c r="J212" s="19" t="n">
        <v>3930.32</v>
      </c>
      <c r="K212" s="19" t="s">
        <v>1642</v>
      </c>
      <c r="L212" s="19"/>
      <c r="M212" s="20" t="str">
        <f aca="false">IF(G212&lt;&gt;"","PASS","FAIL - Missing UPC")</f>
        <v>PASS</v>
      </c>
      <c r="N212" s="20" t="str">
        <f aca="false">IF(AND(G212&lt;&gt;"",H212&lt;&gt;""),IF("0"&amp;G212=H212,"PASS","FAIL - GTIN Mismatch"),"SKIP")</f>
        <v>PASS</v>
      </c>
      <c r="O212" s="20" t="str">
        <f aca="false">IF(I212="","FAIL - No Title",IF(LEN(I212)&lt;=126,"PASS","FAIL - Title &gt;"&amp;126&amp;" chars"))</f>
        <v>PASS</v>
      </c>
      <c r="P212" s="20" t="str">
        <f aca="false">IF(J212&gt;0,IF(J212&lt;5000,"PASS","FLAG - Review Price"),"FAIL - Zero Price")</f>
        <v>PASS</v>
      </c>
      <c r="Q212" s="20" t="str">
        <f aca="false">IF('Raw Catalog'!P210&lt;&gt;"","PASS","FAIL - No Image")</f>
        <v>PASS</v>
      </c>
      <c r="R212" s="20" t="str">
        <f aca="false">IF(F212&lt;&gt;"","PASS","FAIL - No Brand")</f>
        <v>PASS</v>
      </c>
      <c r="S212" s="20" t="str">
        <f aca="true">IF(K212="","FAIL - No Date",IF(TODAY()-DATEVALUE(K212)&lt;=180,"PASS","FLAG - Stale &gt;180d"))</f>
        <v>FLAG - Stale &gt;180d</v>
      </c>
      <c r="T212" s="20" t="n">
        <f aca="false">COUNTIF(M212:S212,"FAIL*")+COUNTIF(M212:S212,"FLAG*")</f>
        <v>1</v>
      </c>
      <c r="U212" s="20" t="str">
        <f aca="false">IF(T212=0,"CLEAN",IF(T212=1,"MINOR",IF(T212&lt;=3,"MODERATE","CRITICAL")))</f>
        <v>MINOR</v>
      </c>
      <c r="V212" s="20" t="str">
        <f aca="false">IF(U212="CLEAN","None",IF(U212="MINOR","Seller Notify",IF(U212="MODERATE","Listing Suspended","Immediate Removal")))</f>
        <v>Seller Notify</v>
      </c>
    </row>
    <row r="213" customFormat="false" ht="18" hidden="false" customHeight="true" outlineLevel="0" collapsed="false">
      <c r="A213" s="19" t="s">
        <v>6290</v>
      </c>
      <c r="B213" s="19" t="s">
        <v>1746</v>
      </c>
      <c r="C213" s="19" t="s">
        <v>113</v>
      </c>
      <c r="D213" s="19" t="s">
        <v>114</v>
      </c>
      <c r="E213" s="19" t="s">
        <v>65</v>
      </c>
      <c r="F213" s="19" t="s">
        <v>390</v>
      </c>
      <c r="G213" s="19" t="s">
        <v>1748</v>
      </c>
      <c r="H213" s="19" t="s">
        <v>1749</v>
      </c>
      <c r="I213" s="19" t="s">
        <v>1750</v>
      </c>
      <c r="J213" s="19" t="n">
        <v>339.42</v>
      </c>
      <c r="K213" s="19" t="s">
        <v>314</v>
      </c>
      <c r="L213" s="19"/>
      <c r="M213" s="20" t="str">
        <f aca="false">IF(G213&lt;&gt;"","PASS","FAIL - Missing UPC")</f>
        <v>PASS</v>
      </c>
      <c r="N213" s="20" t="str">
        <f aca="false">IF(AND(G213&lt;&gt;"",H213&lt;&gt;""),IF("0"&amp;G213=H213,"PASS","FAIL - GTIN Mismatch"),"SKIP")</f>
        <v>PASS</v>
      </c>
      <c r="O213" s="20" t="str">
        <f aca="false">IF(I213="","FAIL - No Title",IF(LEN(I213)&lt;=126,"PASS","FAIL - Title &gt;"&amp;126&amp;" chars"))</f>
        <v>PASS</v>
      </c>
      <c r="P213" s="20" t="str">
        <f aca="false">IF(J213&gt;0,IF(J213&lt;5000,"PASS","FLAG - Review Price"),"FAIL - Zero Price")</f>
        <v>PASS</v>
      </c>
      <c r="Q213" s="20" t="str">
        <f aca="false">IF('Raw Catalog'!P211&lt;&gt;"","PASS","FAIL - No Image")</f>
        <v>PASS</v>
      </c>
      <c r="R213" s="20" t="str">
        <f aca="false">IF(F213&lt;&gt;"","PASS","FAIL - No Brand")</f>
        <v>PASS</v>
      </c>
      <c r="S213" s="20" t="str">
        <f aca="true">IF(K213="","FAIL - No Date",IF(TODAY()-DATEVALUE(K213)&lt;=180,"PASS","FLAG - Stale &gt;180d"))</f>
        <v>FLAG - Stale &gt;180d</v>
      </c>
      <c r="T213" s="20" t="n">
        <f aca="false">COUNTIF(M213:S213,"FAIL*")+COUNTIF(M213:S213,"FLAG*")</f>
        <v>1</v>
      </c>
      <c r="U213" s="20" t="str">
        <f aca="false">IF(T213=0,"CLEAN",IF(T213=1,"MINOR",IF(T213&lt;=3,"MODERATE","CRITICAL")))</f>
        <v>MINOR</v>
      </c>
      <c r="V213" s="20" t="str">
        <f aca="false">IF(U213="CLEAN","None",IF(U213="MINOR","Seller Notify",IF(U213="MODERATE","Listing Suspended","Immediate Removal")))</f>
        <v>Seller Notify</v>
      </c>
    </row>
    <row r="214" customFormat="false" ht="18" hidden="false" customHeight="true" outlineLevel="0" collapsed="false">
      <c r="A214" s="19" t="s">
        <v>6291</v>
      </c>
      <c r="B214" s="19" t="s">
        <v>1754</v>
      </c>
      <c r="C214" s="19" t="s">
        <v>48</v>
      </c>
      <c r="D214" s="19" t="s">
        <v>49</v>
      </c>
      <c r="E214" s="19" t="s">
        <v>161</v>
      </c>
      <c r="F214" s="19" t="s">
        <v>306</v>
      </c>
      <c r="G214" s="19" t="s">
        <v>1756</v>
      </c>
      <c r="H214" s="19" t="s">
        <v>1757</v>
      </c>
      <c r="I214" s="19" t="s">
        <v>1758</v>
      </c>
      <c r="J214" s="19" t="n">
        <v>444.27</v>
      </c>
      <c r="K214" s="19" t="s">
        <v>242</v>
      </c>
      <c r="L214" s="21" t="s">
        <v>778</v>
      </c>
      <c r="M214" s="20" t="str">
        <f aca="false">IF(G214&lt;&gt;"","PASS","FAIL - Missing UPC")</f>
        <v>PASS</v>
      </c>
      <c r="N214" s="20" t="str">
        <f aca="false">IF(AND(G214&lt;&gt;"",H214&lt;&gt;""),IF("0"&amp;G214=H214,"PASS","FAIL - GTIN Mismatch"),"SKIP")</f>
        <v>PASS</v>
      </c>
      <c r="O214" s="20" t="str">
        <f aca="false">IF(I214="","FAIL - No Title",IF(LEN(I214)&lt;=126,"PASS","FAIL - Title &gt;"&amp;126&amp;" chars"))</f>
        <v>FAIL - Title &gt;126 chars</v>
      </c>
      <c r="P214" s="20" t="str">
        <f aca="false">IF(J214&gt;0,IF(J214&lt;5000,"PASS","FLAG - Review Price"),"FAIL - Zero Price")</f>
        <v>PASS</v>
      </c>
      <c r="Q214" s="20" t="str">
        <f aca="false">IF('Raw Catalog'!P212&lt;&gt;"","PASS","FAIL - No Image")</f>
        <v>PASS</v>
      </c>
      <c r="R214" s="20" t="str">
        <f aca="false">IF(F214&lt;&gt;"","PASS","FAIL - No Brand")</f>
        <v>PASS</v>
      </c>
      <c r="S214" s="20" t="str">
        <f aca="true">IF(K214="","FAIL - No Date",IF(TODAY()-DATEVALUE(K214)&lt;=180,"PASS","FLAG - Stale &gt;180d"))</f>
        <v>FLAG - Stale &gt;180d</v>
      </c>
      <c r="T214" s="20" t="n">
        <f aca="false">COUNTIF(M214:S214,"FAIL*")+COUNTIF(M214:S214,"FLAG*")</f>
        <v>2</v>
      </c>
      <c r="U214" s="20" t="str">
        <f aca="false">IF(T214=0,"CLEAN",IF(T214=1,"MINOR",IF(T214&lt;=3,"MODERATE","CRITICAL")))</f>
        <v>MODERATE</v>
      </c>
      <c r="V214" s="20" t="str">
        <f aca="false">IF(U214="CLEAN","None",IF(U214="MINOR","Seller Notify",IF(U214="MODERATE","Listing Suspended","Immediate Removal")))</f>
        <v>Listing Suspended</v>
      </c>
    </row>
    <row r="215" customFormat="false" ht="18" hidden="false" customHeight="true" outlineLevel="0" collapsed="false">
      <c r="A215" s="19" t="s">
        <v>6292</v>
      </c>
      <c r="B215" s="19" t="s">
        <v>1759</v>
      </c>
      <c r="C215" s="19" t="s">
        <v>48</v>
      </c>
      <c r="D215" s="19" t="s">
        <v>49</v>
      </c>
      <c r="E215" s="19" t="s">
        <v>50</v>
      </c>
      <c r="F215" s="19" t="s">
        <v>51</v>
      </c>
      <c r="G215" s="19" t="s">
        <v>1761</v>
      </c>
      <c r="H215" s="19" t="s">
        <v>1762</v>
      </c>
      <c r="I215" s="19" t="s">
        <v>1763</v>
      </c>
      <c r="J215" s="19" t="n">
        <v>4855.76</v>
      </c>
      <c r="K215" s="19" t="s">
        <v>1765</v>
      </c>
      <c r="L215" s="21" t="s">
        <v>343</v>
      </c>
      <c r="M215" s="20" t="str">
        <f aca="false">IF(G215&lt;&gt;"","PASS","FAIL - Missing UPC")</f>
        <v>PASS</v>
      </c>
      <c r="N215" s="20" t="str">
        <f aca="false">IF(AND(G215&lt;&gt;"",H215&lt;&gt;""),IF("0"&amp;G215=H215,"PASS","FAIL - GTIN Mismatch"),"SKIP")</f>
        <v>PASS</v>
      </c>
      <c r="O215" s="20" t="str">
        <f aca="false">IF(I215="","FAIL - No Title",IF(LEN(I215)&lt;=126,"PASS","FAIL - Title &gt;"&amp;126&amp;" chars"))</f>
        <v>PASS</v>
      </c>
      <c r="P215" s="20" t="str">
        <f aca="false">IF(J215&gt;0,IF(J215&lt;5000,"PASS","FLAG - Review Price"),"FAIL - Zero Price")</f>
        <v>PASS</v>
      </c>
      <c r="Q215" s="20" t="str">
        <f aca="false">IF('Raw Catalog'!P213&lt;&gt;"","PASS","FAIL - No Image")</f>
        <v>PASS</v>
      </c>
      <c r="R215" s="20" t="str">
        <f aca="false">IF(F215&lt;&gt;"","PASS","FAIL - No Brand")</f>
        <v>PASS</v>
      </c>
      <c r="S215" s="20" t="str">
        <f aca="true">IF(K215="","FAIL - No Date",IF(TODAY()-DATEVALUE(K215)&lt;=180,"PASS","FLAG - Stale &gt;180d"))</f>
        <v>FLAG - Stale &gt;180d</v>
      </c>
      <c r="T215" s="20" t="n">
        <f aca="false">COUNTIF(M215:S215,"FAIL*")+COUNTIF(M215:S215,"FLAG*")</f>
        <v>1</v>
      </c>
      <c r="U215" s="20" t="str">
        <f aca="false">IF(T215=0,"CLEAN",IF(T215=1,"MINOR",IF(T215&lt;=3,"MODERATE","CRITICAL")))</f>
        <v>MINOR</v>
      </c>
      <c r="V215" s="20" t="str">
        <f aca="false">IF(U215="CLEAN","None",IF(U215="MINOR","Seller Notify",IF(U215="MODERATE","Listing Suspended","Immediate Removal")))</f>
        <v>Seller Notify</v>
      </c>
    </row>
    <row r="216" customFormat="false" ht="18" hidden="false" customHeight="true" outlineLevel="0" collapsed="false">
      <c r="A216" s="19" t="s">
        <v>6293</v>
      </c>
      <c r="B216" s="19" t="s">
        <v>1766</v>
      </c>
      <c r="C216" s="19" t="s">
        <v>255</v>
      </c>
      <c r="D216" s="19" t="s">
        <v>256</v>
      </c>
      <c r="E216" s="19" t="s">
        <v>161</v>
      </c>
      <c r="F216" s="19" t="s">
        <v>503</v>
      </c>
      <c r="G216" s="19" t="s">
        <v>1768</v>
      </c>
      <c r="H216" s="19" t="s">
        <v>1769</v>
      </c>
      <c r="I216" s="19" t="s">
        <v>1770</v>
      </c>
      <c r="J216" s="19" t="n">
        <v>488.75</v>
      </c>
      <c r="K216" s="19" t="s">
        <v>1772</v>
      </c>
      <c r="L216" s="21" t="s">
        <v>453</v>
      </c>
      <c r="M216" s="20" t="str">
        <f aca="false">IF(G216&lt;&gt;"","PASS","FAIL - Missing UPC")</f>
        <v>PASS</v>
      </c>
      <c r="N216" s="20" t="str">
        <f aca="false">IF(AND(G216&lt;&gt;"",H216&lt;&gt;""),IF("0"&amp;G216=H216,"PASS","FAIL - GTIN Mismatch"),"SKIP")</f>
        <v>PASS</v>
      </c>
      <c r="O216" s="20" t="str">
        <f aca="false">IF(I216="","FAIL - No Title",IF(LEN(I216)&lt;=126,"PASS","FAIL - Title &gt;"&amp;126&amp;" chars"))</f>
        <v>PASS</v>
      </c>
      <c r="P216" s="20" t="str">
        <f aca="false">IF(J216&gt;0,IF(J216&lt;5000,"PASS","FLAG - Review Price"),"FAIL - Zero Price")</f>
        <v>PASS</v>
      </c>
      <c r="Q216" s="20" t="str">
        <f aca="false">IF('Raw Catalog'!P214&lt;&gt;"","PASS","FAIL - No Image")</f>
        <v>PASS</v>
      </c>
      <c r="R216" s="20" t="str">
        <f aca="false">IF(F216&lt;&gt;"","PASS","FAIL - No Brand")</f>
        <v>PASS</v>
      </c>
      <c r="S216" s="20" t="str">
        <f aca="true">IF(K216="","FAIL - No Date",IF(TODAY()-DATEVALUE(K216)&lt;=180,"PASS","FLAG - Stale &gt;180d"))</f>
        <v>FLAG - Stale &gt;180d</v>
      </c>
      <c r="T216" s="20" t="n">
        <f aca="false">COUNTIF(M216:S216,"FAIL*")+COUNTIF(M216:S216,"FLAG*")</f>
        <v>1</v>
      </c>
      <c r="U216" s="20" t="str">
        <f aca="false">IF(T216=0,"CLEAN",IF(T216=1,"MINOR",IF(T216&lt;=3,"MODERATE","CRITICAL")))</f>
        <v>MINOR</v>
      </c>
      <c r="V216" s="20" t="str">
        <f aca="false">IF(U216="CLEAN","None",IF(U216="MINOR","Seller Notify",IF(U216="MODERATE","Listing Suspended","Immediate Removal")))</f>
        <v>Seller Notify</v>
      </c>
    </row>
    <row r="217" customFormat="false" ht="18" hidden="false" customHeight="true" outlineLevel="0" collapsed="false">
      <c r="A217" s="19" t="s">
        <v>6294</v>
      </c>
      <c r="B217" s="19" t="s">
        <v>1773</v>
      </c>
      <c r="C217" s="19" t="s">
        <v>77</v>
      </c>
      <c r="D217" s="19" t="s">
        <v>78</v>
      </c>
      <c r="E217" s="19" t="s">
        <v>50</v>
      </c>
      <c r="F217" s="19" t="s">
        <v>51</v>
      </c>
      <c r="G217" s="19" t="s">
        <v>1775</v>
      </c>
      <c r="H217" s="19" t="s">
        <v>1776</v>
      </c>
      <c r="I217" s="19" t="s">
        <v>976</v>
      </c>
      <c r="J217" s="19" t="n">
        <v>761.37</v>
      </c>
      <c r="K217" s="19" t="s">
        <v>1777</v>
      </c>
      <c r="L217" s="19"/>
      <c r="M217" s="20" t="str">
        <f aca="false">IF(G217&lt;&gt;"","PASS","FAIL - Missing UPC")</f>
        <v>PASS</v>
      </c>
      <c r="N217" s="20" t="str">
        <f aca="false">IF(AND(G217&lt;&gt;"",H217&lt;&gt;""),IF("0"&amp;G217=H217,"PASS","FAIL - GTIN Mismatch"),"SKIP")</f>
        <v>PASS</v>
      </c>
      <c r="O217" s="20" t="str">
        <f aca="false">IF(I217="","FAIL - No Title",IF(LEN(I217)&lt;=126,"PASS","FAIL - Title &gt;"&amp;126&amp;" chars"))</f>
        <v>PASS</v>
      </c>
      <c r="P217" s="20" t="str">
        <f aca="false">IF(J217&gt;0,IF(J217&lt;5000,"PASS","FLAG - Review Price"),"FAIL - Zero Price")</f>
        <v>PASS</v>
      </c>
      <c r="Q217" s="20" t="str">
        <f aca="false">IF('Raw Catalog'!P215&lt;&gt;"","PASS","FAIL - No Image")</f>
        <v>PASS</v>
      </c>
      <c r="R217" s="20" t="str">
        <f aca="false">IF(F217&lt;&gt;"","PASS","FAIL - No Brand")</f>
        <v>PASS</v>
      </c>
      <c r="S217" s="20" t="str">
        <f aca="true">IF(K217="","FAIL - No Date",IF(TODAY()-DATEVALUE(K217)&lt;=180,"PASS","FLAG - Stale &gt;180d"))</f>
        <v>FLAG - Stale &gt;180d</v>
      </c>
      <c r="T217" s="20" t="n">
        <f aca="false">COUNTIF(M217:S217,"FAIL*")+COUNTIF(M217:S217,"FLAG*")</f>
        <v>1</v>
      </c>
      <c r="U217" s="20" t="str">
        <f aca="false">IF(T217=0,"CLEAN",IF(T217=1,"MINOR",IF(T217&lt;=3,"MODERATE","CRITICAL")))</f>
        <v>MINOR</v>
      </c>
      <c r="V217" s="20" t="str">
        <f aca="false">IF(U217="CLEAN","None",IF(U217="MINOR","Seller Notify",IF(U217="MODERATE","Listing Suspended","Immediate Removal")))</f>
        <v>Seller Notify</v>
      </c>
    </row>
    <row r="218" customFormat="false" ht="18" hidden="false" customHeight="true" outlineLevel="0" collapsed="false">
      <c r="A218" s="19" t="s">
        <v>6295</v>
      </c>
      <c r="B218" s="19" t="s">
        <v>1778</v>
      </c>
      <c r="C218" s="19" t="s">
        <v>113</v>
      </c>
      <c r="D218" s="19" t="s">
        <v>114</v>
      </c>
      <c r="E218" s="19" t="s">
        <v>91</v>
      </c>
      <c r="F218" s="19" t="s">
        <v>587</v>
      </c>
      <c r="G218" s="19" t="s">
        <v>1780</v>
      </c>
      <c r="H218" s="19" t="s">
        <v>1781</v>
      </c>
      <c r="I218" s="19" t="s">
        <v>1782</v>
      </c>
      <c r="J218" s="19" t="n">
        <v>659.2</v>
      </c>
      <c r="K218" s="19" t="s">
        <v>1786</v>
      </c>
      <c r="L218" s="19"/>
      <c r="M218" s="20" t="str">
        <f aca="false">IF(G218&lt;&gt;"","PASS","FAIL - Missing UPC")</f>
        <v>PASS</v>
      </c>
      <c r="N218" s="20" t="str">
        <f aca="false">IF(AND(G218&lt;&gt;"",H218&lt;&gt;""),IF("0"&amp;G218=H218,"PASS","FAIL - GTIN Mismatch"),"SKIP")</f>
        <v>PASS</v>
      </c>
      <c r="O218" s="20" t="str">
        <f aca="false">IF(I218="","FAIL - No Title",IF(LEN(I218)&lt;=126,"PASS","FAIL - Title &gt;"&amp;126&amp;" chars"))</f>
        <v>PASS</v>
      </c>
      <c r="P218" s="20" t="str">
        <f aca="false">IF(J218&gt;0,IF(J218&lt;5000,"PASS","FLAG - Review Price"),"FAIL - Zero Price")</f>
        <v>PASS</v>
      </c>
      <c r="Q218" s="20" t="str">
        <f aca="false">IF('Raw Catalog'!P216&lt;&gt;"","PASS","FAIL - No Image")</f>
        <v>PASS</v>
      </c>
      <c r="R218" s="20" t="str">
        <f aca="false">IF(F218&lt;&gt;"","PASS","FAIL - No Brand")</f>
        <v>PASS</v>
      </c>
      <c r="S218" s="20" t="str">
        <f aca="true">IF(K218="","FAIL - No Date",IF(TODAY()-DATEVALUE(K218)&lt;=180,"PASS","FLAG - Stale &gt;180d"))</f>
        <v>FLAG - Stale &gt;180d</v>
      </c>
      <c r="T218" s="20" t="n">
        <f aca="false">COUNTIF(M218:S218,"FAIL*")+COUNTIF(M218:S218,"FLAG*")</f>
        <v>1</v>
      </c>
      <c r="U218" s="20" t="str">
        <f aca="false">IF(T218=0,"CLEAN",IF(T218=1,"MINOR",IF(T218&lt;=3,"MODERATE","CRITICAL")))</f>
        <v>MINOR</v>
      </c>
      <c r="V218" s="20" t="str">
        <f aca="false">IF(U218="CLEAN","None",IF(U218="MINOR","Seller Notify",IF(U218="MODERATE","Listing Suspended","Immediate Removal")))</f>
        <v>Seller Notify</v>
      </c>
    </row>
    <row r="219" customFormat="false" ht="18" hidden="false" customHeight="true" outlineLevel="0" collapsed="false">
      <c r="A219" s="19" t="s">
        <v>6296</v>
      </c>
      <c r="B219" s="19" t="s">
        <v>1787</v>
      </c>
      <c r="C219" s="19" t="s">
        <v>77</v>
      </c>
      <c r="D219" s="19" t="s">
        <v>78</v>
      </c>
      <c r="E219" s="19" t="s">
        <v>65</v>
      </c>
      <c r="F219" s="19" t="s">
        <v>227</v>
      </c>
      <c r="G219" s="19" t="s">
        <v>1789</v>
      </c>
      <c r="H219" s="19" t="s">
        <v>1790</v>
      </c>
      <c r="I219" s="19" t="s">
        <v>1791</v>
      </c>
      <c r="J219" s="19" t="n">
        <v>264.99</v>
      </c>
      <c r="K219" s="19" t="s">
        <v>1795</v>
      </c>
      <c r="L219" s="19"/>
      <c r="M219" s="20" t="str">
        <f aca="false">IF(G219&lt;&gt;"","PASS","FAIL - Missing UPC")</f>
        <v>PASS</v>
      </c>
      <c r="N219" s="20" t="str">
        <f aca="false">IF(AND(G219&lt;&gt;"",H219&lt;&gt;""),IF("0"&amp;G219=H219,"PASS","FAIL - GTIN Mismatch"),"SKIP")</f>
        <v>PASS</v>
      </c>
      <c r="O219" s="20" t="str">
        <f aca="false">IF(I219="","FAIL - No Title",IF(LEN(I219)&lt;=126,"PASS","FAIL - Title &gt;"&amp;126&amp;" chars"))</f>
        <v>PASS</v>
      </c>
      <c r="P219" s="20" t="str">
        <f aca="false">IF(J219&gt;0,IF(J219&lt;5000,"PASS","FLAG - Review Price"),"FAIL - Zero Price")</f>
        <v>PASS</v>
      </c>
      <c r="Q219" s="20" t="str">
        <f aca="false">IF('Raw Catalog'!P217&lt;&gt;"","PASS","FAIL - No Image")</f>
        <v>PASS</v>
      </c>
      <c r="R219" s="20" t="str">
        <f aca="false">IF(F219&lt;&gt;"","PASS","FAIL - No Brand")</f>
        <v>PASS</v>
      </c>
      <c r="S219" s="20" t="str">
        <f aca="true">IF(K219="","FAIL - No Date",IF(TODAY()-DATEVALUE(K219)&lt;=180,"PASS","FLAG - Stale &gt;180d"))</f>
        <v>FLAG - Stale &gt;180d</v>
      </c>
      <c r="T219" s="20" t="n">
        <f aca="false">COUNTIF(M219:S219,"FAIL*")+COUNTIF(M219:S219,"FLAG*")</f>
        <v>1</v>
      </c>
      <c r="U219" s="20" t="str">
        <f aca="false">IF(T219=0,"CLEAN",IF(T219=1,"MINOR",IF(T219&lt;=3,"MODERATE","CRITICAL")))</f>
        <v>MINOR</v>
      </c>
      <c r="V219" s="20" t="str">
        <f aca="false">IF(U219="CLEAN","None",IF(U219="MINOR","Seller Notify",IF(U219="MODERATE","Listing Suspended","Immediate Removal")))</f>
        <v>Seller Notify</v>
      </c>
    </row>
    <row r="220" customFormat="false" ht="18" hidden="false" customHeight="true" outlineLevel="0" collapsed="false">
      <c r="A220" s="19" t="s">
        <v>6297</v>
      </c>
      <c r="B220" s="19" t="s">
        <v>1796</v>
      </c>
      <c r="C220" s="19" t="s">
        <v>113</v>
      </c>
      <c r="D220" s="19" t="s">
        <v>114</v>
      </c>
      <c r="E220" s="19" t="s">
        <v>50</v>
      </c>
      <c r="F220" s="19" t="s">
        <v>115</v>
      </c>
      <c r="G220" s="19" t="s">
        <v>1798</v>
      </c>
      <c r="H220" s="19" t="s">
        <v>1799</v>
      </c>
      <c r="I220" s="19" t="s">
        <v>1800</v>
      </c>
      <c r="J220" s="19" t="n">
        <v>1074.12</v>
      </c>
      <c r="K220" s="19" t="s">
        <v>1366</v>
      </c>
      <c r="L220" s="19"/>
      <c r="M220" s="20" t="str">
        <f aca="false">IF(G220&lt;&gt;"","PASS","FAIL - Missing UPC")</f>
        <v>PASS</v>
      </c>
      <c r="N220" s="20" t="str">
        <f aca="false">IF(AND(G220&lt;&gt;"",H220&lt;&gt;""),IF("0"&amp;G220=H220,"PASS","FAIL - GTIN Mismatch"),"SKIP")</f>
        <v>PASS</v>
      </c>
      <c r="O220" s="20" t="str">
        <f aca="false">IF(I220="","FAIL - No Title",IF(LEN(I220)&lt;=126,"PASS","FAIL - Title &gt;"&amp;126&amp;" chars"))</f>
        <v>PASS</v>
      </c>
      <c r="P220" s="20" t="str">
        <f aca="false">IF(J220&gt;0,IF(J220&lt;5000,"PASS","FLAG - Review Price"),"FAIL - Zero Price")</f>
        <v>PASS</v>
      </c>
      <c r="Q220" s="20" t="str">
        <f aca="false">IF('Raw Catalog'!P218&lt;&gt;"","PASS","FAIL - No Image")</f>
        <v>PASS</v>
      </c>
      <c r="R220" s="20" t="str">
        <f aca="false">IF(F220&lt;&gt;"","PASS","FAIL - No Brand")</f>
        <v>PASS</v>
      </c>
      <c r="S220" s="20" t="str">
        <f aca="true">IF(K220="","FAIL - No Date",IF(TODAY()-DATEVALUE(K220)&lt;=180,"PASS","FLAG - Stale &gt;180d"))</f>
        <v>FLAG - Stale &gt;180d</v>
      </c>
      <c r="T220" s="20" t="n">
        <f aca="false">COUNTIF(M220:S220,"FAIL*")+COUNTIF(M220:S220,"FLAG*")</f>
        <v>1</v>
      </c>
      <c r="U220" s="20" t="str">
        <f aca="false">IF(T220=0,"CLEAN",IF(T220=1,"MINOR",IF(T220&lt;=3,"MODERATE","CRITICAL")))</f>
        <v>MINOR</v>
      </c>
      <c r="V220" s="20" t="str">
        <f aca="false">IF(U220="CLEAN","None",IF(U220="MINOR","Seller Notify",IF(U220="MODERATE","Listing Suspended","Immediate Removal")))</f>
        <v>Seller Notify</v>
      </c>
    </row>
    <row r="221" customFormat="false" ht="18" hidden="false" customHeight="true" outlineLevel="0" collapsed="false">
      <c r="A221" s="19" t="s">
        <v>6298</v>
      </c>
      <c r="B221" s="19" t="s">
        <v>1802</v>
      </c>
      <c r="C221" s="19" t="s">
        <v>173</v>
      </c>
      <c r="D221" s="19" t="s">
        <v>174</v>
      </c>
      <c r="E221" s="19" t="s">
        <v>91</v>
      </c>
      <c r="F221" s="19" t="s">
        <v>780</v>
      </c>
      <c r="G221" s="19" t="s">
        <v>1804</v>
      </c>
      <c r="H221" s="19" t="s">
        <v>1805</v>
      </c>
      <c r="I221" s="19" t="s">
        <v>1806</v>
      </c>
      <c r="J221" s="19" t="n">
        <v>3475.38</v>
      </c>
      <c r="K221" s="19" t="s">
        <v>777</v>
      </c>
      <c r="L221" s="19"/>
      <c r="M221" s="20" t="str">
        <f aca="false">IF(G221&lt;&gt;"","PASS","FAIL - Missing UPC")</f>
        <v>PASS</v>
      </c>
      <c r="N221" s="20" t="str">
        <f aca="false">IF(AND(G221&lt;&gt;"",H221&lt;&gt;""),IF("0"&amp;G221=H221,"PASS","FAIL - GTIN Mismatch"),"SKIP")</f>
        <v>PASS</v>
      </c>
      <c r="O221" s="20" t="str">
        <f aca="false">IF(I221="","FAIL - No Title",IF(LEN(I221)&lt;=126,"PASS","FAIL - Title &gt;"&amp;126&amp;" chars"))</f>
        <v>PASS</v>
      </c>
      <c r="P221" s="20" t="str">
        <f aca="false">IF(J221&gt;0,IF(J221&lt;5000,"PASS","FLAG - Review Price"),"FAIL - Zero Price")</f>
        <v>PASS</v>
      </c>
      <c r="Q221" s="20" t="str">
        <f aca="false">IF('Raw Catalog'!P219&lt;&gt;"","PASS","FAIL - No Image")</f>
        <v>PASS</v>
      </c>
      <c r="R221" s="20" t="str">
        <f aca="false">IF(F221&lt;&gt;"","PASS","FAIL - No Brand")</f>
        <v>PASS</v>
      </c>
      <c r="S221" s="20" t="str">
        <f aca="true">IF(K221="","FAIL - No Date",IF(TODAY()-DATEVALUE(K221)&lt;=180,"PASS","FLAG - Stale &gt;180d"))</f>
        <v>FLAG - Stale &gt;180d</v>
      </c>
      <c r="T221" s="20" t="n">
        <f aca="false">COUNTIF(M221:S221,"FAIL*")+COUNTIF(M221:S221,"FLAG*")</f>
        <v>1</v>
      </c>
      <c r="U221" s="20" t="str">
        <f aca="false">IF(T221=0,"CLEAN",IF(T221=1,"MINOR",IF(T221&lt;=3,"MODERATE","CRITICAL")))</f>
        <v>MINOR</v>
      </c>
      <c r="V221" s="20" t="str">
        <f aca="false">IF(U221="CLEAN","None",IF(U221="MINOR","Seller Notify",IF(U221="MODERATE","Listing Suspended","Immediate Removal")))</f>
        <v>Seller Notify</v>
      </c>
    </row>
    <row r="222" customFormat="false" ht="18" hidden="false" customHeight="true" outlineLevel="0" collapsed="false">
      <c r="A222" s="19" t="s">
        <v>6299</v>
      </c>
      <c r="B222" s="19" t="s">
        <v>1808</v>
      </c>
      <c r="C222" s="19" t="s">
        <v>77</v>
      </c>
      <c r="D222" s="19" t="s">
        <v>78</v>
      </c>
      <c r="E222" s="19" t="s">
        <v>50</v>
      </c>
      <c r="F222" s="19" t="s">
        <v>138</v>
      </c>
      <c r="G222" s="19" t="s">
        <v>1810</v>
      </c>
      <c r="H222" s="19" t="s">
        <v>1811</v>
      </c>
      <c r="I222" s="19" t="s">
        <v>1812</v>
      </c>
      <c r="J222" s="19" t="n">
        <v>671.5</v>
      </c>
      <c r="K222" s="19" t="s">
        <v>1814</v>
      </c>
      <c r="L222" s="21" t="s">
        <v>1107</v>
      </c>
      <c r="M222" s="20" t="str">
        <f aca="false">IF(G222&lt;&gt;"","PASS","FAIL - Missing UPC")</f>
        <v>PASS</v>
      </c>
      <c r="N222" s="20" t="str">
        <f aca="false">IF(AND(G222&lt;&gt;"",H222&lt;&gt;""),IF("0"&amp;G222=H222,"PASS","FAIL - GTIN Mismatch"),"SKIP")</f>
        <v>PASS</v>
      </c>
      <c r="O222" s="20" t="str">
        <f aca="false">IF(I222="","FAIL - No Title",IF(LEN(I222)&lt;=126,"PASS","FAIL - Title &gt;"&amp;126&amp;" chars"))</f>
        <v>PASS</v>
      </c>
      <c r="P222" s="20" t="str">
        <f aca="false">IF(J222&gt;0,IF(J222&lt;5000,"PASS","FLAG - Review Price"),"FAIL - Zero Price")</f>
        <v>PASS</v>
      </c>
      <c r="Q222" s="20" t="str">
        <f aca="false">IF('Raw Catalog'!P220&lt;&gt;"","PASS","FAIL - No Image")</f>
        <v>PASS</v>
      </c>
      <c r="R222" s="20" t="str">
        <f aca="false">IF(F222&lt;&gt;"","PASS","FAIL - No Brand")</f>
        <v>PASS</v>
      </c>
      <c r="S222" s="20" t="str">
        <f aca="true">IF(K222="","FAIL - No Date",IF(TODAY()-DATEVALUE(K222)&lt;=180,"PASS","FLAG - Stale &gt;180d"))</f>
        <v>FLAG - Stale &gt;180d</v>
      </c>
      <c r="T222" s="20" t="n">
        <f aca="false">COUNTIF(M222:S222,"FAIL*")+COUNTIF(M222:S222,"FLAG*")</f>
        <v>1</v>
      </c>
      <c r="U222" s="20" t="str">
        <f aca="false">IF(T222=0,"CLEAN",IF(T222=1,"MINOR",IF(T222&lt;=3,"MODERATE","CRITICAL")))</f>
        <v>MINOR</v>
      </c>
      <c r="V222" s="20" t="str">
        <f aca="false">IF(U222="CLEAN","None",IF(U222="MINOR","Seller Notify",IF(U222="MODERATE","Listing Suspended","Immediate Removal")))</f>
        <v>Seller Notify</v>
      </c>
    </row>
    <row r="223" customFormat="false" ht="18" hidden="false" customHeight="true" outlineLevel="0" collapsed="false">
      <c r="A223" s="19" t="s">
        <v>6300</v>
      </c>
      <c r="B223" s="19" t="s">
        <v>1815</v>
      </c>
      <c r="C223" s="19" t="s">
        <v>173</v>
      </c>
      <c r="D223" s="19" t="s">
        <v>174</v>
      </c>
      <c r="E223" s="19" t="s">
        <v>50</v>
      </c>
      <c r="F223" s="19" t="s">
        <v>51</v>
      </c>
      <c r="G223" s="19" t="s">
        <v>1817</v>
      </c>
      <c r="H223" s="19" t="s">
        <v>1818</v>
      </c>
      <c r="I223" s="19" t="s">
        <v>1819</v>
      </c>
      <c r="J223" s="19" t="n">
        <v>512.84</v>
      </c>
      <c r="K223" s="19" t="s">
        <v>1821</v>
      </c>
      <c r="L223" s="19"/>
      <c r="M223" s="20" t="str">
        <f aca="false">IF(G223&lt;&gt;"","PASS","FAIL - Missing UPC")</f>
        <v>PASS</v>
      </c>
      <c r="N223" s="20" t="str">
        <f aca="false">IF(AND(G223&lt;&gt;"",H223&lt;&gt;""),IF("0"&amp;G223=H223,"PASS","FAIL - GTIN Mismatch"),"SKIP")</f>
        <v>PASS</v>
      </c>
      <c r="O223" s="20" t="str">
        <f aca="false">IF(I223="","FAIL - No Title",IF(LEN(I223)&lt;=126,"PASS","FAIL - Title &gt;"&amp;126&amp;" chars"))</f>
        <v>PASS</v>
      </c>
      <c r="P223" s="20" t="str">
        <f aca="false">IF(J223&gt;0,IF(J223&lt;5000,"PASS","FLAG - Review Price"),"FAIL - Zero Price")</f>
        <v>PASS</v>
      </c>
      <c r="Q223" s="20" t="str">
        <f aca="false">IF('Raw Catalog'!P221&lt;&gt;"","PASS","FAIL - No Image")</f>
        <v>PASS</v>
      </c>
      <c r="R223" s="20" t="str">
        <f aca="false">IF(F223&lt;&gt;"","PASS","FAIL - No Brand")</f>
        <v>PASS</v>
      </c>
      <c r="S223" s="20" t="str">
        <f aca="true">IF(K223="","FAIL - No Date",IF(TODAY()-DATEVALUE(K223)&lt;=180,"PASS","FLAG - Stale &gt;180d"))</f>
        <v>FLAG - Stale &gt;180d</v>
      </c>
      <c r="T223" s="20" t="n">
        <f aca="false">COUNTIF(M223:S223,"FAIL*")+COUNTIF(M223:S223,"FLAG*")</f>
        <v>1</v>
      </c>
      <c r="U223" s="20" t="str">
        <f aca="false">IF(T223=0,"CLEAN",IF(T223=1,"MINOR",IF(T223&lt;=3,"MODERATE","CRITICAL")))</f>
        <v>MINOR</v>
      </c>
      <c r="V223" s="20" t="str">
        <f aca="false">IF(U223="CLEAN","None",IF(U223="MINOR","Seller Notify",IF(U223="MODERATE","Listing Suspended","Immediate Removal")))</f>
        <v>Seller Notify</v>
      </c>
    </row>
    <row r="224" customFormat="false" ht="18" hidden="false" customHeight="true" outlineLevel="0" collapsed="false">
      <c r="A224" s="19" t="s">
        <v>6301</v>
      </c>
      <c r="B224" s="19" t="s">
        <v>1822</v>
      </c>
      <c r="C224" s="19" t="s">
        <v>63</v>
      </c>
      <c r="D224" s="19" t="s">
        <v>64</v>
      </c>
      <c r="E224" s="19" t="s">
        <v>91</v>
      </c>
      <c r="F224" s="19" t="s">
        <v>587</v>
      </c>
      <c r="G224" s="19" t="s">
        <v>1824</v>
      </c>
      <c r="H224" s="19" t="s">
        <v>1825</v>
      </c>
      <c r="I224" s="19" t="s">
        <v>1826</v>
      </c>
      <c r="J224" s="19" t="n">
        <v>3050.3</v>
      </c>
      <c r="K224" s="19" t="s">
        <v>1827</v>
      </c>
      <c r="L224" s="19"/>
      <c r="M224" s="20" t="str">
        <f aca="false">IF(G224&lt;&gt;"","PASS","FAIL - Missing UPC")</f>
        <v>PASS</v>
      </c>
      <c r="N224" s="20" t="str">
        <f aca="false">IF(AND(G224&lt;&gt;"",H224&lt;&gt;""),IF("0"&amp;G224=H224,"PASS","FAIL - GTIN Mismatch"),"SKIP")</f>
        <v>PASS</v>
      </c>
      <c r="O224" s="20" t="str">
        <f aca="false">IF(I224="","FAIL - No Title",IF(LEN(I224)&lt;=126,"PASS","FAIL - Title &gt;"&amp;126&amp;" chars"))</f>
        <v>PASS</v>
      </c>
      <c r="P224" s="20" t="str">
        <f aca="false">IF(J224&gt;0,IF(J224&lt;5000,"PASS","FLAG - Review Price"),"FAIL - Zero Price")</f>
        <v>PASS</v>
      </c>
      <c r="Q224" s="20" t="str">
        <f aca="false">IF('Raw Catalog'!P222&lt;&gt;"","PASS","FAIL - No Image")</f>
        <v>PASS</v>
      </c>
      <c r="R224" s="20" t="str">
        <f aca="false">IF(F224&lt;&gt;"","PASS","FAIL - No Brand")</f>
        <v>PASS</v>
      </c>
      <c r="S224" s="20" t="str">
        <f aca="true">IF(K224="","FAIL - No Date",IF(TODAY()-DATEVALUE(K224)&lt;=180,"PASS","FLAG - Stale &gt;180d"))</f>
        <v>FLAG - Stale &gt;180d</v>
      </c>
      <c r="T224" s="20" t="n">
        <f aca="false">COUNTIF(M224:S224,"FAIL*")+COUNTIF(M224:S224,"FLAG*")</f>
        <v>1</v>
      </c>
      <c r="U224" s="20" t="str">
        <f aca="false">IF(T224=0,"CLEAN",IF(T224=1,"MINOR",IF(T224&lt;=3,"MODERATE","CRITICAL")))</f>
        <v>MINOR</v>
      </c>
      <c r="V224" s="20" t="str">
        <f aca="false">IF(U224="CLEAN","None",IF(U224="MINOR","Seller Notify",IF(U224="MODERATE","Listing Suspended","Immediate Removal")))</f>
        <v>Seller Notify</v>
      </c>
    </row>
    <row r="225" customFormat="false" ht="18" hidden="false" customHeight="true" outlineLevel="0" collapsed="false">
      <c r="A225" s="19" t="s">
        <v>6302</v>
      </c>
      <c r="B225" s="19" t="s">
        <v>1828</v>
      </c>
      <c r="C225" s="19" t="s">
        <v>113</v>
      </c>
      <c r="D225" s="19" t="s">
        <v>114</v>
      </c>
      <c r="E225" s="19" t="s">
        <v>65</v>
      </c>
      <c r="F225" s="19" t="s">
        <v>245</v>
      </c>
      <c r="G225" s="19" t="s">
        <v>1830</v>
      </c>
      <c r="H225" s="19" t="s">
        <v>1831</v>
      </c>
      <c r="I225" s="19" t="s">
        <v>1832</v>
      </c>
      <c r="J225" s="19" t="n">
        <v>113.92</v>
      </c>
      <c r="K225" s="19" t="s">
        <v>1836</v>
      </c>
      <c r="L225" s="19"/>
      <c r="M225" s="20" t="str">
        <f aca="false">IF(G225&lt;&gt;"","PASS","FAIL - Missing UPC")</f>
        <v>PASS</v>
      </c>
      <c r="N225" s="20" t="str">
        <f aca="false">IF(AND(G225&lt;&gt;"",H225&lt;&gt;""),IF("0"&amp;G225=H225,"PASS","FAIL - GTIN Mismatch"),"SKIP")</f>
        <v>PASS</v>
      </c>
      <c r="O225" s="20" t="str">
        <f aca="false">IF(I225="","FAIL - No Title",IF(LEN(I225)&lt;=126,"PASS","FAIL - Title &gt;"&amp;126&amp;" chars"))</f>
        <v>PASS</v>
      </c>
      <c r="P225" s="20" t="str">
        <f aca="false">IF(J225&gt;0,IF(J225&lt;5000,"PASS","FLAG - Review Price"),"FAIL - Zero Price")</f>
        <v>PASS</v>
      </c>
      <c r="Q225" s="20" t="str">
        <f aca="false">IF('Raw Catalog'!P223&lt;&gt;"","PASS","FAIL - No Image")</f>
        <v>PASS</v>
      </c>
      <c r="R225" s="20" t="str">
        <f aca="false">IF(F225&lt;&gt;"","PASS","FAIL - No Brand")</f>
        <v>PASS</v>
      </c>
      <c r="S225" s="20" t="str">
        <f aca="true">IF(K225="","FAIL - No Date",IF(TODAY()-DATEVALUE(K225)&lt;=180,"PASS","FLAG - Stale &gt;180d"))</f>
        <v>FLAG - Stale &gt;180d</v>
      </c>
      <c r="T225" s="20" t="n">
        <f aca="false">COUNTIF(M225:S225,"FAIL*")+COUNTIF(M225:S225,"FLAG*")</f>
        <v>1</v>
      </c>
      <c r="U225" s="20" t="str">
        <f aca="false">IF(T225=0,"CLEAN",IF(T225=1,"MINOR",IF(T225&lt;=3,"MODERATE","CRITICAL")))</f>
        <v>MINOR</v>
      </c>
      <c r="V225" s="20" t="str">
        <f aca="false">IF(U225="CLEAN","None",IF(U225="MINOR","Seller Notify",IF(U225="MODERATE","Listing Suspended","Immediate Removal")))</f>
        <v>Seller Notify</v>
      </c>
    </row>
    <row r="226" customFormat="false" ht="18" hidden="false" customHeight="true" outlineLevel="0" collapsed="false">
      <c r="A226" s="19" t="s">
        <v>6303</v>
      </c>
      <c r="B226" s="19" t="s">
        <v>1837</v>
      </c>
      <c r="C226" s="19" t="s">
        <v>173</v>
      </c>
      <c r="D226" s="19" t="s">
        <v>174</v>
      </c>
      <c r="E226" s="19" t="s">
        <v>161</v>
      </c>
      <c r="F226" s="19" t="s">
        <v>295</v>
      </c>
      <c r="G226" s="19" t="s">
        <v>1839</v>
      </c>
      <c r="H226" s="19" t="s">
        <v>1840</v>
      </c>
      <c r="I226" s="19" t="s">
        <v>1841</v>
      </c>
      <c r="J226" s="19" t="n">
        <v>299.24</v>
      </c>
      <c r="K226" s="19" t="s">
        <v>1845</v>
      </c>
      <c r="L226" s="19"/>
      <c r="M226" s="20" t="str">
        <f aca="false">IF(G226&lt;&gt;"","PASS","FAIL - Missing UPC")</f>
        <v>PASS</v>
      </c>
      <c r="N226" s="20" t="str">
        <f aca="false">IF(AND(G226&lt;&gt;"",H226&lt;&gt;""),IF("0"&amp;G226=H226,"PASS","FAIL - GTIN Mismatch"),"SKIP")</f>
        <v>PASS</v>
      </c>
      <c r="O226" s="20" t="str">
        <f aca="false">IF(I226="","FAIL - No Title",IF(LEN(I226)&lt;=126,"PASS","FAIL - Title &gt;"&amp;126&amp;" chars"))</f>
        <v>PASS</v>
      </c>
      <c r="P226" s="20" t="str">
        <f aca="false">IF(J226&gt;0,IF(J226&lt;5000,"PASS","FLAG - Review Price"),"FAIL - Zero Price")</f>
        <v>PASS</v>
      </c>
      <c r="Q226" s="20" t="str">
        <f aca="false">IF('Raw Catalog'!P224&lt;&gt;"","PASS","FAIL - No Image")</f>
        <v>PASS</v>
      </c>
      <c r="R226" s="20" t="str">
        <f aca="false">IF(F226&lt;&gt;"","PASS","FAIL - No Brand")</f>
        <v>PASS</v>
      </c>
      <c r="S226" s="20" t="str">
        <f aca="true">IF(K226="","FAIL - No Date",IF(TODAY()-DATEVALUE(K226)&lt;=180,"PASS","FLAG - Stale &gt;180d"))</f>
        <v>FLAG - Stale &gt;180d</v>
      </c>
      <c r="T226" s="20" t="n">
        <f aca="false">COUNTIF(M226:S226,"FAIL*")+COUNTIF(M226:S226,"FLAG*")</f>
        <v>1</v>
      </c>
      <c r="U226" s="20" t="str">
        <f aca="false">IF(T226=0,"CLEAN",IF(T226=1,"MINOR",IF(T226&lt;=3,"MODERATE","CRITICAL")))</f>
        <v>MINOR</v>
      </c>
      <c r="V226" s="20" t="str">
        <f aca="false">IF(U226="CLEAN","None",IF(U226="MINOR","Seller Notify",IF(U226="MODERATE","Listing Suspended","Immediate Removal")))</f>
        <v>Seller Notify</v>
      </c>
    </row>
    <row r="227" customFormat="false" ht="18" hidden="false" customHeight="true" outlineLevel="0" collapsed="false">
      <c r="A227" s="19" t="s">
        <v>6304</v>
      </c>
      <c r="B227" s="19" t="s">
        <v>1846</v>
      </c>
      <c r="C227" s="19" t="s">
        <v>63</v>
      </c>
      <c r="D227" s="19" t="s">
        <v>64</v>
      </c>
      <c r="E227" s="19" t="s">
        <v>50</v>
      </c>
      <c r="F227" s="19" t="s">
        <v>51</v>
      </c>
      <c r="G227" s="19" t="s">
        <v>1848</v>
      </c>
      <c r="H227" s="19" t="s">
        <v>1849</v>
      </c>
      <c r="I227" s="19" t="s">
        <v>1850</v>
      </c>
      <c r="J227" s="19" t="n">
        <v>597.48</v>
      </c>
      <c r="K227" s="19" t="s">
        <v>994</v>
      </c>
      <c r="L227" s="19"/>
      <c r="M227" s="20" t="str">
        <f aca="false">IF(G227&lt;&gt;"","PASS","FAIL - Missing UPC")</f>
        <v>PASS</v>
      </c>
      <c r="N227" s="20" t="str">
        <f aca="false">IF(AND(G227&lt;&gt;"",H227&lt;&gt;""),IF("0"&amp;G227=H227,"PASS","FAIL - GTIN Mismatch"),"SKIP")</f>
        <v>PASS</v>
      </c>
      <c r="O227" s="20" t="str">
        <f aca="false">IF(I227="","FAIL - No Title",IF(LEN(I227)&lt;=126,"PASS","FAIL - Title &gt;"&amp;126&amp;" chars"))</f>
        <v>PASS</v>
      </c>
      <c r="P227" s="20" t="str">
        <f aca="false">IF(J227&gt;0,IF(J227&lt;5000,"PASS","FLAG - Review Price"),"FAIL - Zero Price")</f>
        <v>PASS</v>
      </c>
      <c r="Q227" s="20" t="str">
        <f aca="false">IF('Raw Catalog'!P225&lt;&gt;"","PASS","FAIL - No Image")</f>
        <v>PASS</v>
      </c>
      <c r="R227" s="20" t="str">
        <f aca="false">IF(F227&lt;&gt;"","PASS","FAIL - No Brand")</f>
        <v>PASS</v>
      </c>
      <c r="S227" s="20" t="str">
        <f aca="true">IF(K227="","FAIL - No Date",IF(TODAY()-DATEVALUE(K227)&lt;=180,"PASS","FLAG - Stale &gt;180d"))</f>
        <v>FLAG - Stale &gt;180d</v>
      </c>
      <c r="T227" s="20" t="n">
        <f aca="false">COUNTIF(M227:S227,"FAIL*")+COUNTIF(M227:S227,"FLAG*")</f>
        <v>1</v>
      </c>
      <c r="U227" s="20" t="str">
        <f aca="false">IF(T227=0,"CLEAN",IF(T227=1,"MINOR",IF(T227&lt;=3,"MODERATE","CRITICAL")))</f>
        <v>MINOR</v>
      </c>
      <c r="V227" s="20" t="str">
        <f aca="false">IF(U227="CLEAN","None",IF(U227="MINOR","Seller Notify",IF(U227="MODERATE","Listing Suspended","Immediate Removal")))</f>
        <v>Seller Notify</v>
      </c>
    </row>
    <row r="228" customFormat="false" ht="18" hidden="false" customHeight="true" outlineLevel="0" collapsed="false">
      <c r="A228" s="19" t="s">
        <v>6305</v>
      </c>
      <c r="B228" s="19" t="s">
        <v>1852</v>
      </c>
      <c r="C228" s="19" t="s">
        <v>125</v>
      </c>
      <c r="D228" s="19" t="s">
        <v>126</v>
      </c>
      <c r="E228" s="19" t="s">
        <v>50</v>
      </c>
      <c r="F228" s="19" t="s">
        <v>51</v>
      </c>
      <c r="G228" s="19" t="s">
        <v>1854</v>
      </c>
      <c r="H228" s="19" t="s">
        <v>1855</v>
      </c>
      <c r="I228" s="19" t="s">
        <v>1856</v>
      </c>
      <c r="J228" s="19" t="n">
        <v>624.23</v>
      </c>
      <c r="K228" s="19" t="s">
        <v>1860</v>
      </c>
      <c r="L228" s="19"/>
      <c r="M228" s="20" t="str">
        <f aca="false">IF(G228&lt;&gt;"","PASS","FAIL - Missing UPC")</f>
        <v>PASS</v>
      </c>
      <c r="N228" s="20" t="str">
        <f aca="false">IF(AND(G228&lt;&gt;"",H228&lt;&gt;""),IF("0"&amp;G228=H228,"PASS","FAIL - GTIN Mismatch"),"SKIP")</f>
        <v>PASS</v>
      </c>
      <c r="O228" s="20" t="str">
        <f aca="false">IF(I228="","FAIL - No Title",IF(LEN(I228)&lt;=126,"PASS","FAIL - Title &gt;"&amp;126&amp;" chars"))</f>
        <v>PASS</v>
      </c>
      <c r="P228" s="20" t="str">
        <f aca="false">IF(J228&gt;0,IF(J228&lt;5000,"PASS","FLAG - Review Price"),"FAIL - Zero Price")</f>
        <v>PASS</v>
      </c>
      <c r="Q228" s="20" t="str">
        <f aca="false">IF('Raw Catalog'!P226&lt;&gt;"","PASS","FAIL - No Image")</f>
        <v>PASS</v>
      </c>
      <c r="R228" s="20" t="str">
        <f aca="false">IF(F228&lt;&gt;"","PASS","FAIL - No Brand")</f>
        <v>PASS</v>
      </c>
      <c r="S228" s="20" t="str">
        <f aca="true">IF(K228="","FAIL - No Date",IF(TODAY()-DATEVALUE(K228)&lt;=180,"PASS","FLAG - Stale &gt;180d"))</f>
        <v>FLAG - Stale &gt;180d</v>
      </c>
      <c r="T228" s="20" t="n">
        <f aca="false">COUNTIF(M228:S228,"FAIL*")+COUNTIF(M228:S228,"FLAG*")</f>
        <v>1</v>
      </c>
      <c r="U228" s="20" t="str">
        <f aca="false">IF(T228=0,"CLEAN",IF(T228=1,"MINOR",IF(T228&lt;=3,"MODERATE","CRITICAL")))</f>
        <v>MINOR</v>
      </c>
      <c r="V228" s="20" t="str">
        <f aca="false">IF(U228="CLEAN","None",IF(U228="MINOR","Seller Notify",IF(U228="MODERATE","Listing Suspended","Immediate Removal")))</f>
        <v>Seller Notify</v>
      </c>
    </row>
    <row r="229" customFormat="false" ht="18" hidden="false" customHeight="true" outlineLevel="0" collapsed="false">
      <c r="A229" s="19" t="s">
        <v>6306</v>
      </c>
      <c r="B229" s="19" t="s">
        <v>1861</v>
      </c>
      <c r="C229" s="19" t="s">
        <v>63</v>
      </c>
      <c r="D229" s="19" t="s">
        <v>64</v>
      </c>
      <c r="E229" s="19" t="s">
        <v>50</v>
      </c>
      <c r="F229" s="19" t="s">
        <v>115</v>
      </c>
      <c r="G229" s="19" t="s">
        <v>1863</v>
      </c>
      <c r="H229" s="19" t="s">
        <v>1864</v>
      </c>
      <c r="I229" s="19" t="s">
        <v>1865</v>
      </c>
      <c r="J229" s="19" t="n">
        <v>570.43</v>
      </c>
      <c r="K229" s="19" t="s">
        <v>1867</v>
      </c>
      <c r="L229" s="19"/>
      <c r="M229" s="20" t="str">
        <f aca="false">IF(G229&lt;&gt;"","PASS","FAIL - Missing UPC")</f>
        <v>PASS</v>
      </c>
      <c r="N229" s="20" t="str">
        <f aca="false">IF(AND(G229&lt;&gt;"",H229&lt;&gt;""),IF("0"&amp;G229=H229,"PASS","FAIL - GTIN Mismatch"),"SKIP")</f>
        <v>PASS</v>
      </c>
      <c r="O229" s="20" t="str">
        <f aca="false">IF(I229="","FAIL - No Title",IF(LEN(I229)&lt;=126,"PASS","FAIL - Title &gt;"&amp;126&amp;" chars"))</f>
        <v>PASS</v>
      </c>
      <c r="P229" s="20" t="str">
        <f aca="false">IF(J229&gt;0,IF(J229&lt;5000,"PASS","FLAG - Review Price"),"FAIL - Zero Price")</f>
        <v>PASS</v>
      </c>
      <c r="Q229" s="20" t="str">
        <f aca="false">IF('Raw Catalog'!P227&lt;&gt;"","PASS","FAIL - No Image")</f>
        <v>PASS</v>
      </c>
      <c r="R229" s="20" t="str">
        <f aca="false">IF(F229&lt;&gt;"","PASS","FAIL - No Brand")</f>
        <v>PASS</v>
      </c>
      <c r="S229" s="20" t="str">
        <f aca="true">IF(K229="","FAIL - No Date",IF(TODAY()-DATEVALUE(K229)&lt;=180,"PASS","FLAG - Stale &gt;180d"))</f>
        <v>FLAG - Stale &gt;180d</v>
      </c>
      <c r="T229" s="20" t="n">
        <f aca="false">COUNTIF(M229:S229,"FAIL*")+COUNTIF(M229:S229,"FLAG*")</f>
        <v>1</v>
      </c>
      <c r="U229" s="20" t="str">
        <f aca="false">IF(T229=0,"CLEAN",IF(T229=1,"MINOR",IF(T229&lt;=3,"MODERATE","CRITICAL")))</f>
        <v>MINOR</v>
      </c>
      <c r="V229" s="20" t="str">
        <f aca="false">IF(U229="CLEAN","None",IF(U229="MINOR","Seller Notify",IF(U229="MODERATE","Listing Suspended","Immediate Removal")))</f>
        <v>Seller Notify</v>
      </c>
    </row>
    <row r="230" customFormat="false" ht="18" hidden="false" customHeight="true" outlineLevel="0" collapsed="false">
      <c r="A230" s="19" t="s">
        <v>6307</v>
      </c>
      <c r="B230" s="19" t="s">
        <v>1868</v>
      </c>
      <c r="C230" s="19" t="s">
        <v>159</v>
      </c>
      <c r="D230" s="19" t="s">
        <v>160</v>
      </c>
      <c r="E230" s="19" t="s">
        <v>161</v>
      </c>
      <c r="F230" s="19" t="s">
        <v>51</v>
      </c>
      <c r="G230" s="19" t="s">
        <v>1870</v>
      </c>
      <c r="H230" s="19" t="s">
        <v>1871</v>
      </c>
      <c r="I230" s="19" t="s">
        <v>1872</v>
      </c>
      <c r="J230" s="19" t="n">
        <v>194.83</v>
      </c>
      <c r="K230" s="19" t="s">
        <v>1061</v>
      </c>
      <c r="L230" s="19"/>
      <c r="M230" s="20" t="str">
        <f aca="false">IF(G230&lt;&gt;"","PASS","FAIL - Missing UPC")</f>
        <v>PASS</v>
      </c>
      <c r="N230" s="20" t="str">
        <f aca="false">IF(AND(G230&lt;&gt;"",H230&lt;&gt;""),IF("0"&amp;G230=H230,"PASS","FAIL - GTIN Mismatch"),"SKIP")</f>
        <v>PASS</v>
      </c>
      <c r="O230" s="20" t="str">
        <f aca="false">IF(I230="","FAIL - No Title",IF(LEN(I230)&lt;=126,"PASS","FAIL - Title &gt;"&amp;126&amp;" chars"))</f>
        <v>PASS</v>
      </c>
      <c r="P230" s="20" t="str">
        <f aca="false">IF(J230&gt;0,IF(J230&lt;5000,"PASS","FLAG - Review Price"),"FAIL - Zero Price")</f>
        <v>PASS</v>
      </c>
      <c r="Q230" s="20" t="str">
        <f aca="false">IF('Raw Catalog'!P228&lt;&gt;"","PASS","FAIL - No Image")</f>
        <v>PASS</v>
      </c>
      <c r="R230" s="20" t="str">
        <f aca="false">IF(F230&lt;&gt;"","PASS","FAIL - No Brand")</f>
        <v>PASS</v>
      </c>
      <c r="S230" s="20" t="str">
        <f aca="true">IF(K230="","FAIL - No Date",IF(TODAY()-DATEVALUE(K230)&lt;=180,"PASS","FLAG - Stale &gt;180d"))</f>
        <v>FLAG - Stale &gt;180d</v>
      </c>
      <c r="T230" s="20" t="n">
        <f aca="false">COUNTIF(M230:S230,"FAIL*")+COUNTIF(M230:S230,"FLAG*")</f>
        <v>1</v>
      </c>
      <c r="U230" s="20" t="str">
        <f aca="false">IF(T230=0,"CLEAN",IF(T230=1,"MINOR",IF(T230&lt;=3,"MODERATE","CRITICAL")))</f>
        <v>MINOR</v>
      </c>
      <c r="V230" s="20" t="str">
        <f aca="false">IF(U230="CLEAN","None",IF(U230="MINOR","Seller Notify",IF(U230="MODERATE","Listing Suspended","Immediate Removal")))</f>
        <v>Seller Notify</v>
      </c>
    </row>
    <row r="231" customFormat="false" ht="18" hidden="false" customHeight="true" outlineLevel="0" collapsed="false">
      <c r="A231" s="19" t="s">
        <v>6308</v>
      </c>
      <c r="B231" s="19" t="s">
        <v>1874</v>
      </c>
      <c r="C231" s="19" t="s">
        <v>77</v>
      </c>
      <c r="D231" s="19" t="s">
        <v>78</v>
      </c>
      <c r="E231" s="19" t="s">
        <v>50</v>
      </c>
      <c r="F231" s="19" t="s">
        <v>115</v>
      </c>
      <c r="G231" s="19" t="s">
        <v>1876</v>
      </c>
      <c r="H231" s="19" t="s">
        <v>1877</v>
      </c>
      <c r="I231" s="19" t="s">
        <v>1878</v>
      </c>
      <c r="J231" s="19" t="n">
        <v>1117.5</v>
      </c>
      <c r="K231" s="19" t="s">
        <v>1880</v>
      </c>
      <c r="L231" s="21" t="s">
        <v>283</v>
      </c>
      <c r="M231" s="20" t="str">
        <f aca="false">IF(G231&lt;&gt;"","PASS","FAIL - Missing UPC")</f>
        <v>PASS</v>
      </c>
      <c r="N231" s="20" t="str">
        <f aca="false">IF(AND(G231&lt;&gt;"",H231&lt;&gt;""),IF("0"&amp;G231=H231,"PASS","FAIL - GTIN Mismatch"),"SKIP")</f>
        <v>PASS</v>
      </c>
      <c r="O231" s="20" t="str">
        <f aca="false">IF(I231="","FAIL - No Title",IF(LEN(I231)&lt;=126,"PASS","FAIL - Title &gt;"&amp;126&amp;" chars"))</f>
        <v>PASS</v>
      </c>
      <c r="P231" s="20" t="str">
        <f aca="false">IF(J231&gt;0,IF(J231&lt;5000,"PASS","FLAG - Review Price"),"FAIL - Zero Price")</f>
        <v>PASS</v>
      </c>
      <c r="Q231" s="20" t="str">
        <f aca="false">IF('Raw Catalog'!P229&lt;&gt;"","PASS","FAIL - No Image")</f>
        <v>PASS</v>
      </c>
      <c r="R231" s="20" t="str">
        <f aca="false">IF(F231&lt;&gt;"","PASS","FAIL - No Brand")</f>
        <v>PASS</v>
      </c>
      <c r="S231" s="20" t="str">
        <f aca="true">IF(K231="","FAIL - No Date",IF(TODAY()-DATEVALUE(K231)&lt;=180,"PASS","FLAG - Stale &gt;180d"))</f>
        <v>FLAG - Stale &gt;180d</v>
      </c>
      <c r="T231" s="20" t="n">
        <f aca="false">COUNTIF(M231:S231,"FAIL*")+COUNTIF(M231:S231,"FLAG*")</f>
        <v>1</v>
      </c>
      <c r="U231" s="20" t="str">
        <f aca="false">IF(T231=0,"CLEAN",IF(T231=1,"MINOR",IF(T231&lt;=3,"MODERATE","CRITICAL")))</f>
        <v>MINOR</v>
      </c>
      <c r="V231" s="20" t="str">
        <f aca="false">IF(U231="CLEAN","None",IF(U231="MINOR","Seller Notify",IF(U231="MODERATE","Listing Suspended","Immediate Removal")))</f>
        <v>Seller Notify</v>
      </c>
    </row>
    <row r="232" customFormat="false" ht="18" hidden="false" customHeight="true" outlineLevel="0" collapsed="false">
      <c r="A232" s="19" t="s">
        <v>6309</v>
      </c>
      <c r="B232" s="19" t="s">
        <v>1881</v>
      </c>
      <c r="C232" s="19" t="s">
        <v>255</v>
      </c>
      <c r="D232" s="19" t="s">
        <v>256</v>
      </c>
      <c r="E232" s="19" t="s">
        <v>50</v>
      </c>
      <c r="F232" s="19" t="s">
        <v>503</v>
      </c>
      <c r="G232" s="19" t="s">
        <v>1883</v>
      </c>
      <c r="H232" s="19" t="s">
        <v>1884</v>
      </c>
      <c r="I232" s="19" t="s">
        <v>1885</v>
      </c>
      <c r="J232" s="19" t="n">
        <v>8129.37</v>
      </c>
      <c r="K232" s="19" t="s">
        <v>1887</v>
      </c>
      <c r="L232" s="21" t="s">
        <v>343</v>
      </c>
      <c r="M232" s="20" t="str">
        <f aca="false">IF(G232&lt;&gt;"","PASS","FAIL - Missing UPC")</f>
        <v>PASS</v>
      </c>
      <c r="N232" s="20" t="str">
        <f aca="false">IF(AND(G232&lt;&gt;"",H232&lt;&gt;""),IF("0"&amp;G232=H232,"PASS","FAIL - GTIN Mismatch"),"SKIP")</f>
        <v>PASS</v>
      </c>
      <c r="O232" s="20" t="str">
        <f aca="false">IF(I232="","FAIL - No Title",IF(LEN(I232)&lt;=126,"PASS","FAIL - Title &gt;"&amp;126&amp;" chars"))</f>
        <v>PASS</v>
      </c>
      <c r="P232" s="20" t="str">
        <f aca="false">IF(J232&gt;0,IF(J232&lt;5000,"PASS","FLAG - Review Price"),"FAIL - Zero Price")</f>
        <v>FLAG - Review Price</v>
      </c>
      <c r="Q232" s="20" t="str">
        <f aca="false">IF('Raw Catalog'!P230&lt;&gt;"","PASS","FAIL - No Image")</f>
        <v>PASS</v>
      </c>
      <c r="R232" s="20" t="str">
        <f aca="false">IF(F232&lt;&gt;"","PASS","FAIL - No Brand")</f>
        <v>PASS</v>
      </c>
      <c r="S232" s="20" t="str">
        <f aca="true">IF(K232="","FAIL - No Date",IF(TODAY()-DATEVALUE(K232)&lt;=180,"PASS","FLAG - Stale &gt;180d"))</f>
        <v>FLAG - Stale &gt;180d</v>
      </c>
      <c r="T232" s="20" t="n">
        <f aca="false">COUNTIF(M232:S232,"FAIL*")+COUNTIF(M232:S232,"FLAG*")</f>
        <v>2</v>
      </c>
      <c r="U232" s="20" t="str">
        <f aca="false">IF(T232=0,"CLEAN",IF(T232=1,"MINOR",IF(T232&lt;=3,"MODERATE","CRITICAL")))</f>
        <v>MODERATE</v>
      </c>
      <c r="V232" s="20" t="str">
        <f aca="false">IF(U232="CLEAN","None",IF(U232="MINOR","Seller Notify",IF(U232="MODERATE","Listing Suspended","Immediate Removal")))</f>
        <v>Listing Suspended</v>
      </c>
    </row>
    <row r="233" customFormat="false" ht="18" hidden="false" customHeight="true" outlineLevel="0" collapsed="false">
      <c r="A233" s="19" t="s">
        <v>6310</v>
      </c>
      <c r="B233" s="19" t="s">
        <v>1888</v>
      </c>
      <c r="C233" s="19" t="s">
        <v>113</v>
      </c>
      <c r="D233" s="19" t="s">
        <v>114</v>
      </c>
      <c r="E233" s="19" t="s">
        <v>65</v>
      </c>
      <c r="F233" s="19" t="s">
        <v>513</v>
      </c>
      <c r="G233" s="19" t="s">
        <v>1890</v>
      </c>
      <c r="H233" s="19" t="s">
        <v>1891</v>
      </c>
      <c r="I233" s="19" t="s">
        <v>1892</v>
      </c>
      <c r="J233" s="19" t="n">
        <v>1185.77</v>
      </c>
      <c r="K233" s="19" t="s">
        <v>1894</v>
      </c>
      <c r="L233" s="21" t="s">
        <v>453</v>
      </c>
      <c r="M233" s="20" t="str">
        <f aca="false">IF(G233&lt;&gt;"","PASS","FAIL - Missing UPC")</f>
        <v>PASS</v>
      </c>
      <c r="N233" s="20" t="str">
        <f aca="false">IF(AND(G233&lt;&gt;"",H233&lt;&gt;""),IF("0"&amp;G233=H233,"PASS","FAIL - GTIN Mismatch"),"SKIP")</f>
        <v>PASS</v>
      </c>
      <c r="O233" s="20" t="str">
        <f aca="false">IF(I233="","FAIL - No Title",IF(LEN(I233)&lt;=126,"PASS","FAIL - Title &gt;"&amp;126&amp;" chars"))</f>
        <v>PASS</v>
      </c>
      <c r="P233" s="20" t="str">
        <f aca="false">IF(J233&gt;0,IF(J233&lt;5000,"PASS","FLAG - Review Price"),"FAIL - Zero Price")</f>
        <v>PASS</v>
      </c>
      <c r="Q233" s="20" t="str">
        <f aca="false">IF('Raw Catalog'!P231&lt;&gt;"","PASS","FAIL - No Image")</f>
        <v>PASS</v>
      </c>
      <c r="R233" s="20" t="str">
        <f aca="false">IF(F233&lt;&gt;"","PASS","FAIL - No Brand")</f>
        <v>PASS</v>
      </c>
      <c r="S233" s="20" t="str">
        <f aca="true">IF(K233="","FAIL - No Date",IF(TODAY()-DATEVALUE(K233)&lt;=180,"PASS","FLAG - Stale &gt;180d"))</f>
        <v>FLAG - Stale &gt;180d</v>
      </c>
      <c r="T233" s="20" t="n">
        <f aca="false">COUNTIF(M233:S233,"FAIL*")+COUNTIF(M233:S233,"FLAG*")</f>
        <v>1</v>
      </c>
      <c r="U233" s="20" t="str">
        <f aca="false">IF(T233=0,"CLEAN",IF(T233=1,"MINOR",IF(T233&lt;=3,"MODERATE","CRITICAL")))</f>
        <v>MINOR</v>
      </c>
      <c r="V233" s="20" t="str">
        <f aca="false">IF(U233="CLEAN","None",IF(U233="MINOR","Seller Notify",IF(U233="MODERATE","Listing Suspended","Immediate Removal")))</f>
        <v>Seller Notify</v>
      </c>
    </row>
    <row r="234" customFormat="false" ht="18" hidden="false" customHeight="true" outlineLevel="0" collapsed="false">
      <c r="A234" s="19" t="s">
        <v>6311</v>
      </c>
      <c r="B234" s="19" t="s">
        <v>1895</v>
      </c>
      <c r="C234" s="19" t="s">
        <v>113</v>
      </c>
      <c r="D234" s="19" t="s">
        <v>114</v>
      </c>
      <c r="E234" s="19" t="s">
        <v>65</v>
      </c>
      <c r="F234" s="19" t="s">
        <v>438</v>
      </c>
      <c r="G234" s="19" t="s">
        <v>1897</v>
      </c>
      <c r="H234" s="19" t="s">
        <v>1898</v>
      </c>
      <c r="I234" s="19" t="s">
        <v>1363</v>
      </c>
      <c r="J234" s="19" t="n">
        <v>410.48</v>
      </c>
      <c r="K234" s="19" t="s">
        <v>1899</v>
      </c>
      <c r="L234" s="19"/>
      <c r="M234" s="20" t="str">
        <f aca="false">IF(G234&lt;&gt;"","PASS","FAIL - Missing UPC")</f>
        <v>PASS</v>
      </c>
      <c r="N234" s="20" t="str">
        <f aca="false">IF(AND(G234&lt;&gt;"",H234&lt;&gt;""),IF("0"&amp;G234=H234,"PASS","FAIL - GTIN Mismatch"),"SKIP")</f>
        <v>PASS</v>
      </c>
      <c r="O234" s="20" t="str">
        <f aca="false">IF(I234="","FAIL - No Title",IF(LEN(I234)&lt;=126,"PASS","FAIL - Title &gt;"&amp;126&amp;" chars"))</f>
        <v>PASS</v>
      </c>
      <c r="P234" s="20" t="str">
        <f aca="false">IF(J234&gt;0,IF(J234&lt;5000,"PASS","FLAG - Review Price"),"FAIL - Zero Price")</f>
        <v>PASS</v>
      </c>
      <c r="Q234" s="20" t="str">
        <f aca="false">IF('Raw Catalog'!P232&lt;&gt;"","PASS","FAIL - No Image")</f>
        <v>PASS</v>
      </c>
      <c r="R234" s="20" t="str">
        <f aca="false">IF(F234&lt;&gt;"","PASS","FAIL - No Brand")</f>
        <v>PASS</v>
      </c>
      <c r="S234" s="20" t="str">
        <f aca="true">IF(K234="","FAIL - No Date",IF(TODAY()-DATEVALUE(K234)&lt;=180,"PASS","FLAG - Stale &gt;180d"))</f>
        <v>FLAG - Stale &gt;180d</v>
      </c>
      <c r="T234" s="20" t="n">
        <f aca="false">COUNTIF(M234:S234,"FAIL*")+COUNTIF(M234:S234,"FLAG*")</f>
        <v>1</v>
      </c>
      <c r="U234" s="20" t="str">
        <f aca="false">IF(T234=0,"CLEAN",IF(T234=1,"MINOR",IF(T234&lt;=3,"MODERATE","CRITICAL")))</f>
        <v>MINOR</v>
      </c>
      <c r="V234" s="20" t="str">
        <f aca="false">IF(U234="CLEAN","None",IF(U234="MINOR","Seller Notify",IF(U234="MODERATE","Listing Suspended","Immediate Removal")))</f>
        <v>Seller Notify</v>
      </c>
    </row>
    <row r="235" customFormat="false" ht="18" hidden="false" customHeight="true" outlineLevel="0" collapsed="false">
      <c r="A235" s="19" t="s">
        <v>6312</v>
      </c>
      <c r="B235" s="19" t="s">
        <v>1900</v>
      </c>
      <c r="C235" s="19" t="s">
        <v>255</v>
      </c>
      <c r="D235" s="19" t="s">
        <v>256</v>
      </c>
      <c r="E235" s="19" t="s">
        <v>79</v>
      </c>
      <c r="F235" s="19" t="s">
        <v>513</v>
      </c>
      <c r="G235" s="19" t="s">
        <v>1902</v>
      </c>
      <c r="H235" s="19" t="s">
        <v>1903</v>
      </c>
      <c r="I235" s="19" t="s">
        <v>1904</v>
      </c>
      <c r="J235" s="19" t="n">
        <v>981.28</v>
      </c>
      <c r="K235" s="19" t="s">
        <v>1906</v>
      </c>
      <c r="L235" s="19"/>
      <c r="M235" s="20" t="str">
        <f aca="false">IF(G235&lt;&gt;"","PASS","FAIL - Missing UPC")</f>
        <v>PASS</v>
      </c>
      <c r="N235" s="20" t="str">
        <f aca="false">IF(AND(G235&lt;&gt;"",H235&lt;&gt;""),IF("0"&amp;G235=H235,"PASS","FAIL - GTIN Mismatch"),"SKIP")</f>
        <v>PASS</v>
      </c>
      <c r="O235" s="20" t="str">
        <f aca="false">IF(I235="","FAIL - No Title",IF(LEN(I235)&lt;=126,"PASS","FAIL - Title &gt;"&amp;126&amp;" chars"))</f>
        <v>PASS</v>
      </c>
      <c r="P235" s="20" t="str">
        <f aca="false">IF(J235&gt;0,IF(J235&lt;5000,"PASS","FLAG - Review Price"),"FAIL - Zero Price")</f>
        <v>PASS</v>
      </c>
      <c r="Q235" s="20" t="str">
        <f aca="false">IF('Raw Catalog'!P233&lt;&gt;"","PASS","FAIL - No Image")</f>
        <v>PASS</v>
      </c>
      <c r="R235" s="20" t="str">
        <f aca="false">IF(F235&lt;&gt;"","PASS","FAIL - No Brand")</f>
        <v>PASS</v>
      </c>
      <c r="S235" s="20" t="str">
        <f aca="true">IF(K235="","FAIL - No Date",IF(TODAY()-DATEVALUE(K235)&lt;=180,"PASS","FLAG - Stale &gt;180d"))</f>
        <v>FLAG - Stale &gt;180d</v>
      </c>
      <c r="T235" s="20" t="n">
        <f aca="false">COUNTIF(M235:S235,"FAIL*")+COUNTIF(M235:S235,"FLAG*")</f>
        <v>1</v>
      </c>
      <c r="U235" s="20" t="str">
        <f aca="false">IF(T235=0,"CLEAN",IF(T235=1,"MINOR",IF(T235&lt;=3,"MODERATE","CRITICAL")))</f>
        <v>MINOR</v>
      </c>
      <c r="V235" s="20" t="str">
        <f aca="false">IF(U235="CLEAN","None",IF(U235="MINOR","Seller Notify",IF(U235="MODERATE","Listing Suspended","Immediate Removal")))</f>
        <v>Seller Notify</v>
      </c>
    </row>
    <row r="236" customFormat="false" ht="18" hidden="false" customHeight="true" outlineLevel="0" collapsed="false">
      <c r="A236" s="19" t="s">
        <v>6313</v>
      </c>
      <c r="B236" s="19" t="s">
        <v>1907</v>
      </c>
      <c r="C236" s="19" t="s">
        <v>173</v>
      </c>
      <c r="D236" s="19" t="s">
        <v>174</v>
      </c>
      <c r="E236" s="19" t="s">
        <v>91</v>
      </c>
      <c r="F236" s="19" t="s">
        <v>419</v>
      </c>
      <c r="G236" s="19" t="s">
        <v>1909</v>
      </c>
      <c r="H236" s="19" t="s">
        <v>1910</v>
      </c>
      <c r="I236" s="19" t="s">
        <v>1911</v>
      </c>
      <c r="J236" s="19" t="n">
        <v>2988.29</v>
      </c>
      <c r="K236" s="19" t="s">
        <v>350</v>
      </c>
      <c r="L236" s="19"/>
      <c r="M236" s="20" t="str">
        <f aca="false">IF(G236&lt;&gt;"","PASS","FAIL - Missing UPC")</f>
        <v>PASS</v>
      </c>
      <c r="N236" s="20" t="str">
        <f aca="false">IF(AND(G236&lt;&gt;"",H236&lt;&gt;""),IF("0"&amp;G236=H236,"PASS","FAIL - GTIN Mismatch"),"SKIP")</f>
        <v>PASS</v>
      </c>
      <c r="O236" s="20" t="str">
        <f aca="false">IF(I236="","FAIL - No Title",IF(LEN(I236)&lt;=126,"PASS","FAIL - Title &gt;"&amp;126&amp;" chars"))</f>
        <v>PASS</v>
      </c>
      <c r="P236" s="20" t="str">
        <f aca="false">IF(J236&gt;0,IF(J236&lt;5000,"PASS","FLAG - Review Price"),"FAIL - Zero Price")</f>
        <v>PASS</v>
      </c>
      <c r="Q236" s="20" t="str">
        <f aca="false">IF('Raw Catalog'!P234&lt;&gt;"","PASS","FAIL - No Image")</f>
        <v>PASS</v>
      </c>
      <c r="R236" s="20" t="str">
        <f aca="false">IF(F236&lt;&gt;"","PASS","FAIL - No Brand")</f>
        <v>PASS</v>
      </c>
      <c r="S236" s="20" t="str">
        <f aca="true">IF(K236="","FAIL - No Date",IF(TODAY()-DATEVALUE(K236)&lt;=180,"PASS","FLAG - Stale &gt;180d"))</f>
        <v>FLAG - Stale &gt;180d</v>
      </c>
      <c r="T236" s="20" t="n">
        <f aca="false">COUNTIF(M236:S236,"FAIL*")+COUNTIF(M236:S236,"FLAG*")</f>
        <v>1</v>
      </c>
      <c r="U236" s="20" t="str">
        <f aca="false">IF(T236=0,"CLEAN",IF(T236=1,"MINOR",IF(T236&lt;=3,"MODERATE","CRITICAL")))</f>
        <v>MINOR</v>
      </c>
      <c r="V236" s="20" t="str">
        <f aca="false">IF(U236="CLEAN","None",IF(U236="MINOR","Seller Notify",IF(U236="MODERATE","Listing Suspended","Immediate Removal")))</f>
        <v>Seller Notify</v>
      </c>
    </row>
    <row r="237" customFormat="false" ht="18" hidden="false" customHeight="true" outlineLevel="0" collapsed="false">
      <c r="A237" s="19" t="s">
        <v>6314</v>
      </c>
      <c r="B237" s="19" t="s">
        <v>1915</v>
      </c>
      <c r="C237" s="19" t="s">
        <v>77</v>
      </c>
      <c r="D237" s="19" t="s">
        <v>78</v>
      </c>
      <c r="E237" s="19" t="s">
        <v>161</v>
      </c>
      <c r="F237" s="19" t="s">
        <v>306</v>
      </c>
      <c r="G237" s="19" t="s">
        <v>1917</v>
      </c>
      <c r="H237" s="19" t="s">
        <v>1918</v>
      </c>
      <c r="I237" s="19" t="s">
        <v>1919</v>
      </c>
      <c r="J237" s="19" t="n">
        <v>110.67</v>
      </c>
      <c r="K237" s="19" t="s">
        <v>1921</v>
      </c>
      <c r="L237" s="21" t="s">
        <v>325</v>
      </c>
      <c r="M237" s="20" t="str">
        <f aca="false">IF(G237&lt;&gt;"","PASS","FAIL - Missing UPC")</f>
        <v>PASS</v>
      </c>
      <c r="N237" s="20" t="str">
        <f aca="false">IF(AND(G237&lt;&gt;"",H237&lt;&gt;""),IF("0"&amp;G237=H237,"PASS","FAIL - GTIN Mismatch"),"SKIP")</f>
        <v>PASS</v>
      </c>
      <c r="O237" s="20" t="str">
        <f aca="false">IF(I237="","FAIL - No Title",IF(LEN(I237)&lt;=126,"PASS","FAIL - Title &gt;"&amp;126&amp;" chars"))</f>
        <v>PASS</v>
      </c>
      <c r="P237" s="20" t="str">
        <f aca="false">IF(J237&gt;0,IF(J237&lt;5000,"PASS","FLAG - Review Price"),"FAIL - Zero Price")</f>
        <v>PASS</v>
      </c>
      <c r="Q237" s="20" t="str">
        <f aca="false">IF('Raw Catalog'!P235&lt;&gt;"","PASS","FAIL - No Image")</f>
        <v>PASS</v>
      </c>
      <c r="R237" s="20" t="str">
        <f aca="false">IF(F237&lt;&gt;"","PASS","FAIL - No Brand")</f>
        <v>PASS</v>
      </c>
      <c r="S237" s="20" t="str">
        <f aca="true">IF(K237="","FAIL - No Date",IF(TODAY()-DATEVALUE(K237)&lt;=180,"PASS","FLAG - Stale &gt;180d"))</f>
        <v>FLAG - Stale &gt;180d</v>
      </c>
      <c r="T237" s="20" t="n">
        <f aca="false">COUNTIF(M237:S237,"FAIL*")+COUNTIF(M237:S237,"FLAG*")</f>
        <v>1</v>
      </c>
      <c r="U237" s="20" t="str">
        <f aca="false">IF(T237=0,"CLEAN",IF(T237=1,"MINOR",IF(T237&lt;=3,"MODERATE","CRITICAL")))</f>
        <v>MINOR</v>
      </c>
      <c r="V237" s="20" t="str">
        <f aca="false">IF(U237="CLEAN","None",IF(U237="MINOR","Seller Notify",IF(U237="MODERATE","Listing Suspended","Immediate Removal")))</f>
        <v>Seller Notify</v>
      </c>
    </row>
    <row r="238" customFormat="false" ht="18" hidden="false" customHeight="true" outlineLevel="0" collapsed="false">
      <c r="A238" s="19" t="s">
        <v>6315</v>
      </c>
      <c r="B238" s="19" t="s">
        <v>1922</v>
      </c>
      <c r="C238" s="19" t="s">
        <v>173</v>
      </c>
      <c r="D238" s="19" t="s">
        <v>174</v>
      </c>
      <c r="E238" s="19" t="s">
        <v>65</v>
      </c>
      <c r="F238" s="19" t="s">
        <v>227</v>
      </c>
      <c r="G238" s="19" t="s">
        <v>1924</v>
      </c>
      <c r="H238" s="19" t="s">
        <v>1925</v>
      </c>
      <c r="I238" s="19" t="s">
        <v>1926</v>
      </c>
      <c r="J238" s="19" t="n">
        <v>83.86</v>
      </c>
      <c r="K238" s="19" t="s">
        <v>1930</v>
      </c>
      <c r="L238" s="19"/>
      <c r="M238" s="20" t="str">
        <f aca="false">IF(G238&lt;&gt;"","PASS","FAIL - Missing UPC")</f>
        <v>PASS</v>
      </c>
      <c r="N238" s="20" t="str">
        <f aca="false">IF(AND(G238&lt;&gt;"",H238&lt;&gt;""),IF("0"&amp;G238=H238,"PASS","FAIL - GTIN Mismatch"),"SKIP")</f>
        <v>PASS</v>
      </c>
      <c r="O238" s="20" t="str">
        <f aca="false">IF(I238="","FAIL - No Title",IF(LEN(I238)&lt;=126,"PASS","FAIL - Title &gt;"&amp;126&amp;" chars"))</f>
        <v>PASS</v>
      </c>
      <c r="P238" s="20" t="str">
        <f aca="false">IF(J238&gt;0,IF(J238&lt;5000,"PASS","FLAG - Review Price"),"FAIL - Zero Price")</f>
        <v>PASS</v>
      </c>
      <c r="Q238" s="20" t="str">
        <f aca="false">IF('Raw Catalog'!P236&lt;&gt;"","PASS","FAIL - No Image")</f>
        <v>PASS</v>
      </c>
      <c r="R238" s="20" t="str">
        <f aca="false">IF(F238&lt;&gt;"","PASS","FAIL - No Brand")</f>
        <v>PASS</v>
      </c>
      <c r="S238" s="20" t="str">
        <f aca="true">IF(K238="","FAIL - No Date",IF(TODAY()-DATEVALUE(K238)&lt;=180,"PASS","FLAG - Stale &gt;180d"))</f>
        <v>FLAG - Stale &gt;180d</v>
      </c>
      <c r="T238" s="20" t="n">
        <f aca="false">COUNTIF(M238:S238,"FAIL*")+COUNTIF(M238:S238,"FLAG*")</f>
        <v>1</v>
      </c>
      <c r="U238" s="20" t="str">
        <f aca="false">IF(T238=0,"CLEAN",IF(T238=1,"MINOR",IF(T238&lt;=3,"MODERATE","CRITICAL")))</f>
        <v>MINOR</v>
      </c>
      <c r="V238" s="20" t="str">
        <f aca="false">IF(U238="CLEAN","None",IF(U238="MINOR","Seller Notify",IF(U238="MODERATE","Listing Suspended","Immediate Removal")))</f>
        <v>Seller Notify</v>
      </c>
    </row>
    <row r="239" customFormat="false" ht="18" hidden="false" customHeight="true" outlineLevel="0" collapsed="false">
      <c r="A239" s="19" t="s">
        <v>6316</v>
      </c>
      <c r="B239" s="19" t="s">
        <v>1931</v>
      </c>
      <c r="C239" s="19" t="s">
        <v>159</v>
      </c>
      <c r="D239" s="19" t="s">
        <v>160</v>
      </c>
      <c r="E239" s="19" t="s">
        <v>161</v>
      </c>
      <c r="F239" s="19" t="s">
        <v>51</v>
      </c>
      <c r="G239" s="19" t="s">
        <v>1933</v>
      </c>
      <c r="H239" s="19" t="s">
        <v>1934</v>
      </c>
      <c r="I239" s="19" t="s">
        <v>1935</v>
      </c>
      <c r="J239" s="19" t="n">
        <v>463.1</v>
      </c>
      <c r="K239" s="19" t="s">
        <v>1936</v>
      </c>
      <c r="L239" s="19"/>
      <c r="M239" s="20" t="str">
        <f aca="false">IF(G239&lt;&gt;"","PASS","FAIL - Missing UPC")</f>
        <v>PASS</v>
      </c>
      <c r="N239" s="20" t="str">
        <f aca="false">IF(AND(G239&lt;&gt;"",H239&lt;&gt;""),IF("0"&amp;G239=H239,"PASS","FAIL - GTIN Mismatch"),"SKIP")</f>
        <v>PASS</v>
      </c>
      <c r="O239" s="20" t="str">
        <f aca="false">IF(I239="","FAIL - No Title",IF(LEN(I239)&lt;=126,"PASS","FAIL - Title &gt;"&amp;126&amp;" chars"))</f>
        <v>PASS</v>
      </c>
      <c r="P239" s="20" t="str">
        <f aca="false">IF(J239&gt;0,IF(J239&lt;5000,"PASS","FLAG - Review Price"),"FAIL - Zero Price")</f>
        <v>PASS</v>
      </c>
      <c r="Q239" s="20" t="str">
        <f aca="false">IF('Raw Catalog'!P237&lt;&gt;"","PASS","FAIL - No Image")</f>
        <v>PASS</v>
      </c>
      <c r="R239" s="20" t="str">
        <f aca="false">IF(F239&lt;&gt;"","PASS","FAIL - No Brand")</f>
        <v>PASS</v>
      </c>
      <c r="S239" s="20" t="str">
        <f aca="true">IF(K239="","FAIL - No Date",IF(TODAY()-DATEVALUE(K239)&lt;=180,"PASS","FLAG - Stale &gt;180d"))</f>
        <v>FLAG - Stale &gt;180d</v>
      </c>
      <c r="T239" s="20" t="n">
        <f aca="false">COUNTIF(M239:S239,"FAIL*")+COUNTIF(M239:S239,"FLAG*")</f>
        <v>1</v>
      </c>
      <c r="U239" s="20" t="str">
        <f aca="false">IF(T239=0,"CLEAN",IF(T239=1,"MINOR",IF(T239&lt;=3,"MODERATE","CRITICAL")))</f>
        <v>MINOR</v>
      </c>
      <c r="V239" s="20" t="str">
        <f aca="false">IF(U239="CLEAN","None",IF(U239="MINOR","Seller Notify",IF(U239="MODERATE","Listing Suspended","Immediate Removal")))</f>
        <v>Seller Notify</v>
      </c>
    </row>
    <row r="240" customFormat="false" ht="18" hidden="false" customHeight="true" outlineLevel="0" collapsed="false">
      <c r="A240" s="19" t="s">
        <v>6317</v>
      </c>
      <c r="B240" s="19" t="s">
        <v>1937</v>
      </c>
      <c r="C240" s="19" t="s">
        <v>125</v>
      </c>
      <c r="D240" s="19" t="s">
        <v>126</v>
      </c>
      <c r="E240" s="19" t="s">
        <v>50</v>
      </c>
      <c r="F240" s="19" t="s">
        <v>51</v>
      </c>
      <c r="G240" s="19" t="s">
        <v>1939</v>
      </c>
      <c r="H240" s="19" t="s">
        <v>1940</v>
      </c>
      <c r="I240" s="19" t="s">
        <v>1941</v>
      </c>
      <c r="J240" s="19" t="n">
        <v>1233.64</v>
      </c>
      <c r="K240" s="19" t="s">
        <v>1731</v>
      </c>
      <c r="L240" s="21" t="s">
        <v>1014</v>
      </c>
      <c r="M240" s="20" t="str">
        <f aca="false">IF(G240&lt;&gt;"","PASS","FAIL - Missing UPC")</f>
        <v>PASS</v>
      </c>
      <c r="N240" s="20" t="str">
        <f aca="false">IF(AND(G240&lt;&gt;"",H240&lt;&gt;""),IF("0"&amp;G240=H240,"PASS","FAIL - GTIN Mismatch"),"SKIP")</f>
        <v>PASS</v>
      </c>
      <c r="O240" s="20" t="str">
        <f aca="false">IF(I240="","FAIL - No Title",IF(LEN(I240)&lt;=126,"PASS","FAIL - Title &gt;"&amp;126&amp;" chars"))</f>
        <v>PASS</v>
      </c>
      <c r="P240" s="20" t="str">
        <f aca="false">IF(J240&gt;0,IF(J240&lt;5000,"PASS","FLAG - Review Price"),"FAIL - Zero Price")</f>
        <v>PASS</v>
      </c>
      <c r="Q240" s="20" t="str">
        <f aca="false">IF('Raw Catalog'!P238&lt;&gt;"","PASS","FAIL - No Image")</f>
        <v>FAIL - No Image</v>
      </c>
      <c r="R240" s="20" t="str">
        <f aca="false">IF(F240&lt;&gt;"","PASS","FAIL - No Brand")</f>
        <v>PASS</v>
      </c>
      <c r="S240" s="20" t="str">
        <f aca="true">IF(K240="","FAIL - No Date",IF(TODAY()-DATEVALUE(K240)&lt;=180,"PASS","FLAG - Stale &gt;180d"))</f>
        <v>FLAG - Stale &gt;180d</v>
      </c>
      <c r="T240" s="20" t="n">
        <f aca="false">COUNTIF(M240:S240,"FAIL*")+COUNTIF(M240:S240,"FLAG*")</f>
        <v>2</v>
      </c>
      <c r="U240" s="20" t="str">
        <f aca="false">IF(T240=0,"CLEAN",IF(T240=1,"MINOR",IF(T240&lt;=3,"MODERATE","CRITICAL")))</f>
        <v>MODERATE</v>
      </c>
      <c r="V240" s="20" t="str">
        <f aca="false">IF(U240="CLEAN","None",IF(U240="MINOR","Seller Notify",IF(U240="MODERATE","Listing Suspended","Immediate Removal")))</f>
        <v>Listing Suspended</v>
      </c>
    </row>
    <row r="241" customFormat="false" ht="18" hidden="false" customHeight="true" outlineLevel="0" collapsed="false">
      <c r="A241" s="19" t="s">
        <v>6318</v>
      </c>
      <c r="B241" s="19" t="s">
        <v>1942</v>
      </c>
      <c r="C241" s="19" t="s">
        <v>63</v>
      </c>
      <c r="D241" s="19" t="s">
        <v>64</v>
      </c>
      <c r="E241" s="19" t="s">
        <v>161</v>
      </c>
      <c r="F241" s="19" t="s">
        <v>822</v>
      </c>
      <c r="G241" s="19" t="s">
        <v>1944</v>
      </c>
      <c r="H241" s="19" t="s">
        <v>1945</v>
      </c>
      <c r="I241" s="19"/>
      <c r="J241" s="19" t="n">
        <v>187.49</v>
      </c>
      <c r="K241" s="19" t="s">
        <v>147</v>
      </c>
      <c r="L241" s="21" t="s">
        <v>1048</v>
      </c>
      <c r="M241" s="20" t="str">
        <f aca="false">IF(G241&lt;&gt;"","PASS","FAIL - Missing UPC")</f>
        <v>PASS</v>
      </c>
      <c r="N241" s="20" t="str">
        <f aca="false">IF(AND(G241&lt;&gt;"",H241&lt;&gt;""),IF("0"&amp;G241=H241,"PASS","FAIL - GTIN Mismatch"),"SKIP")</f>
        <v>PASS</v>
      </c>
      <c r="O241" s="20" t="str">
        <f aca="false">IF(I241="","FAIL - No Title",IF(LEN(I241)&lt;=126,"PASS","FAIL - Title &gt;"&amp;126&amp;" chars"))</f>
        <v>FAIL - No Title</v>
      </c>
      <c r="P241" s="20" t="str">
        <f aca="false">IF(J241&gt;0,IF(J241&lt;5000,"PASS","FLAG - Review Price"),"FAIL - Zero Price")</f>
        <v>PASS</v>
      </c>
      <c r="Q241" s="20" t="str">
        <f aca="false">IF('Raw Catalog'!P239&lt;&gt;"","PASS","FAIL - No Image")</f>
        <v>PASS</v>
      </c>
      <c r="R241" s="20" t="str">
        <f aca="false">IF(F241&lt;&gt;"","PASS","FAIL - No Brand")</f>
        <v>PASS</v>
      </c>
      <c r="S241" s="20" t="str">
        <f aca="true">IF(K241="","FAIL - No Date",IF(TODAY()-DATEVALUE(K241)&lt;=180,"PASS","FLAG - Stale &gt;180d"))</f>
        <v>FLAG - Stale &gt;180d</v>
      </c>
      <c r="T241" s="20" t="n">
        <f aca="false">COUNTIF(M241:S241,"FAIL*")+COUNTIF(M241:S241,"FLAG*")</f>
        <v>2</v>
      </c>
      <c r="U241" s="20" t="str">
        <f aca="false">IF(T241=0,"CLEAN",IF(T241=1,"MINOR",IF(T241&lt;=3,"MODERATE","CRITICAL")))</f>
        <v>MODERATE</v>
      </c>
      <c r="V241" s="20" t="str">
        <f aca="false">IF(U241="CLEAN","None",IF(U241="MINOR","Seller Notify",IF(U241="MODERATE","Listing Suspended","Immediate Removal")))</f>
        <v>Listing Suspended</v>
      </c>
    </row>
    <row r="242" customFormat="false" ht="18" hidden="false" customHeight="true" outlineLevel="0" collapsed="false">
      <c r="A242" s="19" t="s">
        <v>6319</v>
      </c>
      <c r="B242" s="19" t="s">
        <v>1946</v>
      </c>
      <c r="C242" s="19" t="s">
        <v>77</v>
      </c>
      <c r="D242" s="19" t="s">
        <v>78</v>
      </c>
      <c r="E242" s="19" t="s">
        <v>91</v>
      </c>
      <c r="F242" s="19" t="s">
        <v>92</v>
      </c>
      <c r="G242" s="19" t="s">
        <v>1948</v>
      </c>
      <c r="H242" s="19" t="s">
        <v>1949</v>
      </c>
      <c r="I242" s="19" t="s">
        <v>1950</v>
      </c>
      <c r="J242" s="19" t="n">
        <v>2427.87</v>
      </c>
      <c r="K242" s="19" t="s">
        <v>1685</v>
      </c>
      <c r="L242" s="19"/>
      <c r="M242" s="20" t="str">
        <f aca="false">IF(G242&lt;&gt;"","PASS","FAIL - Missing UPC")</f>
        <v>PASS</v>
      </c>
      <c r="N242" s="20" t="str">
        <f aca="false">IF(AND(G242&lt;&gt;"",H242&lt;&gt;""),IF("0"&amp;G242=H242,"PASS","FAIL - GTIN Mismatch"),"SKIP")</f>
        <v>PASS</v>
      </c>
      <c r="O242" s="20" t="str">
        <f aca="false">IF(I242="","FAIL - No Title",IF(LEN(I242)&lt;=126,"PASS","FAIL - Title &gt;"&amp;126&amp;" chars"))</f>
        <v>PASS</v>
      </c>
      <c r="P242" s="20" t="str">
        <f aca="false">IF(J242&gt;0,IF(J242&lt;5000,"PASS","FLAG - Review Price"),"FAIL - Zero Price")</f>
        <v>PASS</v>
      </c>
      <c r="Q242" s="20" t="str">
        <f aca="false">IF('Raw Catalog'!P240&lt;&gt;"","PASS","FAIL - No Image")</f>
        <v>PASS</v>
      </c>
      <c r="R242" s="20" t="str">
        <f aca="false">IF(F242&lt;&gt;"","PASS","FAIL - No Brand")</f>
        <v>PASS</v>
      </c>
      <c r="S242" s="20" t="str">
        <f aca="true">IF(K242="","FAIL - No Date",IF(TODAY()-DATEVALUE(K242)&lt;=180,"PASS","FLAG - Stale &gt;180d"))</f>
        <v>FLAG - Stale &gt;180d</v>
      </c>
      <c r="T242" s="20" t="n">
        <f aca="false">COUNTIF(M242:S242,"FAIL*")+COUNTIF(M242:S242,"FLAG*")</f>
        <v>1</v>
      </c>
      <c r="U242" s="20" t="str">
        <f aca="false">IF(T242=0,"CLEAN",IF(T242=1,"MINOR",IF(T242&lt;=3,"MODERATE","CRITICAL")))</f>
        <v>MINOR</v>
      </c>
      <c r="V242" s="20" t="str">
        <f aca="false">IF(U242="CLEAN","None",IF(U242="MINOR","Seller Notify",IF(U242="MODERATE","Listing Suspended","Immediate Removal")))</f>
        <v>Seller Notify</v>
      </c>
    </row>
    <row r="243" customFormat="false" ht="18" hidden="false" customHeight="true" outlineLevel="0" collapsed="false">
      <c r="A243" s="19" t="s">
        <v>6320</v>
      </c>
      <c r="B243" s="19" t="s">
        <v>1952</v>
      </c>
      <c r="C243" s="19" t="s">
        <v>173</v>
      </c>
      <c r="D243" s="19" t="s">
        <v>174</v>
      </c>
      <c r="E243" s="19" t="s">
        <v>91</v>
      </c>
      <c r="F243" s="19" t="s">
        <v>780</v>
      </c>
      <c r="G243" s="19" t="s">
        <v>1954</v>
      </c>
      <c r="H243" s="19" t="s">
        <v>1955</v>
      </c>
      <c r="I243" s="19" t="s">
        <v>1956</v>
      </c>
      <c r="J243" s="19" t="n">
        <v>2073.39</v>
      </c>
      <c r="K243" s="19" t="s">
        <v>1957</v>
      </c>
      <c r="L243" s="19"/>
      <c r="M243" s="20" t="str">
        <f aca="false">IF(G243&lt;&gt;"","PASS","FAIL - Missing UPC")</f>
        <v>PASS</v>
      </c>
      <c r="N243" s="20" t="str">
        <f aca="false">IF(AND(G243&lt;&gt;"",H243&lt;&gt;""),IF("0"&amp;G243=H243,"PASS","FAIL - GTIN Mismatch"),"SKIP")</f>
        <v>PASS</v>
      </c>
      <c r="O243" s="20" t="str">
        <f aca="false">IF(I243="","FAIL - No Title",IF(LEN(I243)&lt;=126,"PASS","FAIL - Title &gt;"&amp;126&amp;" chars"))</f>
        <v>PASS</v>
      </c>
      <c r="P243" s="20" t="str">
        <f aca="false">IF(J243&gt;0,IF(J243&lt;5000,"PASS","FLAG - Review Price"),"FAIL - Zero Price")</f>
        <v>PASS</v>
      </c>
      <c r="Q243" s="20" t="str">
        <f aca="false">IF('Raw Catalog'!P241&lt;&gt;"","PASS","FAIL - No Image")</f>
        <v>PASS</v>
      </c>
      <c r="R243" s="20" t="str">
        <f aca="false">IF(F243&lt;&gt;"","PASS","FAIL - No Brand")</f>
        <v>PASS</v>
      </c>
      <c r="S243" s="20" t="str">
        <f aca="true">IF(K243="","FAIL - No Date",IF(TODAY()-DATEVALUE(K243)&lt;=180,"PASS","FLAG - Stale &gt;180d"))</f>
        <v>FLAG - Stale &gt;180d</v>
      </c>
      <c r="T243" s="20" t="n">
        <f aca="false">COUNTIF(M243:S243,"FAIL*")+COUNTIF(M243:S243,"FLAG*")</f>
        <v>1</v>
      </c>
      <c r="U243" s="20" t="str">
        <f aca="false">IF(T243=0,"CLEAN",IF(T243=1,"MINOR",IF(T243&lt;=3,"MODERATE","CRITICAL")))</f>
        <v>MINOR</v>
      </c>
      <c r="V243" s="20" t="str">
        <f aca="false">IF(U243="CLEAN","None",IF(U243="MINOR","Seller Notify",IF(U243="MODERATE","Listing Suspended","Immediate Removal")))</f>
        <v>Seller Notify</v>
      </c>
    </row>
    <row r="244" customFormat="false" ht="18" hidden="false" customHeight="true" outlineLevel="0" collapsed="false">
      <c r="A244" s="19" t="s">
        <v>6321</v>
      </c>
      <c r="B244" s="19" t="s">
        <v>1958</v>
      </c>
      <c r="C244" s="19" t="s">
        <v>173</v>
      </c>
      <c r="D244" s="19" t="s">
        <v>174</v>
      </c>
      <c r="E244" s="19" t="s">
        <v>161</v>
      </c>
      <c r="F244" s="19" t="s">
        <v>185</v>
      </c>
      <c r="G244" s="19" t="s">
        <v>1960</v>
      </c>
      <c r="H244" s="19" t="s">
        <v>1961</v>
      </c>
      <c r="I244" s="19" t="s">
        <v>1962</v>
      </c>
      <c r="J244" s="19" t="n">
        <v>433.98</v>
      </c>
      <c r="K244" s="19" t="s">
        <v>1964</v>
      </c>
      <c r="L244" s="19"/>
      <c r="M244" s="20" t="str">
        <f aca="false">IF(G244&lt;&gt;"","PASS","FAIL - Missing UPC")</f>
        <v>PASS</v>
      </c>
      <c r="N244" s="20" t="str">
        <f aca="false">IF(AND(G244&lt;&gt;"",H244&lt;&gt;""),IF("0"&amp;G244=H244,"PASS","FAIL - GTIN Mismatch"),"SKIP")</f>
        <v>PASS</v>
      </c>
      <c r="O244" s="20" t="str">
        <f aca="false">IF(I244="","FAIL - No Title",IF(LEN(I244)&lt;=126,"PASS","FAIL - Title &gt;"&amp;126&amp;" chars"))</f>
        <v>PASS</v>
      </c>
      <c r="P244" s="20" t="str">
        <f aca="false">IF(J244&gt;0,IF(J244&lt;5000,"PASS","FLAG - Review Price"),"FAIL - Zero Price")</f>
        <v>PASS</v>
      </c>
      <c r="Q244" s="20" t="str">
        <f aca="false">IF('Raw Catalog'!P242&lt;&gt;"","PASS","FAIL - No Image")</f>
        <v>PASS</v>
      </c>
      <c r="R244" s="20" t="str">
        <f aca="false">IF(F244&lt;&gt;"","PASS","FAIL - No Brand")</f>
        <v>PASS</v>
      </c>
      <c r="S244" s="20" t="str">
        <f aca="true">IF(K244="","FAIL - No Date",IF(TODAY()-DATEVALUE(K244)&lt;=180,"PASS","FLAG - Stale &gt;180d"))</f>
        <v>FLAG - Stale &gt;180d</v>
      </c>
      <c r="T244" s="20" t="n">
        <f aca="false">COUNTIF(M244:S244,"FAIL*")+COUNTIF(M244:S244,"FLAG*")</f>
        <v>1</v>
      </c>
      <c r="U244" s="20" t="str">
        <f aca="false">IF(T244=0,"CLEAN",IF(T244=1,"MINOR",IF(T244&lt;=3,"MODERATE","CRITICAL")))</f>
        <v>MINOR</v>
      </c>
      <c r="V244" s="20" t="str">
        <f aca="false">IF(U244="CLEAN","None",IF(U244="MINOR","Seller Notify",IF(U244="MODERATE","Listing Suspended","Immediate Removal")))</f>
        <v>Seller Notify</v>
      </c>
    </row>
    <row r="245" customFormat="false" ht="18" hidden="false" customHeight="true" outlineLevel="0" collapsed="false">
      <c r="A245" s="19" t="s">
        <v>6322</v>
      </c>
      <c r="B245" s="19" t="s">
        <v>1965</v>
      </c>
      <c r="C245" s="19" t="s">
        <v>63</v>
      </c>
      <c r="D245" s="19" t="s">
        <v>64</v>
      </c>
      <c r="E245" s="19" t="s">
        <v>50</v>
      </c>
      <c r="F245" s="19" t="s">
        <v>127</v>
      </c>
      <c r="G245" s="19" t="s">
        <v>1967</v>
      </c>
      <c r="H245" s="19" t="s">
        <v>1968</v>
      </c>
      <c r="I245" s="19" t="s">
        <v>1969</v>
      </c>
      <c r="J245" s="19" t="n">
        <v>757.17</v>
      </c>
      <c r="K245" s="19" t="s">
        <v>1973</v>
      </c>
      <c r="L245" s="19"/>
      <c r="M245" s="20" t="str">
        <f aca="false">IF(G245&lt;&gt;"","PASS","FAIL - Missing UPC")</f>
        <v>PASS</v>
      </c>
      <c r="N245" s="20" t="str">
        <f aca="false">IF(AND(G245&lt;&gt;"",H245&lt;&gt;""),IF("0"&amp;G245=H245,"PASS","FAIL - GTIN Mismatch"),"SKIP")</f>
        <v>PASS</v>
      </c>
      <c r="O245" s="20" t="str">
        <f aca="false">IF(I245="","FAIL - No Title",IF(LEN(I245)&lt;=126,"PASS","FAIL - Title &gt;"&amp;126&amp;" chars"))</f>
        <v>PASS</v>
      </c>
      <c r="P245" s="20" t="str">
        <f aca="false">IF(J245&gt;0,IF(J245&lt;5000,"PASS","FLAG - Review Price"),"FAIL - Zero Price")</f>
        <v>PASS</v>
      </c>
      <c r="Q245" s="20" t="str">
        <f aca="false">IF('Raw Catalog'!P243&lt;&gt;"","PASS","FAIL - No Image")</f>
        <v>PASS</v>
      </c>
      <c r="R245" s="20" t="str">
        <f aca="false">IF(F245&lt;&gt;"","PASS","FAIL - No Brand")</f>
        <v>PASS</v>
      </c>
      <c r="S245" s="20" t="str">
        <f aca="true">IF(K245="","FAIL - No Date",IF(TODAY()-DATEVALUE(K245)&lt;=180,"PASS","FLAG - Stale &gt;180d"))</f>
        <v>FLAG - Stale &gt;180d</v>
      </c>
      <c r="T245" s="20" t="n">
        <f aca="false">COUNTIF(M245:S245,"FAIL*")+COUNTIF(M245:S245,"FLAG*")</f>
        <v>1</v>
      </c>
      <c r="U245" s="20" t="str">
        <f aca="false">IF(T245=0,"CLEAN",IF(T245=1,"MINOR",IF(T245&lt;=3,"MODERATE","CRITICAL")))</f>
        <v>MINOR</v>
      </c>
      <c r="V245" s="20" t="str">
        <f aca="false">IF(U245="CLEAN","None",IF(U245="MINOR","Seller Notify",IF(U245="MODERATE","Listing Suspended","Immediate Removal")))</f>
        <v>Seller Notify</v>
      </c>
    </row>
    <row r="246" customFormat="false" ht="18" hidden="false" customHeight="true" outlineLevel="0" collapsed="false">
      <c r="A246" s="19" t="s">
        <v>6323</v>
      </c>
      <c r="B246" s="19" t="s">
        <v>1974</v>
      </c>
      <c r="C246" s="19" t="s">
        <v>63</v>
      </c>
      <c r="D246" s="19" t="s">
        <v>64</v>
      </c>
      <c r="E246" s="19" t="s">
        <v>161</v>
      </c>
      <c r="F246" s="19" t="s">
        <v>162</v>
      </c>
      <c r="G246" s="19" t="s">
        <v>1976</v>
      </c>
      <c r="H246" s="19" t="s">
        <v>1977</v>
      </c>
      <c r="I246" s="19" t="s">
        <v>1978</v>
      </c>
      <c r="J246" s="19" t="n">
        <v>193.41</v>
      </c>
      <c r="K246" s="19" t="s">
        <v>946</v>
      </c>
      <c r="L246" s="19"/>
      <c r="M246" s="20" t="str">
        <f aca="false">IF(G246&lt;&gt;"","PASS","FAIL - Missing UPC")</f>
        <v>PASS</v>
      </c>
      <c r="N246" s="20" t="str">
        <f aca="false">IF(AND(G246&lt;&gt;"",H246&lt;&gt;""),IF("0"&amp;G246=H246,"PASS","FAIL - GTIN Mismatch"),"SKIP")</f>
        <v>PASS</v>
      </c>
      <c r="O246" s="20" t="str">
        <f aca="false">IF(I246="","FAIL - No Title",IF(LEN(I246)&lt;=126,"PASS","FAIL - Title &gt;"&amp;126&amp;" chars"))</f>
        <v>PASS</v>
      </c>
      <c r="P246" s="20" t="str">
        <f aca="false">IF(J246&gt;0,IF(J246&lt;5000,"PASS","FLAG - Review Price"),"FAIL - Zero Price")</f>
        <v>PASS</v>
      </c>
      <c r="Q246" s="20" t="str">
        <f aca="false">IF('Raw Catalog'!P244&lt;&gt;"","PASS","FAIL - No Image")</f>
        <v>PASS</v>
      </c>
      <c r="R246" s="20" t="str">
        <f aca="false">IF(F246&lt;&gt;"","PASS","FAIL - No Brand")</f>
        <v>PASS</v>
      </c>
      <c r="S246" s="20" t="str">
        <f aca="true">IF(K246="","FAIL - No Date",IF(TODAY()-DATEVALUE(K246)&lt;=180,"PASS","FLAG - Stale &gt;180d"))</f>
        <v>FLAG - Stale &gt;180d</v>
      </c>
      <c r="T246" s="20" t="n">
        <f aca="false">COUNTIF(M246:S246,"FAIL*")+COUNTIF(M246:S246,"FLAG*")</f>
        <v>1</v>
      </c>
      <c r="U246" s="20" t="str">
        <f aca="false">IF(T246=0,"CLEAN",IF(T246=1,"MINOR",IF(T246&lt;=3,"MODERATE","CRITICAL")))</f>
        <v>MINOR</v>
      </c>
      <c r="V246" s="20" t="str">
        <f aca="false">IF(U246="CLEAN","None",IF(U246="MINOR","Seller Notify",IF(U246="MODERATE","Listing Suspended","Immediate Removal")))</f>
        <v>Seller Notify</v>
      </c>
    </row>
    <row r="247" customFormat="false" ht="18" hidden="false" customHeight="true" outlineLevel="0" collapsed="false">
      <c r="A247" s="19" t="s">
        <v>6324</v>
      </c>
      <c r="B247" s="19" t="s">
        <v>1979</v>
      </c>
      <c r="C247" s="19" t="s">
        <v>113</v>
      </c>
      <c r="D247" s="19" t="s">
        <v>114</v>
      </c>
      <c r="E247" s="19" t="s">
        <v>79</v>
      </c>
      <c r="F247" s="19" t="s">
        <v>956</v>
      </c>
      <c r="G247" s="19" t="s">
        <v>1981</v>
      </c>
      <c r="H247" s="19" t="s">
        <v>1982</v>
      </c>
      <c r="I247" s="19" t="s">
        <v>1983</v>
      </c>
      <c r="J247" s="19" t="n">
        <v>1797.46</v>
      </c>
      <c r="K247" s="19" t="s">
        <v>930</v>
      </c>
      <c r="L247" s="19"/>
      <c r="M247" s="20" t="str">
        <f aca="false">IF(G247&lt;&gt;"","PASS","FAIL - Missing UPC")</f>
        <v>PASS</v>
      </c>
      <c r="N247" s="20" t="str">
        <f aca="false">IF(AND(G247&lt;&gt;"",H247&lt;&gt;""),IF("0"&amp;G247=H247,"PASS","FAIL - GTIN Mismatch"),"SKIP")</f>
        <v>PASS</v>
      </c>
      <c r="O247" s="20" t="str">
        <f aca="false">IF(I247="","FAIL - No Title",IF(LEN(I247)&lt;=126,"PASS","FAIL - Title &gt;"&amp;126&amp;" chars"))</f>
        <v>PASS</v>
      </c>
      <c r="P247" s="20" t="str">
        <f aca="false">IF(J247&gt;0,IF(J247&lt;5000,"PASS","FLAG - Review Price"),"FAIL - Zero Price")</f>
        <v>PASS</v>
      </c>
      <c r="Q247" s="20" t="str">
        <f aca="false">IF('Raw Catalog'!P245&lt;&gt;"","PASS","FAIL - No Image")</f>
        <v>PASS</v>
      </c>
      <c r="R247" s="20" t="str">
        <f aca="false">IF(F247&lt;&gt;"","PASS","FAIL - No Brand")</f>
        <v>PASS</v>
      </c>
      <c r="S247" s="20" t="str">
        <f aca="true">IF(K247="","FAIL - No Date",IF(TODAY()-DATEVALUE(K247)&lt;=180,"PASS","FLAG - Stale &gt;180d"))</f>
        <v>FLAG - Stale &gt;180d</v>
      </c>
      <c r="T247" s="20" t="n">
        <f aca="false">COUNTIF(M247:S247,"FAIL*")+COUNTIF(M247:S247,"FLAG*")</f>
        <v>1</v>
      </c>
      <c r="U247" s="20" t="str">
        <f aca="false">IF(T247=0,"CLEAN",IF(T247=1,"MINOR",IF(T247&lt;=3,"MODERATE","CRITICAL")))</f>
        <v>MINOR</v>
      </c>
      <c r="V247" s="20" t="str">
        <f aca="false">IF(U247="CLEAN","None",IF(U247="MINOR","Seller Notify",IF(U247="MODERATE","Listing Suspended","Immediate Removal")))</f>
        <v>Seller Notify</v>
      </c>
    </row>
    <row r="248" customFormat="false" ht="18" hidden="false" customHeight="true" outlineLevel="0" collapsed="false">
      <c r="A248" s="19" t="s">
        <v>6325</v>
      </c>
      <c r="B248" s="19" t="s">
        <v>1985</v>
      </c>
      <c r="C248" s="19" t="s">
        <v>125</v>
      </c>
      <c r="D248" s="19" t="s">
        <v>126</v>
      </c>
      <c r="E248" s="19" t="s">
        <v>50</v>
      </c>
      <c r="F248" s="19" t="s">
        <v>51</v>
      </c>
      <c r="G248" s="19" t="s">
        <v>1987</v>
      </c>
      <c r="H248" s="19" t="s">
        <v>1988</v>
      </c>
      <c r="I248" s="19" t="s">
        <v>1989</v>
      </c>
      <c r="J248" s="19" t="n">
        <v>1275.76</v>
      </c>
      <c r="K248" s="19" t="s">
        <v>1222</v>
      </c>
      <c r="L248" s="19"/>
      <c r="M248" s="20" t="str">
        <f aca="false">IF(G248&lt;&gt;"","PASS","FAIL - Missing UPC")</f>
        <v>PASS</v>
      </c>
      <c r="N248" s="20" t="str">
        <f aca="false">IF(AND(G248&lt;&gt;"",H248&lt;&gt;""),IF("0"&amp;G248=H248,"PASS","FAIL - GTIN Mismatch"),"SKIP")</f>
        <v>PASS</v>
      </c>
      <c r="O248" s="20" t="str">
        <f aca="false">IF(I248="","FAIL - No Title",IF(LEN(I248)&lt;=126,"PASS","FAIL - Title &gt;"&amp;126&amp;" chars"))</f>
        <v>PASS</v>
      </c>
      <c r="P248" s="20" t="str">
        <f aca="false">IF(J248&gt;0,IF(J248&lt;5000,"PASS","FLAG - Review Price"),"FAIL - Zero Price")</f>
        <v>PASS</v>
      </c>
      <c r="Q248" s="20" t="str">
        <f aca="false">IF('Raw Catalog'!P246&lt;&gt;"","PASS","FAIL - No Image")</f>
        <v>PASS</v>
      </c>
      <c r="R248" s="20" t="str">
        <f aca="false">IF(F248&lt;&gt;"","PASS","FAIL - No Brand")</f>
        <v>PASS</v>
      </c>
      <c r="S248" s="20" t="str">
        <f aca="true">IF(K248="","FAIL - No Date",IF(TODAY()-DATEVALUE(K248)&lt;=180,"PASS","FLAG - Stale &gt;180d"))</f>
        <v>FLAG - Stale &gt;180d</v>
      </c>
      <c r="T248" s="20" t="n">
        <f aca="false">COUNTIF(M248:S248,"FAIL*")+COUNTIF(M248:S248,"FLAG*")</f>
        <v>1</v>
      </c>
      <c r="U248" s="20" t="str">
        <f aca="false">IF(T248=0,"CLEAN",IF(T248=1,"MINOR",IF(T248&lt;=3,"MODERATE","CRITICAL")))</f>
        <v>MINOR</v>
      </c>
      <c r="V248" s="20" t="str">
        <f aca="false">IF(U248="CLEAN","None",IF(U248="MINOR","Seller Notify",IF(U248="MODERATE","Listing Suspended","Immediate Removal")))</f>
        <v>Seller Notify</v>
      </c>
    </row>
    <row r="249" customFormat="false" ht="18" hidden="false" customHeight="true" outlineLevel="0" collapsed="false">
      <c r="A249" s="19" t="s">
        <v>6326</v>
      </c>
      <c r="B249" s="19" t="s">
        <v>1991</v>
      </c>
      <c r="C249" s="19" t="s">
        <v>173</v>
      </c>
      <c r="D249" s="19" t="s">
        <v>174</v>
      </c>
      <c r="E249" s="19" t="s">
        <v>161</v>
      </c>
      <c r="F249" s="19" t="s">
        <v>162</v>
      </c>
      <c r="G249" s="19" t="s">
        <v>1993</v>
      </c>
      <c r="H249" s="19" t="s">
        <v>1994</v>
      </c>
      <c r="I249" s="19" t="s">
        <v>1995</v>
      </c>
      <c r="J249" s="19" t="n">
        <v>407.24</v>
      </c>
      <c r="K249" s="19" t="s">
        <v>1125</v>
      </c>
      <c r="L249" s="19"/>
      <c r="M249" s="20" t="str">
        <f aca="false">IF(G249&lt;&gt;"","PASS","FAIL - Missing UPC")</f>
        <v>PASS</v>
      </c>
      <c r="N249" s="20" t="str">
        <f aca="false">IF(AND(G249&lt;&gt;"",H249&lt;&gt;""),IF("0"&amp;G249=H249,"PASS","FAIL - GTIN Mismatch"),"SKIP")</f>
        <v>PASS</v>
      </c>
      <c r="O249" s="20" t="str">
        <f aca="false">IF(I249="","FAIL - No Title",IF(LEN(I249)&lt;=126,"PASS","FAIL - Title &gt;"&amp;126&amp;" chars"))</f>
        <v>PASS</v>
      </c>
      <c r="P249" s="20" t="str">
        <f aca="false">IF(J249&gt;0,IF(J249&lt;5000,"PASS","FLAG - Review Price"),"FAIL - Zero Price")</f>
        <v>PASS</v>
      </c>
      <c r="Q249" s="20" t="str">
        <f aca="false">IF('Raw Catalog'!P247&lt;&gt;"","PASS","FAIL - No Image")</f>
        <v>PASS</v>
      </c>
      <c r="R249" s="20" t="str">
        <f aca="false">IF(F249&lt;&gt;"","PASS","FAIL - No Brand")</f>
        <v>PASS</v>
      </c>
      <c r="S249" s="20" t="str">
        <f aca="true">IF(K249="","FAIL - No Date",IF(TODAY()-DATEVALUE(K249)&lt;=180,"PASS","FLAG - Stale &gt;180d"))</f>
        <v>FLAG - Stale &gt;180d</v>
      </c>
      <c r="T249" s="20" t="n">
        <f aca="false">COUNTIF(M249:S249,"FAIL*")+COUNTIF(M249:S249,"FLAG*")</f>
        <v>1</v>
      </c>
      <c r="U249" s="20" t="str">
        <f aca="false">IF(T249=0,"CLEAN",IF(T249=1,"MINOR",IF(T249&lt;=3,"MODERATE","CRITICAL")))</f>
        <v>MINOR</v>
      </c>
      <c r="V249" s="20" t="str">
        <f aca="false">IF(U249="CLEAN","None",IF(U249="MINOR","Seller Notify",IF(U249="MODERATE","Listing Suspended","Immediate Removal")))</f>
        <v>Seller Notify</v>
      </c>
    </row>
    <row r="250" customFormat="false" ht="18" hidden="false" customHeight="true" outlineLevel="0" collapsed="false">
      <c r="A250" s="19" t="s">
        <v>6327</v>
      </c>
      <c r="B250" s="19" t="s">
        <v>1999</v>
      </c>
      <c r="C250" s="19" t="s">
        <v>159</v>
      </c>
      <c r="D250" s="19" t="s">
        <v>160</v>
      </c>
      <c r="E250" s="19" t="s">
        <v>91</v>
      </c>
      <c r="F250" s="19" t="s">
        <v>92</v>
      </c>
      <c r="G250" s="19" t="s">
        <v>2001</v>
      </c>
      <c r="H250" s="19" t="s">
        <v>2002</v>
      </c>
      <c r="I250" s="19" t="s">
        <v>2003</v>
      </c>
      <c r="J250" s="19" t="n">
        <v>1938.43</v>
      </c>
      <c r="K250" s="19" t="s">
        <v>2006</v>
      </c>
      <c r="L250" s="19"/>
      <c r="M250" s="20" t="str">
        <f aca="false">IF(G250&lt;&gt;"","PASS","FAIL - Missing UPC")</f>
        <v>PASS</v>
      </c>
      <c r="N250" s="20" t="str">
        <f aca="false">IF(AND(G250&lt;&gt;"",H250&lt;&gt;""),IF("0"&amp;G250=H250,"PASS","FAIL - GTIN Mismatch"),"SKIP")</f>
        <v>PASS</v>
      </c>
      <c r="O250" s="20" t="str">
        <f aca="false">IF(I250="","FAIL - No Title",IF(LEN(I250)&lt;=126,"PASS","FAIL - Title &gt;"&amp;126&amp;" chars"))</f>
        <v>PASS</v>
      </c>
      <c r="P250" s="20" t="str">
        <f aca="false">IF(J250&gt;0,IF(J250&lt;5000,"PASS","FLAG - Review Price"),"FAIL - Zero Price")</f>
        <v>PASS</v>
      </c>
      <c r="Q250" s="20" t="str">
        <f aca="false">IF('Raw Catalog'!P248&lt;&gt;"","PASS","FAIL - No Image")</f>
        <v>PASS</v>
      </c>
      <c r="R250" s="20" t="str">
        <f aca="false">IF(F250&lt;&gt;"","PASS","FAIL - No Brand")</f>
        <v>PASS</v>
      </c>
      <c r="S250" s="20" t="str">
        <f aca="true">IF(K250="","FAIL - No Date",IF(TODAY()-DATEVALUE(K250)&lt;=180,"PASS","FLAG - Stale &gt;180d"))</f>
        <v>FLAG - Stale &gt;180d</v>
      </c>
      <c r="T250" s="20" t="n">
        <f aca="false">COUNTIF(M250:S250,"FAIL*")+COUNTIF(M250:S250,"FLAG*")</f>
        <v>1</v>
      </c>
      <c r="U250" s="20" t="str">
        <f aca="false">IF(T250=0,"CLEAN",IF(T250=1,"MINOR",IF(T250&lt;=3,"MODERATE","CRITICAL")))</f>
        <v>MINOR</v>
      </c>
      <c r="V250" s="20" t="str">
        <f aca="false">IF(U250="CLEAN","None",IF(U250="MINOR","Seller Notify",IF(U250="MODERATE","Listing Suspended","Immediate Removal")))</f>
        <v>Seller Notify</v>
      </c>
    </row>
    <row r="251" customFormat="false" ht="18" hidden="false" customHeight="true" outlineLevel="0" collapsed="false">
      <c r="A251" s="19" t="s">
        <v>6328</v>
      </c>
      <c r="B251" s="19" t="s">
        <v>2007</v>
      </c>
      <c r="C251" s="19" t="s">
        <v>77</v>
      </c>
      <c r="D251" s="19" t="s">
        <v>78</v>
      </c>
      <c r="E251" s="19" t="s">
        <v>50</v>
      </c>
      <c r="F251" s="19" t="s">
        <v>115</v>
      </c>
      <c r="G251" s="19" t="s">
        <v>2009</v>
      </c>
      <c r="H251" s="19" t="s">
        <v>2010</v>
      </c>
      <c r="I251" s="19" t="s">
        <v>2011</v>
      </c>
      <c r="J251" s="19" t="n">
        <v>223.42</v>
      </c>
      <c r="K251" s="19" t="s">
        <v>888</v>
      </c>
      <c r="L251" s="19"/>
      <c r="M251" s="20" t="str">
        <f aca="false">IF(G251&lt;&gt;"","PASS","FAIL - Missing UPC")</f>
        <v>PASS</v>
      </c>
      <c r="N251" s="20" t="str">
        <f aca="false">IF(AND(G251&lt;&gt;"",H251&lt;&gt;""),IF("0"&amp;G251=H251,"PASS","FAIL - GTIN Mismatch"),"SKIP")</f>
        <v>PASS</v>
      </c>
      <c r="O251" s="20" t="str">
        <f aca="false">IF(I251="","FAIL - No Title",IF(LEN(I251)&lt;=126,"PASS","FAIL - Title &gt;"&amp;126&amp;" chars"))</f>
        <v>PASS</v>
      </c>
      <c r="P251" s="20" t="str">
        <f aca="false">IF(J251&gt;0,IF(J251&lt;5000,"PASS","FLAG - Review Price"),"FAIL - Zero Price")</f>
        <v>PASS</v>
      </c>
      <c r="Q251" s="20" t="str">
        <f aca="false">IF('Raw Catalog'!P249&lt;&gt;"","PASS","FAIL - No Image")</f>
        <v>PASS</v>
      </c>
      <c r="R251" s="20" t="str">
        <f aca="false">IF(F251&lt;&gt;"","PASS","FAIL - No Brand")</f>
        <v>PASS</v>
      </c>
      <c r="S251" s="20" t="str">
        <f aca="true">IF(K251="","FAIL - No Date",IF(TODAY()-DATEVALUE(K251)&lt;=180,"PASS","FLAG - Stale &gt;180d"))</f>
        <v>FLAG - Stale &gt;180d</v>
      </c>
      <c r="T251" s="20" t="n">
        <f aca="false">COUNTIF(M251:S251,"FAIL*")+COUNTIF(M251:S251,"FLAG*")</f>
        <v>1</v>
      </c>
      <c r="U251" s="20" t="str">
        <f aca="false">IF(T251=0,"CLEAN",IF(T251=1,"MINOR",IF(T251&lt;=3,"MODERATE","CRITICAL")))</f>
        <v>MINOR</v>
      </c>
      <c r="V251" s="20" t="str">
        <f aca="false">IF(U251="CLEAN","None",IF(U251="MINOR","Seller Notify",IF(U251="MODERATE","Listing Suspended","Immediate Removal")))</f>
        <v>Seller Notify</v>
      </c>
    </row>
    <row r="252" customFormat="false" ht="18" hidden="false" customHeight="true" outlineLevel="0" collapsed="false">
      <c r="A252" s="19" t="s">
        <v>6329</v>
      </c>
      <c r="B252" s="19" t="s">
        <v>2013</v>
      </c>
      <c r="C252" s="19" t="s">
        <v>77</v>
      </c>
      <c r="D252" s="19" t="s">
        <v>78</v>
      </c>
      <c r="E252" s="19" t="s">
        <v>161</v>
      </c>
      <c r="F252" s="19" t="s">
        <v>295</v>
      </c>
      <c r="G252" s="19" t="s">
        <v>2015</v>
      </c>
      <c r="H252" s="19" t="s">
        <v>2016</v>
      </c>
      <c r="I252" s="19" t="s">
        <v>2017</v>
      </c>
      <c r="J252" s="19" t="n">
        <v>377.55</v>
      </c>
      <c r="K252" s="19" t="s">
        <v>1384</v>
      </c>
      <c r="L252" s="19"/>
      <c r="M252" s="20" t="str">
        <f aca="false">IF(G252&lt;&gt;"","PASS","FAIL - Missing UPC")</f>
        <v>PASS</v>
      </c>
      <c r="N252" s="20" t="str">
        <f aca="false">IF(AND(G252&lt;&gt;"",H252&lt;&gt;""),IF("0"&amp;G252=H252,"PASS","FAIL - GTIN Mismatch"),"SKIP")</f>
        <v>PASS</v>
      </c>
      <c r="O252" s="20" t="str">
        <f aca="false">IF(I252="","FAIL - No Title",IF(LEN(I252)&lt;=126,"PASS","FAIL - Title &gt;"&amp;126&amp;" chars"))</f>
        <v>PASS</v>
      </c>
      <c r="P252" s="20" t="str">
        <f aca="false">IF(J252&gt;0,IF(J252&lt;5000,"PASS","FLAG - Review Price"),"FAIL - Zero Price")</f>
        <v>PASS</v>
      </c>
      <c r="Q252" s="20" t="str">
        <f aca="false">IF('Raw Catalog'!P250&lt;&gt;"","PASS","FAIL - No Image")</f>
        <v>PASS</v>
      </c>
      <c r="R252" s="20" t="str">
        <f aca="false">IF(F252&lt;&gt;"","PASS","FAIL - No Brand")</f>
        <v>PASS</v>
      </c>
      <c r="S252" s="20" t="str">
        <f aca="true">IF(K252="","FAIL - No Date",IF(TODAY()-DATEVALUE(K252)&lt;=180,"PASS","FLAG - Stale &gt;180d"))</f>
        <v>FLAG - Stale &gt;180d</v>
      </c>
      <c r="T252" s="20" t="n">
        <f aca="false">COUNTIF(M252:S252,"FAIL*")+COUNTIF(M252:S252,"FLAG*")</f>
        <v>1</v>
      </c>
      <c r="U252" s="20" t="str">
        <f aca="false">IF(T252=0,"CLEAN",IF(T252=1,"MINOR",IF(T252&lt;=3,"MODERATE","CRITICAL")))</f>
        <v>MINOR</v>
      </c>
      <c r="V252" s="20" t="str">
        <f aca="false">IF(U252="CLEAN","None",IF(U252="MINOR","Seller Notify",IF(U252="MODERATE","Listing Suspended","Immediate Removal")))</f>
        <v>Seller Notify</v>
      </c>
    </row>
    <row r="253" customFormat="false" ht="18" hidden="false" customHeight="true" outlineLevel="0" collapsed="false">
      <c r="A253" s="19" t="s">
        <v>6330</v>
      </c>
      <c r="B253" s="19" t="s">
        <v>2021</v>
      </c>
      <c r="C253" s="19" t="s">
        <v>77</v>
      </c>
      <c r="D253" s="19" t="s">
        <v>78</v>
      </c>
      <c r="E253" s="19" t="s">
        <v>91</v>
      </c>
      <c r="F253" s="19" t="s">
        <v>780</v>
      </c>
      <c r="G253" s="19" t="s">
        <v>2023</v>
      </c>
      <c r="H253" s="19" t="s">
        <v>2024</v>
      </c>
      <c r="I253" s="19" t="s">
        <v>1624</v>
      </c>
      <c r="J253" s="19" t="n">
        <v>325.5</v>
      </c>
      <c r="K253" s="19" t="s">
        <v>2025</v>
      </c>
      <c r="L253" s="19"/>
      <c r="M253" s="20" t="str">
        <f aca="false">IF(G253&lt;&gt;"","PASS","FAIL - Missing UPC")</f>
        <v>PASS</v>
      </c>
      <c r="N253" s="20" t="str">
        <f aca="false">IF(AND(G253&lt;&gt;"",H253&lt;&gt;""),IF("0"&amp;G253=H253,"PASS","FAIL - GTIN Mismatch"),"SKIP")</f>
        <v>PASS</v>
      </c>
      <c r="O253" s="20" t="str">
        <f aca="false">IF(I253="","FAIL - No Title",IF(LEN(I253)&lt;=126,"PASS","FAIL - Title &gt;"&amp;126&amp;" chars"))</f>
        <v>PASS</v>
      </c>
      <c r="P253" s="20" t="str">
        <f aca="false">IF(J253&gt;0,IF(J253&lt;5000,"PASS","FLAG - Review Price"),"FAIL - Zero Price")</f>
        <v>PASS</v>
      </c>
      <c r="Q253" s="20" t="str">
        <f aca="false">IF('Raw Catalog'!P251&lt;&gt;"","PASS","FAIL - No Image")</f>
        <v>PASS</v>
      </c>
      <c r="R253" s="20" t="str">
        <f aca="false">IF(F253&lt;&gt;"","PASS","FAIL - No Brand")</f>
        <v>PASS</v>
      </c>
      <c r="S253" s="20" t="str">
        <f aca="true">IF(K253="","FAIL - No Date",IF(TODAY()-DATEVALUE(K253)&lt;=180,"PASS","FLAG - Stale &gt;180d"))</f>
        <v>FLAG - Stale &gt;180d</v>
      </c>
      <c r="T253" s="20" t="n">
        <f aca="false">COUNTIF(M253:S253,"FAIL*")+COUNTIF(M253:S253,"FLAG*")</f>
        <v>1</v>
      </c>
      <c r="U253" s="20" t="str">
        <f aca="false">IF(T253=0,"CLEAN",IF(T253=1,"MINOR",IF(T253&lt;=3,"MODERATE","CRITICAL")))</f>
        <v>MINOR</v>
      </c>
      <c r="V253" s="20" t="str">
        <f aca="false">IF(U253="CLEAN","None",IF(U253="MINOR","Seller Notify",IF(U253="MODERATE","Listing Suspended","Immediate Removal")))</f>
        <v>Seller Notify</v>
      </c>
    </row>
    <row r="254" customFormat="false" ht="18" hidden="false" customHeight="true" outlineLevel="0" collapsed="false">
      <c r="A254" s="19" t="s">
        <v>6331</v>
      </c>
      <c r="B254" s="19" t="s">
        <v>2026</v>
      </c>
      <c r="C254" s="19" t="s">
        <v>77</v>
      </c>
      <c r="D254" s="19" t="s">
        <v>78</v>
      </c>
      <c r="E254" s="19" t="s">
        <v>50</v>
      </c>
      <c r="F254" s="19" t="s">
        <v>503</v>
      </c>
      <c r="G254" s="19" t="s">
        <v>2028</v>
      </c>
      <c r="H254" s="19" t="s">
        <v>2029</v>
      </c>
      <c r="I254" s="19" t="s">
        <v>1265</v>
      </c>
      <c r="J254" s="19" t="n">
        <v>897.87</v>
      </c>
      <c r="K254" s="19" t="s">
        <v>2030</v>
      </c>
      <c r="L254" s="21" t="s">
        <v>283</v>
      </c>
      <c r="M254" s="20" t="str">
        <f aca="false">IF(G254&lt;&gt;"","PASS","FAIL - Missing UPC")</f>
        <v>PASS</v>
      </c>
      <c r="N254" s="20" t="str">
        <f aca="false">IF(AND(G254&lt;&gt;"",H254&lt;&gt;""),IF("0"&amp;G254=H254,"PASS","FAIL - GTIN Mismatch"),"SKIP")</f>
        <v>PASS</v>
      </c>
      <c r="O254" s="20" t="str">
        <f aca="false">IF(I254="","FAIL - No Title",IF(LEN(I254)&lt;=126,"PASS","FAIL - Title &gt;"&amp;126&amp;" chars"))</f>
        <v>PASS</v>
      </c>
      <c r="P254" s="20" t="str">
        <f aca="false">IF(J254&gt;0,IF(J254&lt;5000,"PASS","FLAG - Review Price"),"FAIL - Zero Price")</f>
        <v>PASS</v>
      </c>
      <c r="Q254" s="20" t="str">
        <f aca="false">IF('Raw Catalog'!P252&lt;&gt;"","PASS","FAIL - No Image")</f>
        <v>PASS</v>
      </c>
      <c r="R254" s="20" t="str">
        <f aca="false">IF(F254&lt;&gt;"","PASS","FAIL - No Brand")</f>
        <v>PASS</v>
      </c>
      <c r="S254" s="20" t="str">
        <f aca="true">IF(K254="","FAIL - No Date",IF(TODAY()-DATEVALUE(K254)&lt;=180,"PASS","FLAG - Stale &gt;180d"))</f>
        <v>FLAG - Stale &gt;180d</v>
      </c>
      <c r="T254" s="20" t="n">
        <f aca="false">COUNTIF(M254:S254,"FAIL*")+COUNTIF(M254:S254,"FLAG*")</f>
        <v>1</v>
      </c>
      <c r="U254" s="20" t="str">
        <f aca="false">IF(T254=0,"CLEAN",IF(T254=1,"MINOR",IF(T254&lt;=3,"MODERATE","CRITICAL")))</f>
        <v>MINOR</v>
      </c>
      <c r="V254" s="20" t="str">
        <f aca="false">IF(U254="CLEAN","None",IF(U254="MINOR","Seller Notify",IF(U254="MODERATE","Listing Suspended","Immediate Removal")))</f>
        <v>Seller Notify</v>
      </c>
    </row>
    <row r="255" customFormat="false" ht="18" hidden="false" customHeight="true" outlineLevel="0" collapsed="false">
      <c r="A255" s="19" t="s">
        <v>6332</v>
      </c>
      <c r="B255" s="19" t="s">
        <v>2031</v>
      </c>
      <c r="C255" s="19" t="s">
        <v>173</v>
      </c>
      <c r="D255" s="19" t="s">
        <v>174</v>
      </c>
      <c r="E255" s="19" t="s">
        <v>65</v>
      </c>
      <c r="F255" s="19" t="s">
        <v>390</v>
      </c>
      <c r="G255" s="19" t="s">
        <v>2033</v>
      </c>
      <c r="H255" s="19" t="s">
        <v>2034</v>
      </c>
      <c r="I255" s="19" t="s">
        <v>1750</v>
      </c>
      <c r="J255" s="19" t="n">
        <v>115.54</v>
      </c>
      <c r="K255" s="19" t="s">
        <v>2036</v>
      </c>
      <c r="L255" s="19"/>
      <c r="M255" s="20" t="str">
        <f aca="false">IF(G255&lt;&gt;"","PASS","FAIL - Missing UPC")</f>
        <v>PASS</v>
      </c>
      <c r="N255" s="20" t="str">
        <f aca="false">IF(AND(G255&lt;&gt;"",H255&lt;&gt;""),IF("0"&amp;G255=H255,"PASS","FAIL - GTIN Mismatch"),"SKIP")</f>
        <v>PASS</v>
      </c>
      <c r="O255" s="20" t="str">
        <f aca="false">IF(I255="","FAIL - No Title",IF(LEN(I255)&lt;=126,"PASS","FAIL - Title &gt;"&amp;126&amp;" chars"))</f>
        <v>PASS</v>
      </c>
      <c r="P255" s="20" t="str">
        <f aca="false">IF(J255&gt;0,IF(J255&lt;5000,"PASS","FLAG - Review Price"),"FAIL - Zero Price")</f>
        <v>PASS</v>
      </c>
      <c r="Q255" s="20" t="str">
        <f aca="false">IF('Raw Catalog'!P253&lt;&gt;"","PASS","FAIL - No Image")</f>
        <v>PASS</v>
      </c>
      <c r="R255" s="20" t="str">
        <f aca="false">IF(F255&lt;&gt;"","PASS","FAIL - No Brand")</f>
        <v>PASS</v>
      </c>
      <c r="S255" s="20" t="str">
        <f aca="true">IF(K255="","FAIL - No Date",IF(TODAY()-DATEVALUE(K255)&lt;=180,"PASS","FLAG - Stale &gt;180d"))</f>
        <v>FLAG - Stale &gt;180d</v>
      </c>
      <c r="T255" s="20" t="n">
        <f aca="false">COUNTIF(M255:S255,"FAIL*")+COUNTIF(M255:S255,"FLAG*")</f>
        <v>1</v>
      </c>
      <c r="U255" s="20" t="str">
        <f aca="false">IF(T255=0,"CLEAN",IF(T255=1,"MINOR",IF(T255&lt;=3,"MODERATE","CRITICAL")))</f>
        <v>MINOR</v>
      </c>
      <c r="V255" s="20" t="str">
        <f aca="false">IF(U255="CLEAN","None",IF(U255="MINOR","Seller Notify",IF(U255="MODERATE","Listing Suspended","Immediate Removal")))</f>
        <v>Seller Notify</v>
      </c>
    </row>
    <row r="256" customFormat="false" ht="18" hidden="false" customHeight="true" outlineLevel="0" collapsed="false">
      <c r="A256" s="19" t="s">
        <v>6333</v>
      </c>
      <c r="B256" s="19" t="s">
        <v>2037</v>
      </c>
      <c r="C256" s="19" t="s">
        <v>48</v>
      </c>
      <c r="D256" s="19" t="s">
        <v>49</v>
      </c>
      <c r="E256" s="19" t="s">
        <v>161</v>
      </c>
      <c r="F256" s="19" t="s">
        <v>162</v>
      </c>
      <c r="G256" s="19" t="s">
        <v>2039</v>
      </c>
      <c r="H256" s="19" t="s">
        <v>2040</v>
      </c>
      <c r="I256" s="19" t="s">
        <v>2041</v>
      </c>
      <c r="J256" s="19" t="n">
        <v>508.99</v>
      </c>
      <c r="K256" s="19" t="s">
        <v>1384</v>
      </c>
      <c r="L256" s="19"/>
      <c r="M256" s="20" t="str">
        <f aca="false">IF(G256&lt;&gt;"","PASS","FAIL - Missing UPC")</f>
        <v>PASS</v>
      </c>
      <c r="N256" s="20" t="str">
        <f aca="false">IF(AND(G256&lt;&gt;"",H256&lt;&gt;""),IF("0"&amp;G256=H256,"PASS","FAIL - GTIN Mismatch"),"SKIP")</f>
        <v>PASS</v>
      </c>
      <c r="O256" s="20" t="str">
        <f aca="false">IF(I256="","FAIL - No Title",IF(LEN(I256)&lt;=126,"PASS","FAIL - Title &gt;"&amp;126&amp;" chars"))</f>
        <v>PASS</v>
      </c>
      <c r="P256" s="20" t="str">
        <f aca="false">IF(J256&gt;0,IF(J256&lt;5000,"PASS","FLAG - Review Price"),"FAIL - Zero Price")</f>
        <v>PASS</v>
      </c>
      <c r="Q256" s="20" t="str">
        <f aca="false">IF('Raw Catalog'!P254&lt;&gt;"","PASS","FAIL - No Image")</f>
        <v>PASS</v>
      </c>
      <c r="R256" s="20" t="str">
        <f aca="false">IF(F256&lt;&gt;"","PASS","FAIL - No Brand")</f>
        <v>PASS</v>
      </c>
      <c r="S256" s="20" t="str">
        <f aca="true">IF(K256="","FAIL - No Date",IF(TODAY()-DATEVALUE(K256)&lt;=180,"PASS","FLAG - Stale &gt;180d"))</f>
        <v>FLAG - Stale &gt;180d</v>
      </c>
      <c r="T256" s="20" t="n">
        <f aca="false">COUNTIF(M256:S256,"FAIL*")+COUNTIF(M256:S256,"FLAG*")</f>
        <v>1</v>
      </c>
      <c r="U256" s="20" t="str">
        <f aca="false">IF(T256=0,"CLEAN",IF(T256=1,"MINOR",IF(T256&lt;=3,"MODERATE","CRITICAL")))</f>
        <v>MINOR</v>
      </c>
      <c r="V256" s="20" t="str">
        <f aca="false">IF(U256="CLEAN","None",IF(U256="MINOR","Seller Notify",IF(U256="MODERATE","Listing Suspended","Immediate Removal")))</f>
        <v>Seller Notify</v>
      </c>
    </row>
    <row r="257" customFormat="false" ht="18" hidden="false" customHeight="true" outlineLevel="0" collapsed="false">
      <c r="A257" s="19" t="s">
        <v>6334</v>
      </c>
      <c r="B257" s="19" t="s">
        <v>2042</v>
      </c>
      <c r="C257" s="19" t="s">
        <v>77</v>
      </c>
      <c r="D257" s="19" t="s">
        <v>78</v>
      </c>
      <c r="E257" s="19" t="s">
        <v>65</v>
      </c>
      <c r="F257" s="19" t="s">
        <v>438</v>
      </c>
      <c r="G257" s="19" t="s">
        <v>2044</v>
      </c>
      <c r="H257" s="19" t="s">
        <v>2045</v>
      </c>
      <c r="I257" s="19" t="s">
        <v>2046</v>
      </c>
      <c r="J257" s="19" t="n">
        <v>407.2</v>
      </c>
      <c r="K257" s="19" t="s">
        <v>576</v>
      </c>
      <c r="L257" s="19"/>
      <c r="M257" s="20" t="str">
        <f aca="false">IF(G257&lt;&gt;"","PASS","FAIL - Missing UPC")</f>
        <v>PASS</v>
      </c>
      <c r="N257" s="20" t="str">
        <f aca="false">IF(AND(G257&lt;&gt;"",H257&lt;&gt;""),IF("0"&amp;G257=H257,"PASS","FAIL - GTIN Mismatch"),"SKIP")</f>
        <v>PASS</v>
      </c>
      <c r="O257" s="20" t="str">
        <f aca="false">IF(I257="","FAIL - No Title",IF(LEN(I257)&lt;=126,"PASS","FAIL - Title &gt;"&amp;126&amp;" chars"))</f>
        <v>PASS</v>
      </c>
      <c r="P257" s="20" t="str">
        <f aca="false">IF(J257&gt;0,IF(J257&lt;5000,"PASS","FLAG - Review Price"),"FAIL - Zero Price")</f>
        <v>PASS</v>
      </c>
      <c r="Q257" s="20" t="str">
        <f aca="false">IF('Raw Catalog'!P255&lt;&gt;"","PASS","FAIL - No Image")</f>
        <v>PASS</v>
      </c>
      <c r="R257" s="20" t="str">
        <f aca="false">IF(F257&lt;&gt;"","PASS","FAIL - No Brand")</f>
        <v>PASS</v>
      </c>
      <c r="S257" s="20" t="str">
        <f aca="true">IF(K257="","FAIL - No Date",IF(TODAY()-DATEVALUE(K257)&lt;=180,"PASS","FLAG - Stale &gt;180d"))</f>
        <v>FLAG - Stale &gt;180d</v>
      </c>
      <c r="T257" s="20" t="n">
        <f aca="false">COUNTIF(M257:S257,"FAIL*")+COUNTIF(M257:S257,"FLAG*")</f>
        <v>1</v>
      </c>
      <c r="U257" s="20" t="str">
        <f aca="false">IF(T257=0,"CLEAN",IF(T257=1,"MINOR",IF(T257&lt;=3,"MODERATE","CRITICAL")))</f>
        <v>MINOR</v>
      </c>
      <c r="V257" s="20" t="str">
        <f aca="false">IF(U257="CLEAN","None",IF(U257="MINOR","Seller Notify",IF(U257="MODERATE","Listing Suspended","Immediate Removal")))</f>
        <v>Seller Notify</v>
      </c>
    </row>
    <row r="258" customFormat="false" ht="18" hidden="false" customHeight="true" outlineLevel="0" collapsed="false">
      <c r="A258" s="19" t="s">
        <v>6335</v>
      </c>
      <c r="B258" s="19" t="s">
        <v>2049</v>
      </c>
      <c r="C258" s="19" t="s">
        <v>159</v>
      </c>
      <c r="D258" s="19" t="s">
        <v>160</v>
      </c>
      <c r="E258" s="19" t="s">
        <v>79</v>
      </c>
      <c r="F258" s="19" t="s">
        <v>127</v>
      </c>
      <c r="G258" s="19" t="s">
        <v>2051</v>
      </c>
      <c r="H258" s="19" t="s">
        <v>2052</v>
      </c>
      <c r="I258" s="19" t="s">
        <v>2053</v>
      </c>
      <c r="J258" s="19" t="n">
        <v>1946.54</v>
      </c>
      <c r="K258" s="19" t="s">
        <v>2055</v>
      </c>
      <c r="L258" s="19"/>
      <c r="M258" s="20" t="str">
        <f aca="false">IF(G258&lt;&gt;"","PASS","FAIL - Missing UPC")</f>
        <v>PASS</v>
      </c>
      <c r="N258" s="20" t="str">
        <f aca="false">IF(AND(G258&lt;&gt;"",H258&lt;&gt;""),IF("0"&amp;G258=H258,"PASS","FAIL - GTIN Mismatch"),"SKIP")</f>
        <v>PASS</v>
      </c>
      <c r="O258" s="20" t="str">
        <f aca="false">IF(I258="","FAIL - No Title",IF(LEN(I258)&lt;=126,"PASS","FAIL - Title &gt;"&amp;126&amp;" chars"))</f>
        <v>PASS</v>
      </c>
      <c r="P258" s="20" t="str">
        <f aca="false">IF(J258&gt;0,IF(J258&lt;5000,"PASS","FLAG - Review Price"),"FAIL - Zero Price")</f>
        <v>PASS</v>
      </c>
      <c r="Q258" s="20" t="str">
        <f aca="false">IF('Raw Catalog'!P256&lt;&gt;"","PASS","FAIL - No Image")</f>
        <v>PASS</v>
      </c>
      <c r="R258" s="20" t="str">
        <f aca="false">IF(F258&lt;&gt;"","PASS","FAIL - No Brand")</f>
        <v>PASS</v>
      </c>
      <c r="S258" s="20" t="str">
        <f aca="true">IF(K258="","FAIL - No Date",IF(TODAY()-DATEVALUE(K258)&lt;=180,"PASS","FLAG - Stale &gt;180d"))</f>
        <v>FLAG - Stale &gt;180d</v>
      </c>
      <c r="T258" s="20" t="n">
        <f aca="false">COUNTIF(M258:S258,"FAIL*")+COUNTIF(M258:S258,"FLAG*")</f>
        <v>1</v>
      </c>
      <c r="U258" s="20" t="str">
        <f aca="false">IF(T258=0,"CLEAN",IF(T258=1,"MINOR",IF(T258&lt;=3,"MODERATE","CRITICAL")))</f>
        <v>MINOR</v>
      </c>
      <c r="V258" s="20" t="str">
        <f aca="false">IF(U258="CLEAN","None",IF(U258="MINOR","Seller Notify",IF(U258="MODERATE","Listing Suspended","Immediate Removal")))</f>
        <v>Seller Notify</v>
      </c>
    </row>
    <row r="259" customFormat="false" ht="18" hidden="false" customHeight="true" outlineLevel="0" collapsed="false">
      <c r="A259" s="19" t="s">
        <v>6336</v>
      </c>
      <c r="B259" s="19" t="s">
        <v>2056</v>
      </c>
      <c r="C259" s="19" t="s">
        <v>48</v>
      </c>
      <c r="D259" s="19" t="s">
        <v>49</v>
      </c>
      <c r="E259" s="19" t="s">
        <v>79</v>
      </c>
      <c r="F259" s="19" t="s">
        <v>465</v>
      </c>
      <c r="G259" s="19" t="s">
        <v>2058</v>
      </c>
      <c r="H259" s="19" t="s">
        <v>2059</v>
      </c>
      <c r="I259" s="19" t="s">
        <v>2060</v>
      </c>
      <c r="J259" s="19" t="n">
        <v>1222.03</v>
      </c>
      <c r="K259" s="19" t="s">
        <v>2064</v>
      </c>
      <c r="L259" s="19"/>
      <c r="M259" s="20" t="str">
        <f aca="false">IF(G259&lt;&gt;"","PASS","FAIL - Missing UPC")</f>
        <v>PASS</v>
      </c>
      <c r="N259" s="20" t="str">
        <f aca="false">IF(AND(G259&lt;&gt;"",H259&lt;&gt;""),IF("0"&amp;G259=H259,"PASS","FAIL - GTIN Mismatch"),"SKIP")</f>
        <v>PASS</v>
      </c>
      <c r="O259" s="20" t="str">
        <f aca="false">IF(I259="","FAIL - No Title",IF(LEN(I259)&lt;=126,"PASS","FAIL - Title &gt;"&amp;126&amp;" chars"))</f>
        <v>PASS</v>
      </c>
      <c r="P259" s="20" t="str">
        <f aca="false">IF(J259&gt;0,IF(J259&lt;5000,"PASS","FLAG - Review Price"),"FAIL - Zero Price")</f>
        <v>PASS</v>
      </c>
      <c r="Q259" s="20" t="str">
        <f aca="false">IF('Raw Catalog'!P257&lt;&gt;"","PASS","FAIL - No Image")</f>
        <v>PASS</v>
      </c>
      <c r="R259" s="20" t="str">
        <f aca="false">IF(F259&lt;&gt;"","PASS","FAIL - No Brand")</f>
        <v>PASS</v>
      </c>
      <c r="S259" s="20" t="str">
        <f aca="true">IF(K259="","FAIL - No Date",IF(TODAY()-DATEVALUE(K259)&lt;=180,"PASS","FLAG - Stale &gt;180d"))</f>
        <v>FLAG - Stale &gt;180d</v>
      </c>
      <c r="T259" s="20" t="n">
        <f aca="false">COUNTIF(M259:S259,"FAIL*")+COUNTIF(M259:S259,"FLAG*")</f>
        <v>1</v>
      </c>
      <c r="U259" s="20" t="str">
        <f aca="false">IF(T259=0,"CLEAN",IF(T259=1,"MINOR",IF(T259&lt;=3,"MODERATE","CRITICAL")))</f>
        <v>MINOR</v>
      </c>
      <c r="V259" s="20" t="str">
        <f aca="false">IF(U259="CLEAN","None",IF(U259="MINOR","Seller Notify",IF(U259="MODERATE","Listing Suspended","Immediate Removal")))</f>
        <v>Seller Notify</v>
      </c>
    </row>
    <row r="260" customFormat="false" ht="18" hidden="false" customHeight="true" outlineLevel="0" collapsed="false">
      <c r="A260" s="19" t="s">
        <v>6337</v>
      </c>
      <c r="B260" s="19" t="s">
        <v>2065</v>
      </c>
      <c r="C260" s="19" t="s">
        <v>173</v>
      </c>
      <c r="D260" s="19" t="s">
        <v>174</v>
      </c>
      <c r="E260" s="19" t="s">
        <v>50</v>
      </c>
      <c r="F260" s="19" t="s">
        <v>503</v>
      </c>
      <c r="G260" s="19" t="s">
        <v>2067</v>
      </c>
      <c r="H260" s="19" t="s">
        <v>2068</v>
      </c>
      <c r="I260" s="19" t="s">
        <v>2069</v>
      </c>
      <c r="J260" s="19" t="n">
        <v>276.61</v>
      </c>
      <c r="K260" s="19" t="s">
        <v>1899</v>
      </c>
      <c r="L260" s="19"/>
      <c r="M260" s="20" t="str">
        <f aca="false">IF(G260&lt;&gt;"","PASS","FAIL - Missing UPC")</f>
        <v>PASS</v>
      </c>
      <c r="N260" s="20" t="str">
        <f aca="false">IF(AND(G260&lt;&gt;"",H260&lt;&gt;""),IF("0"&amp;G260=H260,"PASS","FAIL - GTIN Mismatch"),"SKIP")</f>
        <v>PASS</v>
      </c>
      <c r="O260" s="20" t="str">
        <f aca="false">IF(I260="","FAIL - No Title",IF(LEN(I260)&lt;=126,"PASS","FAIL - Title &gt;"&amp;126&amp;" chars"))</f>
        <v>PASS</v>
      </c>
      <c r="P260" s="20" t="str">
        <f aca="false">IF(J260&gt;0,IF(J260&lt;5000,"PASS","FLAG - Review Price"),"FAIL - Zero Price")</f>
        <v>PASS</v>
      </c>
      <c r="Q260" s="20" t="str">
        <f aca="false">IF('Raw Catalog'!P258&lt;&gt;"","PASS","FAIL - No Image")</f>
        <v>PASS</v>
      </c>
      <c r="R260" s="20" t="str">
        <f aca="false">IF(F260&lt;&gt;"","PASS","FAIL - No Brand")</f>
        <v>PASS</v>
      </c>
      <c r="S260" s="20" t="str">
        <f aca="true">IF(K260="","FAIL - No Date",IF(TODAY()-DATEVALUE(K260)&lt;=180,"PASS","FLAG - Stale &gt;180d"))</f>
        <v>FLAG - Stale &gt;180d</v>
      </c>
      <c r="T260" s="20" t="n">
        <f aca="false">COUNTIF(M260:S260,"FAIL*")+COUNTIF(M260:S260,"FLAG*")</f>
        <v>1</v>
      </c>
      <c r="U260" s="20" t="str">
        <f aca="false">IF(T260=0,"CLEAN",IF(T260=1,"MINOR",IF(T260&lt;=3,"MODERATE","CRITICAL")))</f>
        <v>MINOR</v>
      </c>
      <c r="V260" s="20" t="str">
        <f aca="false">IF(U260="CLEAN","None",IF(U260="MINOR","Seller Notify",IF(U260="MODERATE","Listing Suspended","Immediate Removal")))</f>
        <v>Seller Notify</v>
      </c>
    </row>
    <row r="261" customFormat="false" ht="18" hidden="false" customHeight="true" outlineLevel="0" collapsed="false">
      <c r="A261" s="19" t="s">
        <v>6338</v>
      </c>
      <c r="B261" s="19" t="s">
        <v>2070</v>
      </c>
      <c r="C261" s="19" t="s">
        <v>48</v>
      </c>
      <c r="D261" s="19" t="s">
        <v>49</v>
      </c>
      <c r="E261" s="19" t="s">
        <v>91</v>
      </c>
      <c r="F261" s="19" t="s">
        <v>92</v>
      </c>
      <c r="G261" s="19" t="s">
        <v>2072</v>
      </c>
      <c r="H261" s="19" t="s">
        <v>2073</v>
      </c>
      <c r="I261" s="19" t="s">
        <v>2074</v>
      </c>
      <c r="J261" s="19" t="n">
        <v>1141.3</v>
      </c>
      <c r="K261" s="19" t="s">
        <v>1026</v>
      </c>
      <c r="L261" s="19"/>
      <c r="M261" s="20" t="str">
        <f aca="false">IF(G261&lt;&gt;"","PASS","FAIL - Missing UPC")</f>
        <v>PASS</v>
      </c>
      <c r="N261" s="20" t="str">
        <f aca="false">IF(AND(G261&lt;&gt;"",H261&lt;&gt;""),IF("0"&amp;G261=H261,"PASS","FAIL - GTIN Mismatch"),"SKIP")</f>
        <v>PASS</v>
      </c>
      <c r="O261" s="20" t="str">
        <f aca="false">IF(I261="","FAIL - No Title",IF(LEN(I261)&lt;=126,"PASS","FAIL - Title &gt;"&amp;126&amp;" chars"))</f>
        <v>PASS</v>
      </c>
      <c r="P261" s="20" t="str">
        <f aca="false">IF(J261&gt;0,IF(J261&lt;5000,"PASS","FLAG - Review Price"),"FAIL - Zero Price")</f>
        <v>PASS</v>
      </c>
      <c r="Q261" s="20" t="str">
        <f aca="false">IF('Raw Catalog'!P259&lt;&gt;"","PASS","FAIL - No Image")</f>
        <v>PASS</v>
      </c>
      <c r="R261" s="20" t="str">
        <f aca="false">IF(F261&lt;&gt;"","PASS","FAIL - No Brand")</f>
        <v>PASS</v>
      </c>
      <c r="S261" s="20" t="str">
        <f aca="true">IF(K261="","FAIL - No Date",IF(TODAY()-DATEVALUE(K261)&lt;=180,"PASS","FLAG - Stale &gt;180d"))</f>
        <v>FLAG - Stale &gt;180d</v>
      </c>
      <c r="T261" s="20" t="n">
        <f aca="false">COUNTIF(M261:S261,"FAIL*")+COUNTIF(M261:S261,"FLAG*")</f>
        <v>1</v>
      </c>
      <c r="U261" s="20" t="str">
        <f aca="false">IF(T261=0,"CLEAN",IF(T261=1,"MINOR",IF(T261&lt;=3,"MODERATE","CRITICAL")))</f>
        <v>MINOR</v>
      </c>
      <c r="V261" s="20" t="str">
        <f aca="false">IF(U261="CLEAN","None",IF(U261="MINOR","Seller Notify",IF(U261="MODERATE","Listing Suspended","Immediate Removal")))</f>
        <v>Seller Notify</v>
      </c>
    </row>
    <row r="262" customFormat="false" ht="18" hidden="false" customHeight="true" outlineLevel="0" collapsed="false">
      <c r="A262" s="19" t="s">
        <v>6339</v>
      </c>
      <c r="B262" s="19" t="s">
        <v>2076</v>
      </c>
      <c r="C262" s="19" t="s">
        <v>63</v>
      </c>
      <c r="D262" s="19" t="s">
        <v>64</v>
      </c>
      <c r="E262" s="19" t="s">
        <v>91</v>
      </c>
      <c r="F262" s="19" t="s">
        <v>419</v>
      </c>
      <c r="G262" s="19" t="s">
        <v>2078</v>
      </c>
      <c r="H262" s="19" t="s">
        <v>2079</v>
      </c>
      <c r="I262" s="19" t="s">
        <v>2080</v>
      </c>
      <c r="J262" s="19" t="n">
        <v>588.18</v>
      </c>
      <c r="K262" s="19" t="s">
        <v>1211</v>
      </c>
      <c r="L262" s="19"/>
      <c r="M262" s="20" t="str">
        <f aca="false">IF(G262&lt;&gt;"","PASS","FAIL - Missing UPC")</f>
        <v>PASS</v>
      </c>
      <c r="N262" s="20" t="str">
        <f aca="false">IF(AND(G262&lt;&gt;"",H262&lt;&gt;""),IF("0"&amp;G262=H262,"PASS","FAIL - GTIN Mismatch"),"SKIP")</f>
        <v>PASS</v>
      </c>
      <c r="O262" s="20" t="str">
        <f aca="false">IF(I262="","FAIL - No Title",IF(LEN(I262)&lt;=126,"PASS","FAIL - Title &gt;"&amp;126&amp;" chars"))</f>
        <v>PASS</v>
      </c>
      <c r="P262" s="20" t="str">
        <f aca="false">IF(J262&gt;0,IF(J262&lt;5000,"PASS","FLAG - Review Price"),"FAIL - Zero Price")</f>
        <v>PASS</v>
      </c>
      <c r="Q262" s="20" t="str">
        <f aca="false">IF('Raw Catalog'!P260&lt;&gt;"","PASS","FAIL - No Image")</f>
        <v>PASS</v>
      </c>
      <c r="R262" s="20" t="str">
        <f aca="false">IF(F262&lt;&gt;"","PASS","FAIL - No Brand")</f>
        <v>PASS</v>
      </c>
      <c r="S262" s="20" t="str">
        <f aca="true">IF(K262="","FAIL - No Date",IF(TODAY()-DATEVALUE(K262)&lt;=180,"PASS","FLAG - Stale &gt;180d"))</f>
        <v>FLAG - Stale &gt;180d</v>
      </c>
      <c r="T262" s="20" t="n">
        <f aca="false">COUNTIF(M262:S262,"FAIL*")+COUNTIF(M262:S262,"FLAG*")</f>
        <v>1</v>
      </c>
      <c r="U262" s="20" t="str">
        <f aca="false">IF(T262=0,"CLEAN",IF(T262=1,"MINOR",IF(T262&lt;=3,"MODERATE","CRITICAL")))</f>
        <v>MINOR</v>
      </c>
      <c r="V262" s="20" t="str">
        <f aca="false">IF(U262="CLEAN","None",IF(U262="MINOR","Seller Notify",IF(U262="MODERATE","Listing Suspended","Immediate Removal")))</f>
        <v>Seller Notify</v>
      </c>
    </row>
    <row r="263" customFormat="false" ht="18" hidden="false" customHeight="true" outlineLevel="0" collapsed="false">
      <c r="A263" s="19" t="s">
        <v>6340</v>
      </c>
      <c r="B263" s="19" t="s">
        <v>2083</v>
      </c>
      <c r="C263" s="19" t="s">
        <v>113</v>
      </c>
      <c r="D263" s="19" t="s">
        <v>114</v>
      </c>
      <c r="E263" s="19" t="s">
        <v>65</v>
      </c>
      <c r="F263" s="19" t="s">
        <v>66</v>
      </c>
      <c r="G263" s="19" t="s">
        <v>2085</v>
      </c>
      <c r="H263" s="19" t="s">
        <v>2086</v>
      </c>
      <c r="I263" s="19" t="s">
        <v>1696</v>
      </c>
      <c r="J263" s="19" t="n">
        <v>469.36</v>
      </c>
      <c r="K263" s="19" t="s">
        <v>2036</v>
      </c>
      <c r="L263" s="19"/>
      <c r="M263" s="20" t="str">
        <f aca="false">IF(G263&lt;&gt;"","PASS","FAIL - Missing UPC")</f>
        <v>PASS</v>
      </c>
      <c r="N263" s="20" t="str">
        <f aca="false">IF(AND(G263&lt;&gt;"",H263&lt;&gt;""),IF("0"&amp;G263=H263,"PASS","FAIL - GTIN Mismatch"),"SKIP")</f>
        <v>PASS</v>
      </c>
      <c r="O263" s="20" t="str">
        <f aca="false">IF(I263="","FAIL - No Title",IF(LEN(I263)&lt;=126,"PASS","FAIL - Title &gt;"&amp;126&amp;" chars"))</f>
        <v>PASS</v>
      </c>
      <c r="P263" s="20" t="str">
        <f aca="false">IF(J263&gt;0,IF(J263&lt;5000,"PASS","FLAG - Review Price"),"FAIL - Zero Price")</f>
        <v>PASS</v>
      </c>
      <c r="Q263" s="20" t="str">
        <f aca="false">IF('Raw Catalog'!P261&lt;&gt;"","PASS","FAIL - No Image")</f>
        <v>PASS</v>
      </c>
      <c r="R263" s="20" t="str">
        <f aca="false">IF(F263&lt;&gt;"","PASS","FAIL - No Brand")</f>
        <v>PASS</v>
      </c>
      <c r="S263" s="20" t="str">
        <f aca="true">IF(K263="","FAIL - No Date",IF(TODAY()-DATEVALUE(K263)&lt;=180,"PASS","FLAG - Stale &gt;180d"))</f>
        <v>FLAG - Stale &gt;180d</v>
      </c>
      <c r="T263" s="20" t="n">
        <f aca="false">COUNTIF(M263:S263,"FAIL*")+COUNTIF(M263:S263,"FLAG*")</f>
        <v>1</v>
      </c>
      <c r="U263" s="20" t="str">
        <f aca="false">IF(T263=0,"CLEAN",IF(T263=1,"MINOR",IF(T263&lt;=3,"MODERATE","CRITICAL")))</f>
        <v>MINOR</v>
      </c>
      <c r="V263" s="20" t="str">
        <f aca="false">IF(U263="CLEAN","None",IF(U263="MINOR","Seller Notify",IF(U263="MODERATE","Listing Suspended","Immediate Removal")))</f>
        <v>Seller Notify</v>
      </c>
    </row>
    <row r="264" customFormat="false" ht="18" hidden="false" customHeight="true" outlineLevel="0" collapsed="false">
      <c r="A264" s="19" t="s">
        <v>6341</v>
      </c>
      <c r="B264" s="19" t="s">
        <v>2088</v>
      </c>
      <c r="C264" s="19" t="s">
        <v>48</v>
      </c>
      <c r="D264" s="19" t="s">
        <v>49</v>
      </c>
      <c r="E264" s="19" t="s">
        <v>91</v>
      </c>
      <c r="F264" s="19" t="s">
        <v>780</v>
      </c>
      <c r="G264" s="19" t="s">
        <v>2090</v>
      </c>
      <c r="H264" s="19" t="s">
        <v>2091</v>
      </c>
      <c r="I264" s="19" t="s">
        <v>2092</v>
      </c>
      <c r="J264" s="19" t="n">
        <v>1437.9</v>
      </c>
      <c r="K264" s="19" t="s">
        <v>282</v>
      </c>
      <c r="L264" s="19"/>
      <c r="M264" s="20" t="str">
        <f aca="false">IF(G264&lt;&gt;"","PASS","FAIL - Missing UPC")</f>
        <v>PASS</v>
      </c>
      <c r="N264" s="20" t="str">
        <f aca="false">IF(AND(G264&lt;&gt;"",H264&lt;&gt;""),IF("0"&amp;G264=H264,"PASS","FAIL - GTIN Mismatch"),"SKIP")</f>
        <v>PASS</v>
      </c>
      <c r="O264" s="20" t="str">
        <f aca="false">IF(I264="","FAIL - No Title",IF(LEN(I264)&lt;=126,"PASS","FAIL - Title &gt;"&amp;126&amp;" chars"))</f>
        <v>PASS</v>
      </c>
      <c r="P264" s="20" t="str">
        <f aca="false">IF(J264&gt;0,IF(J264&lt;5000,"PASS","FLAG - Review Price"),"FAIL - Zero Price")</f>
        <v>PASS</v>
      </c>
      <c r="Q264" s="20" t="str">
        <f aca="false">IF('Raw Catalog'!P262&lt;&gt;"","PASS","FAIL - No Image")</f>
        <v>PASS</v>
      </c>
      <c r="R264" s="20" t="str">
        <f aca="false">IF(F264&lt;&gt;"","PASS","FAIL - No Brand")</f>
        <v>PASS</v>
      </c>
      <c r="S264" s="20" t="str">
        <f aca="true">IF(K264="","FAIL - No Date",IF(TODAY()-DATEVALUE(K264)&lt;=180,"PASS","FLAG - Stale &gt;180d"))</f>
        <v>FLAG - Stale &gt;180d</v>
      </c>
      <c r="T264" s="20" t="n">
        <f aca="false">COUNTIF(M264:S264,"FAIL*")+COUNTIF(M264:S264,"FLAG*")</f>
        <v>1</v>
      </c>
      <c r="U264" s="20" t="str">
        <f aca="false">IF(T264=0,"CLEAN",IF(T264=1,"MINOR",IF(T264&lt;=3,"MODERATE","CRITICAL")))</f>
        <v>MINOR</v>
      </c>
      <c r="V264" s="20" t="str">
        <f aca="false">IF(U264="CLEAN","None",IF(U264="MINOR","Seller Notify",IF(U264="MODERATE","Listing Suspended","Immediate Removal")))</f>
        <v>Seller Notify</v>
      </c>
    </row>
    <row r="265" customFormat="false" ht="18" hidden="false" customHeight="true" outlineLevel="0" collapsed="false">
      <c r="A265" s="19" t="s">
        <v>6342</v>
      </c>
      <c r="B265" s="19" t="s">
        <v>2093</v>
      </c>
      <c r="C265" s="19" t="s">
        <v>255</v>
      </c>
      <c r="D265" s="19" t="s">
        <v>256</v>
      </c>
      <c r="E265" s="19" t="s">
        <v>79</v>
      </c>
      <c r="F265" s="19" t="s">
        <v>127</v>
      </c>
      <c r="G265" s="19" t="s">
        <v>2095</v>
      </c>
      <c r="H265" s="19" t="s">
        <v>2096</v>
      </c>
      <c r="I265" s="19" t="s">
        <v>1648</v>
      </c>
      <c r="J265" s="19" t="n">
        <v>1385.32</v>
      </c>
      <c r="K265" s="19" t="s">
        <v>1899</v>
      </c>
      <c r="L265" s="19"/>
      <c r="M265" s="20" t="str">
        <f aca="false">IF(G265&lt;&gt;"","PASS","FAIL - Missing UPC")</f>
        <v>PASS</v>
      </c>
      <c r="N265" s="20" t="str">
        <f aca="false">IF(AND(G265&lt;&gt;"",H265&lt;&gt;""),IF("0"&amp;G265=H265,"PASS","FAIL - GTIN Mismatch"),"SKIP")</f>
        <v>PASS</v>
      </c>
      <c r="O265" s="20" t="str">
        <f aca="false">IF(I265="","FAIL - No Title",IF(LEN(I265)&lt;=126,"PASS","FAIL - Title &gt;"&amp;126&amp;" chars"))</f>
        <v>PASS</v>
      </c>
      <c r="P265" s="20" t="str">
        <f aca="false">IF(J265&gt;0,IF(J265&lt;5000,"PASS","FLAG - Review Price"),"FAIL - Zero Price")</f>
        <v>PASS</v>
      </c>
      <c r="Q265" s="20" t="str">
        <f aca="false">IF('Raw Catalog'!P263&lt;&gt;"","PASS","FAIL - No Image")</f>
        <v>PASS</v>
      </c>
      <c r="R265" s="20" t="str">
        <f aca="false">IF(F265&lt;&gt;"","PASS","FAIL - No Brand")</f>
        <v>PASS</v>
      </c>
      <c r="S265" s="20" t="str">
        <f aca="true">IF(K265="","FAIL - No Date",IF(TODAY()-DATEVALUE(K265)&lt;=180,"PASS","FLAG - Stale &gt;180d"))</f>
        <v>FLAG - Stale &gt;180d</v>
      </c>
      <c r="T265" s="20" t="n">
        <f aca="false">COUNTIF(M265:S265,"FAIL*")+COUNTIF(M265:S265,"FLAG*")</f>
        <v>1</v>
      </c>
      <c r="U265" s="20" t="str">
        <f aca="false">IF(T265=0,"CLEAN",IF(T265=1,"MINOR",IF(T265&lt;=3,"MODERATE","CRITICAL")))</f>
        <v>MINOR</v>
      </c>
      <c r="V265" s="20" t="str">
        <f aca="false">IF(U265="CLEAN","None",IF(U265="MINOR","Seller Notify",IF(U265="MODERATE","Listing Suspended","Immediate Removal")))</f>
        <v>Seller Notify</v>
      </c>
    </row>
    <row r="266" customFormat="false" ht="18" hidden="false" customHeight="true" outlineLevel="0" collapsed="false">
      <c r="A266" s="19" t="s">
        <v>6343</v>
      </c>
      <c r="B266" s="19" t="s">
        <v>2098</v>
      </c>
      <c r="C266" s="19" t="s">
        <v>173</v>
      </c>
      <c r="D266" s="19" t="s">
        <v>174</v>
      </c>
      <c r="E266" s="19" t="s">
        <v>65</v>
      </c>
      <c r="F266" s="19"/>
      <c r="G266" s="19" t="s">
        <v>2100</v>
      </c>
      <c r="H266" s="19" t="s">
        <v>2101</v>
      </c>
      <c r="I266" s="19" t="s">
        <v>249</v>
      </c>
      <c r="J266" s="19" t="n">
        <v>358.67</v>
      </c>
      <c r="K266" s="19" t="s">
        <v>1423</v>
      </c>
      <c r="L266" s="21" t="s">
        <v>89</v>
      </c>
      <c r="M266" s="20" t="str">
        <f aca="false">IF(G266&lt;&gt;"","PASS","FAIL - Missing UPC")</f>
        <v>PASS</v>
      </c>
      <c r="N266" s="20" t="str">
        <f aca="false">IF(AND(G266&lt;&gt;"",H266&lt;&gt;""),IF("0"&amp;G266=H266,"PASS","FAIL - GTIN Mismatch"),"SKIP")</f>
        <v>PASS</v>
      </c>
      <c r="O266" s="20" t="str">
        <f aca="false">IF(I266="","FAIL - No Title",IF(LEN(I266)&lt;=126,"PASS","FAIL - Title &gt;"&amp;126&amp;" chars"))</f>
        <v>PASS</v>
      </c>
      <c r="P266" s="20" t="str">
        <f aca="false">IF(J266&gt;0,IF(J266&lt;5000,"PASS","FLAG - Review Price"),"FAIL - Zero Price")</f>
        <v>PASS</v>
      </c>
      <c r="Q266" s="20" t="str">
        <f aca="false">IF('Raw Catalog'!P264&lt;&gt;"","PASS","FAIL - No Image")</f>
        <v>PASS</v>
      </c>
      <c r="R266" s="20" t="str">
        <f aca="false">IF(F266&lt;&gt;"","PASS","FAIL - No Brand")</f>
        <v>FAIL - No Brand</v>
      </c>
      <c r="S266" s="20" t="str">
        <f aca="true">IF(K266="","FAIL - No Date",IF(TODAY()-DATEVALUE(K266)&lt;=180,"PASS","FLAG - Stale &gt;180d"))</f>
        <v>FLAG - Stale &gt;180d</v>
      </c>
      <c r="T266" s="20" t="n">
        <f aca="false">COUNTIF(M266:S266,"FAIL*")+COUNTIF(M266:S266,"FLAG*")</f>
        <v>2</v>
      </c>
      <c r="U266" s="20" t="str">
        <f aca="false">IF(T266=0,"CLEAN",IF(T266=1,"MINOR",IF(T266&lt;=3,"MODERATE","CRITICAL")))</f>
        <v>MODERATE</v>
      </c>
      <c r="V266" s="20" t="str">
        <f aca="false">IF(U266="CLEAN","None",IF(U266="MINOR","Seller Notify",IF(U266="MODERATE","Listing Suspended","Immediate Removal")))</f>
        <v>Listing Suspended</v>
      </c>
    </row>
    <row r="267" customFormat="false" ht="18" hidden="false" customHeight="true" outlineLevel="0" collapsed="false">
      <c r="A267" s="19" t="s">
        <v>6344</v>
      </c>
      <c r="B267" s="19" t="s">
        <v>2102</v>
      </c>
      <c r="C267" s="19" t="s">
        <v>125</v>
      </c>
      <c r="D267" s="19" t="s">
        <v>126</v>
      </c>
      <c r="E267" s="19" t="s">
        <v>65</v>
      </c>
      <c r="F267" s="19" t="s">
        <v>371</v>
      </c>
      <c r="G267" s="19" t="s">
        <v>2104</v>
      </c>
      <c r="H267" s="19" t="s">
        <v>2105</v>
      </c>
      <c r="I267" s="19" t="s">
        <v>2106</v>
      </c>
      <c r="J267" s="19" t="n">
        <v>300.45</v>
      </c>
      <c r="K267" s="19" t="s">
        <v>1274</v>
      </c>
      <c r="L267" s="19"/>
      <c r="M267" s="20" t="str">
        <f aca="false">IF(G267&lt;&gt;"","PASS","FAIL - Missing UPC")</f>
        <v>PASS</v>
      </c>
      <c r="N267" s="20" t="str">
        <f aca="false">IF(AND(G267&lt;&gt;"",H267&lt;&gt;""),IF("0"&amp;G267=H267,"PASS","FAIL - GTIN Mismatch"),"SKIP")</f>
        <v>PASS</v>
      </c>
      <c r="O267" s="20" t="str">
        <f aca="false">IF(I267="","FAIL - No Title",IF(LEN(I267)&lt;=126,"PASS","FAIL - Title &gt;"&amp;126&amp;" chars"))</f>
        <v>PASS</v>
      </c>
      <c r="P267" s="20" t="str">
        <f aca="false">IF(J267&gt;0,IF(J267&lt;5000,"PASS","FLAG - Review Price"),"FAIL - Zero Price")</f>
        <v>PASS</v>
      </c>
      <c r="Q267" s="20" t="str">
        <f aca="false">IF('Raw Catalog'!P265&lt;&gt;"","PASS","FAIL - No Image")</f>
        <v>PASS</v>
      </c>
      <c r="R267" s="20" t="str">
        <f aca="false">IF(F267&lt;&gt;"","PASS","FAIL - No Brand")</f>
        <v>PASS</v>
      </c>
      <c r="S267" s="20" t="str">
        <f aca="true">IF(K267="","FAIL - No Date",IF(TODAY()-DATEVALUE(K267)&lt;=180,"PASS","FLAG - Stale &gt;180d"))</f>
        <v>FLAG - Stale &gt;180d</v>
      </c>
      <c r="T267" s="20" t="n">
        <f aca="false">COUNTIF(M267:S267,"FAIL*")+COUNTIF(M267:S267,"FLAG*")</f>
        <v>1</v>
      </c>
      <c r="U267" s="20" t="str">
        <f aca="false">IF(T267=0,"CLEAN",IF(T267=1,"MINOR",IF(T267&lt;=3,"MODERATE","CRITICAL")))</f>
        <v>MINOR</v>
      </c>
      <c r="V267" s="20" t="str">
        <f aca="false">IF(U267="CLEAN","None",IF(U267="MINOR","Seller Notify",IF(U267="MODERATE","Listing Suspended","Immediate Removal")))</f>
        <v>Seller Notify</v>
      </c>
    </row>
    <row r="268" customFormat="false" ht="18" hidden="false" customHeight="true" outlineLevel="0" collapsed="false">
      <c r="A268" s="19" t="s">
        <v>6345</v>
      </c>
      <c r="B268" s="19" t="s">
        <v>2110</v>
      </c>
      <c r="C268" s="19" t="s">
        <v>63</v>
      </c>
      <c r="D268" s="19" t="s">
        <v>64</v>
      </c>
      <c r="E268" s="19" t="s">
        <v>65</v>
      </c>
      <c r="F268" s="19" t="s">
        <v>390</v>
      </c>
      <c r="G268" s="19" t="s">
        <v>2112</v>
      </c>
      <c r="H268" s="19" t="s">
        <v>2113</v>
      </c>
      <c r="I268" s="19" t="s">
        <v>2114</v>
      </c>
      <c r="J268" s="19" t="n">
        <v>94.7</v>
      </c>
      <c r="K268" s="19" t="s">
        <v>1814</v>
      </c>
      <c r="L268" s="19"/>
      <c r="M268" s="20" t="str">
        <f aca="false">IF(G268&lt;&gt;"","PASS","FAIL - Missing UPC")</f>
        <v>PASS</v>
      </c>
      <c r="N268" s="20" t="str">
        <f aca="false">IF(AND(G268&lt;&gt;"",H268&lt;&gt;""),IF("0"&amp;G268=H268,"PASS","FAIL - GTIN Mismatch"),"SKIP")</f>
        <v>PASS</v>
      </c>
      <c r="O268" s="20" t="str">
        <f aca="false">IF(I268="","FAIL - No Title",IF(LEN(I268)&lt;=126,"PASS","FAIL - Title &gt;"&amp;126&amp;" chars"))</f>
        <v>PASS</v>
      </c>
      <c r="P268" s="20" t="str">
        <f aca="false">IF(J268&gt;0,IF(J268&lt;5000,"PASS","FLAG - Review Price"),"FAIL - Zero Price")</f>
        <v>PASS</v>
      </c>
      <c r="Q268" s="20" t="str">
        <f aca="false">IF('Raw Catalog'!P266&lt;&gt;"","PASS","FAIL - No Image")</f>
        <v>PASS</v>
      </c>
      <c r="R268" s="20" t="str">
        <f aca="false">IF(F268&lt;&gt;"","PASS","FAIL - No Brand")</f>
        <v>PASS</v>
      </c>
      <c r="S268" s="20" t="str">
        <f aca="true">IF(K268="","FAIL - No Date",IF(TODAY()-DATEVALUE(K268)&lt;=180,"PASS","FLAG - Stale &gt;180d"))</f>
        <v>FLAG - Stale &gt;180d</v>
      </c>
      <c r="T268" s="20" t="n">
        <f aca="false">COUNTIF(M268:S268,"FAIL*")+COUNTIF(M268:S268,"FLAG*")</f>
        <v>1</v>
      </c>
      <c r="U268" s="20" t="str">
        <f aca="false">IF(T268=0,"CLEAN",IF(T268=1,"MINOR",IF(T268&lt;=3,"MODERATE","CRITICAL")))</f>
        <v>MINOR</v>
      </c>
      <c r="V268" s="20" t="str">
        <f aca="false">IF(U268="CLEAN","None",IF(U268="MINOR","Seller Notify",IF(U268="MODERATE","Listing Suspended","Immediate Removal")))</f>
        <v>Seller Notify</v>
      </c>
    </row>
    <row r="269" customFormat="false" ht="18" hidden="false" customHeight="true" outlineLevel="0" collapsed="false">
      <c r="A269" s="19" t="s">
        <v>6346</v>
      </c>
      <c r="B269" s="19" t="s">
        <v>2118</v>
      </c>
      <c r="C269" s="19" t="s">
        <v>255</v>
      </c>
      <c r="D269" s="19" t="s">
        <v>256</v>
      </c>
      <c r="E269" s="19" t="s">
        <v>65</v>
      </c>
      <c r="F269" s="19" t="s">
        <v>245</v>
      </c>
      <c r="G269" s="19" t="s">
        <v>2120</v>
      </c>
      <c r="H269" s="19" t="s">
        <v>2121</v>
      </c>
      <c r="I269" s="19" t="s">
        <v>249</v>
      </c>
      <c r="J269" s="19" t="n">
        <v>422.25</v>
      </c>
      <c r="K269" s="19" t="s">
        <v>1814</v>
      </c>
      <c r="L269" s="19"/>
      <c r="M269" s="20" t="str">
        <f aca="false">IF(G269&lt;&gt;"","PASS","FAIL - Missing UPC")</f>
        <v>PASS</v>
      </c>
      <c r="N269" s="20" t="str">
        <f aca="false">IF(AND(G269&lt;&gt;"",H269&lt;&gt;""),IF("0"&amp;G269=H269,"PASS","FAIL - GTIN Mismatch"),"SKIP")</f>
        <v>PASS</v>
      </c>
      <c r="O269" s="20" t="str">
        <f aca="false">IF(I269="","FAIL - No Title",IF(LEN(I269)&lt;=126,"PASS","FAIL - Title &gt;"&amp;126&amp;" chars"))</f>
        <v>PASS</v>
      </c>
      <c r="P269" s="20" t="str">
        <f aca="false">IF(J269&gt;0,IF(J269&lt;5000,"PASS","FLAG - Review Price"),"FAIL - Zero Price")</f>
        <v>PASS</v>
      </c>
      <c r="Q269" s="20" t="str">
        <f aca="false">IF('Raw Catalog'!P267&lt;&gt;"","PASS","FAIL - No Image")</f>
        <v>PASS</v>
      </c>
      <c r="R269" s="20" t="str">
        <f aca="false">IF(F269&lt;&gt;"","PASS","FAIL - No Brand")</f>
        <v>PASS</v>
      </c>
      <c r="S269" s="20" t="str">
        <f aca="true">IF(K269="","FAIL - No Date",IF(TODAY()-DATEVALUE(K269)&lt;=180,"PASS","FLAG - Stale &gt;180d"))</f>
        <v>FLAG - Stale &gt;180d</v>
      </c>
      <c r="T269" s="20" t="n">
        <f aca="false">COUNTIF(M269:S269,"FAIL*")+COUNTIF(M269:S269,"FLAG*")</f>
        <v>1</v>
      </c>
      <c r="U269" s="20" t="str">
        <f aca="false">IF(T269=0,"CLEAN",IF(T269=1,"MINOR",IF(T269&lt;=3,"MODERATE","CRITICAL")))</f>
        <v>MINOR</v>
      </c>
      <c r="V269" s="20" t="str">
        <f aca="false">IF(U269="CLEAN","None",IF(U269="MINOR","Seller Notify",IF(U269="MODERATE","Listing Suspended","Immediate Removal")))</f>
        <v>Seller Notify</v>
      </c>
    </row>
    <row r="270" customFormat="false" ht="18" hidden="false" customHeight="true" outlineLevel="0" collapsed="false">
      <c r="A270" s="19" t="s">
        <v>6347</v>
      </c>
      <c r="B270" s="19" t="s">
        <v>2123</v>
      </c>
      <c r="C270" s="19" t="s">
        <v>173</v>
      </c>
      <c r="D270" s="19" t="s">
        <v>174</v>
      </c>
      <c r="E270" s="19" t="s">
        <v>91</v>
      </c>
      <c r="F270" s="19" t="s">
        <v>419</v>
      </c>
      <c r="G270" s="19" t="s">
        <v>2125</v>
      </c>
      <c r="H270" s="19" t="s">
        <v>2126</v>
      </c>
      <c r="I270" s="19" t="s">
        <v>1690</v>
      </c>
      <c r="J270" s="19" t="n">
        <v>251.56</v>
      </c>
      <c r="K270" s="19" t="s">
        <v>2127</v>
      </c>
      <c r="L270" s="19"/>
      <c r="M270" s="20" t="str">
        <f aca="false">IF(G270&lt;&gt;"","PASS","FAIL - Missing UPC")</f>
        <v>PASS</v>
      </c>
      <c r="N270" s="20" t="str">
        <f aca="false">IF(AND(G270&lt;&gt;"",H270&lt;&gt;""),IF("0"&amp;G270=H270,"PASS","FAIL - GTIN Mismatch"),"SKIP")</f>
        <v>PASS</v>
      </c>
      <c r="O270" s="20" t="str">
        <f aca="false">IF(I270="","FAIL - No Title",IF(LEN(I270)&lt;=126,"PASS","FAIL - Title &gt;"&amp;126&amp;" chars"))</f>
        <v>PASS</v>
      </c>
      <c r="P270" s="20" t="str">
        <f aca="false">IF(J270&gt;0,IF(J270&lt;5000,"PASS","FLAG - Review Price"),"FAIL - Zero Price")</f>
        <v>PASS</v>
      </c>
      <c r="Q270" s="20" t="str">
        <f aca="false">IF('Raw Catalog'!P268&lt;&gt;"","PASS","FAIL - No Image")</f>
        <v>PASS</v>
      </c>
      <c r="R270" s="20" t="str">
        <f aca="false">IF(F270&lt;&gt;"","PASS","FAIL - No Brand")</f>
        <v>PASS</v>
      </c>
      <c r="S270" s="20" t="str">
        <f aca="true">IF(K270="","FAIL - No Date",IF(TODAY()-DATEVALUE(K270)&lt;=180,"PASS","FLAG - Stale &gt;180d"))</f>
        <v>FLAG - Stale &gt;180d</v>
      </c>
      <c r="T270" s="20" t="n">
        <f aca="false">COUNTIF(M270:S270,"FAIL*")+COUNTIF(M270:S270,"FLAG*")</f>
        <v>1</v>
      </c>
      <c r="U270" s="20" t="str">
        <f aca="false">IF(T270=0,"CLEAN",IF(T270=1,"MINOR",IF(T270&lt;=3,"MODERATE","CRITICAL")))</f>
        <v>MINOR</v>
      </c>
      <c r="V270" s="20" t="str">
        <f aca="false">IF(U270="CLEAN","None",IF(U270="MINOR","Seller Notify",IF(U270="MODERATE","Listing Suspended","Immediate Removal")))</f>
        <v>Seller Notify</v>
      </c>
    </row>
    <row r="271" customFormat="false" ht="18" hidden="false" customHeight="true" outlineLevel="0" collapsed="false">
      <c r="A271" s="19" t="s">
        <v>6348</v>
      </c>
      <c r="B271" s="19" t="s">
        <v>2128</v>
      </c>
      <c r="C271" s="19" t="s">
        <v>63</v>
      </c>
      <c r="D271" s="19" t="s">
        <v>64</v>
      </c>
      <c r="E271" s="19" t="s">
        <v>79</v>
      </c>
      <c r="F271" s="19" t="s">
        <v>196</v>
      </c>
      <c r="G271" s="19" t="s">
        <v>2130</v>
      </c>
      <c r="H271" s="19" t="s">
        <v>2131</v>
      </c>
      <c r="I271" s="19" t="s">
        <v>2132</v>
      </c>
      <c r="J271" s="19" t="n">
        <v>479.7</v>
      </c>
      <c r="K271" s="19" t="s">
        <v>1708</v>
      </c>
      <c r="L271" s="21" t="s">
        <v>325</v>
      </c>
      <c r="M271" s="20" t="str">
        <f aca="false">IF(G271&lt;&gt;"","PASS","FAIL - Missing UPC")</f>
        <v>PASS</v>
      </c>
      <c r="N271" s="20" t="str">
        <f aca="false">IF(AND(G271&lt;&gt;"",H271&lt;&gt;""),IF("0"&amp;G271=H271,"PASS","FAIL - GTIN Mismatch"),"SKIP")</f>
        <v>PASS</v>
      </c>
      <c r="O271" s="20" t="str">
        <f aca="false">IF(I271="","FAIL - No Title",IF(LEN(I271)&lt;=126,"PASS","FAIL - Title &gt;"&amp;126&amp;" chars"))</f>
        <v>PASS</v>
      </c>
      <c r="P271" s="20" t="str">
        <f aca="false">IF(J271&gt;0,IF(J271&lt;5000,"PASS","FLAG - Review Price"),"FAIL - Zero Price")</f>
        <v>PASS</v>
      </c>
      <c r="Q271" s="20" t="str">
        <f aca="false">IF('Raw Catalog'!P269&lt;&gt;"","PASS","FAIL - No Image")</f>
        <v>PASS</v>
      </c>
      <c r="R271" s="20" t="str">
        <f aca="false">IF(F271&lt;&gt;"","PASS","FAIL - No Brand")</f>
        <v>PASS</v>
      </c>
      <c r="S271" s="20" t="str">
        <f aca="true">IF(K271="","FAIL - No Date",IF(TODAY()-DATEVALUE(K271)&lt;=180,"PASS","FLAG - Stale &gt;180d"))</f>
        <v>FLAG - Stale &gt;180d</v>
      </c>
      <c r="T271" s="20" t="n">
        <f aca="false">COUNTIF(M271:S271,"FAIL*")+COUNTIF(M271:S271,"FLAG*")</f>
        <v>1</v>
      </c>
      <c r="U271" s="20" t="str">
        <f aca="false">IF(T271=0,"CLEAN",IF(T271=1,"MINOR",IF(T271&lt;=3,"MODERATE","CRITICAL")))</f>
        <v>MINOR</v>
      </c>
      <c r="V271" s="20" t="str">
        <f aca="false">IF(U271="CLEAN","None",IF(U271="MINOR","Seller Notify",IF(U271="MODERATE","Listing Suspended","Immediate Removal")))</f>
        <v>Seller Notify</v>
      </c>
    </row>
    <row r="272" customFormat="false" ht="18" hidden="false" customHeight="true" outlineLevel="0" collapsed="false">
      <c r="A272" s="19" t="s">
        <v>6349</v>
      </c>
      <c r="B272" s="19" t="s">
        <v>2137</v>
      </c>
      <c r="C272" s="19" t="s">
        <v>125</v>
      </c>
      <c r="D272" s="19" t="s">
        <v>126</v>
      </c>
      <c r="E272" s="19" t="s">
        <v>91</v>
      </c>
      <c r="F272" s="19" t="s">
        <v>780</v>
      </c>
      <c r="G272" s="19" t="s">
        <v>2139</v>
      </c>
      <c r="H272" s="19" t="s">
        <v>2140</v>
      </c>
      <c r="I272" s="19" t="s">
        <v>2141</v>
      </c>
      <c r="J272" s="19" t="n">
        <v>1992.88</v>
      </c>
      <c r="K272" s="19" t="s">
        <v>1026</v>
      </c>
      <c r="L272" s="19"/>
      <c r="M272" s="20" t="str">
        <f aca="false">IF(G272&lt;&gt;"","PASS","FAIL - Missing UPC")</f>
        <v>PASS</v>
      </c>
      <c r="N272" s="20" t="str">
        <f aca="false">IF(AND(G272&lt;&gt;"",H272&lt;&gt;""),IF("0"&amp;G272=H272,"PASS","FAIL - GTIN Mismatch"),"SKIP")</f>
        <v>PASS</v>
      </c>
      <c r="O272" s="20" t="str">
        <f aca="false">IF(I272="","FAIL - No Title",IF(LEN(I272)&lt;=126,"PASS","FAIL - Title &gt;"&amp;126&amp;" chars"))</f>
        <v>PASS</v>
      </c>
      <c r="P272" s="20" t="str">
        <f aca="false">IF(J272&gt;0,IF(J272&lt;5000,"PASS","FLAG - Review Price"),"FAIL - Zero Price")</f>
        <v>PASS</v>
      </c>
      <c r="Q272" s="20" t="str">
        <f aca="false">IF('Raw Catalog'!P270&lt;&gt;"","PASS","FAIL - No Image")</f>
        <v>PASS</v>
      </c>
      <c r="R272" s="20" t="str">
        <f aca="false">IF(F272&lt;&gt;"","PASS","FAIL - No Brand")</f>
        <v>PASS</v>
      </c>
      <c r="S272" s="20" t="str">
        <f aca="true">IF(K272="","FAIL - No Date",IF(TODAY()-DATEVALUE(K272)&lt;=180,"PASS","FLAG - Stale &gt;180d"))</f>
        <v>FLAG - Stale &gt;180d</v>
      </c>
      <c r="T272" s="20" t="n">
        <f aca="false">COUNTIF(M272:S272,"FAIL*")+COUNTIF(M272:S272,"FLAG*")</f>
        <v>1</v>
      </c>
      <c r="U272" s="20" t="str">
        <f aca="false">IF(T272=0,"CLEAN",IF(T272=1,"MINOR",IF(T272&lt;=3,"MODERATE","CRITICAL")))</f>
        <v>MINOR</v>
      </c>
      <c r="V272" s="20" t="str">
        <f aca="false">IF(U272="CLEAN","None",IF(U272="MINOR","Seller Notify",IF(U272="MODERATE","Listing Suspended","Immediate Removal")))</f>
        <v>Seller Notify</v>
      </c>
    </row>
    <row r="273" customFormat="false" ht="18" hidden="false" customHeight="true" outlineLevel="0" collapsed="false">
      <c r="A273" s="19" t="s">
        <v>6350</v>
      </c>
      <c r="B273" s="19" t="s">
        <v>1253</v>
      </c>
      <c r="C273" s="19" t="s">
        <v>255</v>
      </c>
      <c r="D273" s="19" t="s">
        <v>256</v>
      </c>
      <c r="E273" s="19" t="s">
        <v>65</v>
      </c>
      <c r="F273" s="19" t="s">
        <v>115</v>
      </c>
      <c r="G273" s="19" t="s">
        <v>1255</v>
      </c>
      <c r="H273" s="19" t="s">
        <v>1256</v>
      </c>
      <c r="I273" s="19" t="s">
        <v>1257</v>
      </c>
      <c r="J273" s="19" t="n">
        <v>208.58</v>
      </c>
      <c r="K273" s="19" t="s">
        <v>1260</v>
      </c>
      <c r="L273" s="21" t="s">
        <v>283</v>
      </c>
      <c r="M273" s="20" t="str">
        <f aca="false">IF(G273&lt;&gt;"","PASS","FAIL - Missing UPC")</f>
        <v>PASS</v>
      </c>
      <c r="N273" s="20" t="str">
        <f aca="false">IF(AND(G273&lt;&gt;"",H273&lt;&gt;""),IF("0"&amp;G273=H273,"PASS","FAIL - GTIN Mismatch"),"SKIP")</f>
        <v>PASS</v>
      </c>
      <c r="O273" s="20" t="str">
        <f aca="false">IF(I273="","FAIL - No Title",IF(LEN(I273)&lt;=126,"PASS","FAIL - Title &gt;"&amp;126&amp;" chars"))</f>
        <v>PASS</v>
      </c>
      <c r="P273" s="20" t="str">
        <f aca="false">IF(J273&gt;0,IF(J273&lt;5000,"PASS","FLAG - Review Price"),"FAIL - Zero Price")</f>
        <v>PASS</v>
      </c>
      <c r="Q273" s="20" t="str">
        <f aca="false">IF('Raw Catalog'!P271&lt;&gt;"","PASS","FAIL - No Image")</f>
        <v>PASS</v>
      </c>
      <c r="R273" s="20" t="str">
        <f aca="false">IF(F273&lt;&gt;"","PASS","FAIL - No Brand")</f>
        <v>PASS</v>
      </c>
      <c r="S273" s="20" t="str">
        <f aca="true">IF(K273="","FAIL - No Date",IF(TODAY()-DATEVALUE(K273)&lt;=180,"PASS","FLAG - Stale &gt;180d"))</f>
        <v>FLAG - Stale &gt;180d</v>
      </c>
      <c r="T273" s="20" t="n">
        <f aca="false">COUNTIF(M273:S273,"FAIL*")+COUNTIF(M273:S273,"FLAG*")</f>
        <v>1</v>
      </c>
      <c r="U273" s="20" t="str">
        <f aca="false">IF(T273=0,"CLEAN",IF(T273=1,"MINOR",IF(T273&lt;=3,"MODERATE","CRITICAL")))</f>
        <v>MINOR</v>
      </c>
      <c r="V273" s="20" t="str">
        <f aca="false">IF(U273="CLEAN","None",IF(U273="MINOR","Seller Notify",IF(U273="MODERATE","Listing Suspended","Immediate Removal")))</f>
        <v>Seller Notify</v>
      </c>
    </row>
    <row r="274" customFormat="false" ht="18" hidden="false" customHeight="true" outlineLevel="0" collapsed="false">
      <c r="A274" s="19" t="s">
        <v>6351</v>
      </c>
      <c r="B274" s="19" t="s">
        <v>2143</v>
      </c>
      <c r="C274" s="19" t="s">
        <v>63</v>
      </c>
      <c r="D274" s="19" t="s">
        <v>64</v>
      </c>
      <c r="E274" s="19" t="s">
        <v>65</v>
      </c>
      <c r="F274" s="19" t="s">
        <v>371</v>
      </c>
      <c r="G274" s="19" t="s">
        <v>2145</v>
      </c>
      <c r="H274" s="19" t="s">
        <v>2146</v>
      </c>
      <c r="I274" s="19" t="s">
        <v>2147</v>
      </c>
      <c r="J274" s="19" t="n">
        <v>162.14</v>
      </c>
      <c r="K274" s="19" t="s">
        <v>2151</v>
      </c>
      <c r="L274" s="19"/>
      <c r="M274" s="20" t="str">
        <f aca="false">IF(G274&lt;&gt;"","PASS","FAIL - Missing UPC")</f>
        <v>PASS</v>
      </c>
      <c r="N274" s="20" t="str">
        <f aca="false">IF(AND(G274&lt;&gt;"",H274&lt;&gt;""),IF("0"&amp;G274=H274,"PASS","FAIL - GTIN Mismatch"),"SKIP")</f>
        <v>PASS</v>
      </c>
      <c r="O274" s="20" t="str">
        <f aca="false">IF(I274="","FAIL - No Title",IF(LEN(I274)&lt;=126,"PASS","FAIL - Title &gt;"&amp;126&amp;" chars"))</f>
        <v>PASS</v>
      </c>
      <c r="P274" s="20" t="str">
        <f aca="false">IF(J274&gt;0,IF(J274&lt;5000,"PASS","FLAG - Review Price"),"FAIL - Zero Price")</f>
        <v>PASS</v>
      </c>
      <c r="Q274" s="20" t="str">
        <f aca="false">IF('Raw Catalog'!P272&lt;&gt;"","PASS","FAIL - No Image")</f>
        <v>PASS</v>
      </c>
      <c r="R274" s="20" t="str">
        <f aca="false">IF(F274&lt;&gt;"","PASS","FAIL - No Brand")</f>
        <v>PASS</v>
      </c>
      <c r="S274" s="20" t="str">
        <f aca="true">IF(K274="","FAIL - No Date",IF(TODAY()-DATEVALUE(K274)&lt;=180,"PASS","FLAG - Stale &gt;180d"))</f>
        <v>FLAG - Stale &gt;180d</v>
      </c>
      <c r="T274" s="20" t="n">
        <f aca="false">COUNTIF(M274:S274,"FAIL*")+COUNTIF(M274:S274,"FLAG*")</f>
        <v>1</v>
      </c>
      <c r="U274" s="20" t="str">
        <f aca="false">IF(T274=0,"CLEAN",IF(T274=1,"MINOR",IF(T274&lt;=3,"MODERATE","CRITICAL")))</f>
        <v>MINOR</v>
      </c>
      <c r="V274" s="20" t="str">
        <f aca="false">IF(U274="CLEAN","None",IF(U274="MINOR","Seller Notify",IF(U274="MODERATE","Listing Suspended","Immediate Removal")))</f>
        <v>Seller Notify</v>
      </c>
    </row>
    <row r="275" customFormat="false" ht="18" hidden="false" customHeight="true" outlineLevel="0" collapsed="false">
      <c r="A275" s="19" t="s">
        <v>6352</v>
      </c>
      <c r="B275" s="19" t="s">
        <v>2152</v>
      </c>
      <c r="C275" s="19" t="s">
        <v>159</v>
      </c>
      <c r="D275" s="19" t="s">
        <v>160</v>
      </c>
      <c r="E275" s="19" t="s">
        <v>79</v>
      </c>
      <c r="F275" s="19" t="s">
        <v>127</v>
      </c>
      <c r="G275" s="19" t="s">
        <v>2154</v>
      </c>
      <c r="H275" s="19" t="s">
        <v>2155</v>
      </c>
      <c r="I275" s="19" t="s">
        <v>2156</v>
      </c>
      <c r="J275" s="19" t="n">
        <v>438.91</v>
      </c>
      <c r="K275" s="19" t="s">
        <v>627</v>
      </c>
      <c r="L275" s="19"/>
      <c r="M275" s="20" t="str">
        <f aca="false">IF(G275&lt;&gt;"","PASS","FAIL - Missing UPC")</f>
        <v>PASS</v>
      </c>
      <c r="N275" s="20" t="str">
        <f aca="false">IF(AND(G275&lt;&gt;"",H275&lt;&gt;""),IF("0"&amp;G275=H275,"PASS","FAIL - GTIN Mismatch"),"SKIP")</f>
        <v>PASS</v>
      </c>
      <c r="O275" s="20" t="str">
        <f aca="false">IF(I275="","FAIL - No Title",IF(LEN(I275)&lt;=126,"PASS","FAIL - Title &gt;"&amp;126&amp;" chars"))</f>
        <v>PASS</v>
      </c>
      <c r="P275" s="20" t="str">
        <f aca="false">IF(J275&gt;0,IF(J275&lt;5000,"PASS","FLAG - Review Price"),"FAIL - Zero Price")</f>
        <v>PASS</v>
      </c>
      <c r="Q275" s="20" t="str">
        <f aca="false">IF('Raw Catalog'!P273&lt;&gt;"","PASS","FAIL - No Image")</f>
        <v>PASS</v>
      </c>
      <c r="R275" s="20" t="str">
        <f aca="false">IF(F275&lt;&gt;"","PASS","FAIL - No Brand")</f>
        <v>PASS</v>
      </c>
      <c r="S275" s="20" t="str">
        <f aca="true">IF(K275="","FAIL - No Date",IF(TODAY()-DATEVALUE(K275)&lt;=180,"PASS","FLAG - Stale &gt;180d"))</f>
        <v>FLAG - Stale &gt;180d</v>
      </c>
      <c r="T275" s="20" t="n">
        <f aca="false">COUNTIF(M275:S275,"FAIL*")+COUNTIF(M275:S275,"FLAG*")</f>
        <v>1</v>
      </c>
      <c r="U275" s="20" t="str">
        <f aca="false">IF(T275=0,"CLEAN",IF(T275=1,"MINOR",IF(T275&lt;=3,"MODERATE","CRITICAL")))</f>
        <v>MINOR</v>
      </c>
      <c r="V275" s="20" t="str">
        <f aca="false">IF(U275="CLEAN","None",IF(U275="MINOR","Seller Notify",IF(U275="MODERATE","Listing Suspended","Immediate Removal")))</f>
        <v>Seller Notify</v>
      </c>
    </row>
    <row r="276" customFormat="false" ht="18" hidden="false" customHeight="true" outlineLevel="0" collapsed="false">
      <c r="A276" s="19" t="s">
        <v>6353</v>
      </c>
      <c r="B276" s="19" t="s">
        <v>2158</v>
      </c>
      <c r="C276" s="19" t="s">
        <v>48</v>
      </c>
      <c r="D276" s="19" t="s">
        <v>49</v>
      </c>
      <c r="E276" s="19" t="s">
        <v>50</v>
      </c>
      <c r="F276" s="19" t="s">
        <v>503</v>
      </c>
      <c r="G276" s="19" t="s">
        <v>2160</v>
      </c>
      <c r="H276" s="19" t="s">
        <v>2161</v>
      </c>
      <c r="I276" s="19" t="s">
        <v>2162</v>
      </c>
      <c r="J276" s="19" t="n">
        <v>913.84</v>
      </c>
      <c r="K276" s="19" t="s">
        <v>2164</v>
      </c>
      <c r="L276" s="19"/>
      <c r="M276" s="20" t="str">
        <f aca="false">IF(G276&lt;&gt;"","PASS","FAIL - Missing UPC")</f>
        <v>PASS</v>
      </c>
      <c r="N276" s="20" t="str">
        <f aca="false">IF(AND(G276&lt;&gt;"",H276&lt;&gt;""),IF("0"&amp;G276=H276,"PASS","FAIL - GTIN Mismatch"),"SKIP")</f>
        <v>PASS</v>
      </c>
      <c r="O276" s="20" t="str">
        <f aca="false">IF(I276="","FAIL - No Title",IF(LEN(I276)&lt;=126,"PASS","FAIL - Title &gt;"&amp;126&amp;" chars"))</f>
        <v>PASS</v>
      </c>
      <c r="P276" s="20" t="str">
        <f aca="false">IF(J276&gt;0,IF(J276&lt;5000,"PASS","FLAG - Review Price"),"FAIL - Zero Price")</f>
        <v>PASS</v>
      </c>
      <c r="Q276" s="20" t="str">
        <f aca="false">IF('Raw Catalog'!P274&lt;&gt;"","PASS","FAIL - No Image")</f>
        <v>PASS</v>
      </c>
      <c r="R276" s="20" t="str">
        <f aca="false">IF(F276&lt;&gt;"","PASS","FAIL - No Brand")</f>
        <v>PASS</v>
      </c>
      <c r="S276" s="20" t="str">
        <f aca="true">IF(K276="","FAIL - No Date",IF(TODAY()-DATEVALUE(K276)&lt;=180,"PASS","FLAG - Stale &gt;180d"))</f>
        <v>FLAG - Stale &gt;180d</v>
      </c>
      <c r="T276" s="20" t="n">
        <f aca="false">COUNTIF(M276:S276,"FAIL*")+COUNTIF(M276:S276,"FLAG*")</f>
        <v>1</v>
      </c>
      <c r="U276" s="20" t="str">
        <f aca="false">IF(T276=0,"CLEAN",IF(T276=1,"MINOR",IF(T276&lt;=3,"MODERATE","CRITICAL")))</f>
        <v>MINOR</v>
      </c>
      <c r="V276" s="20" t="str">
        <f aca="false">IF(U276="CLEAN","None",IF(U276="MINOR","Seller Notify",IF(U276="MODERATE","Listing Suspended","Immediate Removal")))</f>
        <v>Seller Notify</v>
      </c>
    </row>
    <row r="277" customFormat="false" ht="18" hidden="false" customHeight="true" outlineLevel="0" collapsed="false">
      <c r="A277" s="19" t="s">
        <v>6354</v>
      </c>
      <c r="B277" s="19" t="s">
        <v>2165</v>
      </c>
      <c r="C277" s="19" t="s">
        <v>159</v>
      </c>
      <c r="D277" s="19" t="s">
        <v>160</v>
      </c>
      <c r="E277" s="19" t="s">
        <v>65</v>
      </c>
      <c r="F277" s="19" t="s">
        <v>66</v>
      </c>
      <c r="G277" s="19" t="s">
        <v>2167</v>
      </c>
      <c r="H277" s="19" t="s">
        <v>2168</v>
      </c>
      <c r="I277" s="19" t="s">
        <v>71</v>
      </c>
      <c r="J277" s="19" t="n">
        <v>452.45</v>
      </c>
      <c r="K277" s="19" t="s">
        <v>2169</v>
      </c>
      <c r="L277" s="21" t="s">
        <v>325</v>
      </c>
      <c r="M277" s="20" t="str">
        <f aca="false">IF(G277&lt;&gt;"","PASS","FAIL - Missing UPC")</f>
        <v>PASS</v>
      </c>
      <c r="N277" s="20" t="str">
        <f aca="false">IF(AND(G277&lt;&gt;"",H277&lt;&gt;""),IF("0"&amp;G277=H277,"PASS","FAIL - GTIN Mismatch"),"SKIP")</f>
        <v>PASS</v>
      </c>
      <c r="O277" s="20" t="str">
        <f aca="false">IF(I277="","FAIL - No Title",IF(LEN(I277)&lt;=126,"PASS","FAIL - Title &gt;"&amp;126&amp;" chars"))</f>
        <v>PASS</v>
      </c>
      <c r="P277" s="20" t="str">
        <f aca="false">IF(J277&gt;0,IF(J277&lt;5000,"PASS","FLAG - Review Price"),"FAIL - Zero Price")</f>
        <v>PASS</v>
      </c>
      <c r="Q277" s="20" t="str">
        <f aca="false">IF('Raw Catalog'!P275&lt;&gt;"","PASS","FAIL - No Image")</f>
        <v>PASS</v>
      </c>
      <c r="R277" s="20" t="str">
        <f aca="false">IF(F277&lt;&gt;"","PASS","FAIL - No Brand")</f>
        <v>PASS</v>
      </c>
      <c r="S277" s="20" t="str">
        <f aca="true">IF(K277="","FAIL - No Date",IF(TODAY()-DATEVALUE(K277)&lt;=180,"PASS","FLAG - Stale &gt;180d"))</f>
        <v>FLAG - Stale &gt;180d</v>
      </c>
      <c r="T277" s="20" t="n">
        <f aca="false">COUNTIF(M277:S277,"FAIL*")+COUNTIF(M277:S277,"FLAG*")</f>
        <v>1</v>
      </c>
      <c r="U277" s="20" t="str">
        <f aca="false">IF(T277=0,"CLEAN",IF(T277=1,"MINOR",IF(T277&lt;=3,"MODERATE","CRITICAL")))</f>
        <v>MINOR</v>
      </c>
      <c r="V277" s="20" t="str">
        <f aca="false">IF(U277="CLEAN","None",IF(U277="MINOR","Seller Notify",IF(U277="MODERATE","Listing Suspended","Immediate Removal")))</f>
        <v>Seller Notify</v>
      </c>
    </row>
    <row r="278" customFormat="false" ht="18" hidden="false" customHeight="true" outlineLevel="0" collapsed="false">
      <c r="A278" s="19" t="s">
        <v>6355</v>
      </c>
      <c r="B278" s="19" t="s">
        <v>2170</v>
      </c>
      <c r="C278" s="19" t="s">
        <v>48</v>
      </c>
      <c r="D278" s="19" t="s">
        <v>49</v>
      </c>
      <c r="E278" s="19" t="s">
        <v>91</v>
      </c>
      <c r="F278" s="19" t="s">
        <v>138</v>
      </c>
      <c r="G278" s="19" t="s">
        <v>2172</v>
      </c>
      <c r="H278" s="19" t="s">
        <v>2173</v>
      </c>
      <c r="I278" s="19" t="s">
        <v>2174</v>
      </c>
      <c r="J278" s="19" t="n">
        <v>477.67</v>
      </c>
      <c r="K278" s="19" t="s">
        <v>473</v>
      </c>
      <c r="L278" s="21" t="s">
        <v>778</v>
      </c>
      <c r="M278" s="20" t="str">
        <f aca="false">IF(G278&lt;&gt;"","PASS","FAIL - Missing UPC")</f>
        <v>PASS</v>
      </c>
      <c r="N278" s="20" t="str">
        <f aca="false">IF(AND(G278&lt;&gt;"",H278&lt;&gt;""),IF("0"&amp;G278=H278,"PASS","FAIL - GTIN Mismatch"),"SKIP")</f>
        <v>PASS</v>
      </c>
      <c r="O278" s="20" t="str">
        <f aca="false">IF(I278="","FAIL - No Title",IF(LEN(I278)&lt;=126,"PASS","FAIL - Title &gt;"&amp;126&amp;" chars"))</f>
        <v>FAIL - Title &gt;126 chars</v>
      </c>
      <c r="P278" s="20" t="str">
        <f aca="false">IF(J278&gt;0,IF(J278&lt;5000,"PASS","FLAG - Review Price"),"FAIL - Zero Price")</f>
        <v>PASS</v>
      </c>
      <c r="Q278" s="20" t="str">
        <f aca="false">IF('Raw Catalog'!P276&lt;&gt;"","PASS","FAIL - No Image")</f>
        <v>PASS</v>
      </c>
      <c r="R278" s="20" t="str">
        <f aca="false">IF(F278&lt;&gt;"","PASS","FAIL - No Brand")</f>
        <v>PASS</v>
      </c>
      <c r="S278" s="20" t="str">
        <f aca="true">IF(K278="","FAIL - No Date",IF(TODAY()-DATEVALUE(K278)&lt;=180,"PASS","FLAG - Stale &gt;180d"))</f>
        <v>FLAG - Stale &gt;180d</v>
      </c>
      <c r="T278" s="20" t="n">
        <f aca="false">COUNTIF(M278:S278,"FAIL*")+COUNTIF(M278:S278,"FLAG*")</f>
        <v>2</v>
      </c>
      <c r="U278" s="20" t="str">
        <f aca="false">IF(T278=0,"CLEAN",IF(T278=1,"MINOR",IF(T278&lt;=3,"MODERATE","CRITICAL")))</f>
        <v>MODERATE</v>
      </c>
      <c r="V278" s="20" t="str">
        <f aca="false">IF(U278="CLEAN","None",IF(U278="MINOR","Seller Notify",IF(U278="MODERATE","Listing Suspended","Immediate Removal")))</f>
        <v>Listing Suspended</v>
      </c>
    </row>
    <row r="279" customFormat="false" ht="18" hidden="false" customHeight="true" outlineLevel="0" collapsed="false">
      <c r="A279" s="19" t="s">
        <v>6356</v>
      </c>
      <c r="B279" s="19" t="s">
        <v>2176</v>
      </c>
      <c r="C279" s="19" t="s">
        <v>125</v>
      </c>
      <c r="D279" s="19" t="s">
        <v>126</v>
      </c>
      <c r="E279" s="19" t="s">
        <v>50</v>
      </c>
      <c r="F279" s="19" t="s">
        <v>51</v>
      </c>
      <c r="G279" s="19" t="s">
        <v>2178</v>
      </c>
      <c r="H279" s="19" t="s">
        <v>2179</v>
      </c>
      <c r="I279" s="19" t="s">
        <v>2180</v>
      </c>
      <c r="J279" s="19" t="n">
        <v>824.74</v>
      </c>
      <c r="K279" s="19" t="s">
        <v>2182</v>
      </c>
      <c r="L279" s="19"/>
      <c r="M279" s="20" t="str">
        <f aca="false">IF(G279&lt;&gt;"","PASS","FAIL - Missing UPC")</f>
        <v>PASS</v>
      </c>
      <c r="N279" s="20" t="str">
        <f aca="false">IF(AND(G279&lt;&gt;"",H279&lt;&gt;""),IF("0"&amp;G279=H279,"PASS","FAIL - GTIN Mismatch"),"SKIP")</f>
        <v>PASS</v>
      </c>
      <c r="O279" s="20" t="str">
        <f aca="false">IF(I279="","FAIL - No Title",IF(LEN(I279)&lt;=126,"PASS","FAIL - Title &gt;"&amp;126&amp;" chars"))</f>
        <v>PASS</v>
      </c>
      <c r="P279" s="20" t="str">
        <f aca="false">IF(J279&gt;0,IF(J279&lt;5000,"PASS","FLAG - Review Price"),"FAIL - Zero Price")</f>
        <v>PASS</v>
      </c>
      <c r="Q279" s="20" t="str">
        <f aca="false">IF('Raw Catalog'!P277&lt;&gt;"","PASS","FAIL - No Image")</f>
        <v>PASS</v>
      </c>
      <c r="R279" s="20" t="str">
        <f aca="false">IF(F279&lt;&gt;"","PASS","FAIL - No Brand")</f>
        <v>PASS</v>
      </c>
      <c r="S279" s="20" t="str">
        <f aca="true">IF(K279="","FAIL - No Date",IF(TODAY()-DATEVALUE(K279)&lt;=180,"PASS","FLAG - Stale &gt;180d"))</f>
        <v>FLAG - Stale &gt;180d</v>
      </c>
      <c r="T279" s="20" t="n">
        <f aca="false">COUNTIF(M279:S279,"FAIL*")+COUNTIF(M279:S279,"FLAG*")</f>
        <v>1</v>
      </c>
      <c r="U279" s="20" t="str">
        <f aca="false">IF(T279=0,"CLEAN",IF(T279=1,"MINOR",IF(T279&lt;=3,"MODERATE","CRITICAL")))</f>
        <v>MINOR</v>
      </c>
      <c r="V279" s="20" t="str">
        <f aca="false">IF(U279="CLEAN","None",IF(U279="MINOR","Seller Notify",IF(U279="MODERATE","Listing Suspended","Immediate Removal")))</f>
        <v>Seller Notify</v>
      </c>
    </row>
    <row r="280" customFormat="false" ht="18" hidden="false" customHeight="true" outlineLevel="0" collapsed="false">
      <c r="A280" s="19" t="s">
        <v>6357</v>
      </c>
      <c r="B280" s="19" t="s">
        <v>2183</v>
      </c>
      <c r="C280" s="19" t="s">
        <v>255</v>
      </c>
      <c r="D280" s="19" t="s">
        <v>256</v>
      </c>
      <c r="E280" s="19" t="s">
        <v>79</v>
      </c>
      <c r="F280" s="19" t="s">
        <v>196</v>
      </c>
      <c r="G280" s="19" t="s">
        <v>2185</v>
      </c>
      <c r="H280" s="19" t="s">
        <v>2186</v>
      </c>
      <c r="I280" s="19" t="s">
        <v>2187</v>
      </c>
      <c r="J280" s="19" t="n">
        <v>429.17</v>
      </c>
      <c r="K280" s="19" t="s">
        <v>2189</v>
      </c>
      <c r="L280" s="19"/>
      <c r="M280" s="20" t="str">
        <f aca="false">IF(G280&lt;&gt;"","PASS","FAIL - Missing UPC")</f>
        <v>PASS</v>
      </c>
      <c r="N280" s="20" t="str">
        <f aca="false">IF(AND(G280&lt;&gt;"",H280&lt;&gt;""),IF("0"&amp;G280=H280,"PASS","FAIL - GTIN Mismatch"),"SKIP")</f>
        <v>PASS</v>
      </c>
      <c r="O280" s="20" t="str">
        <f aca="false">IF(I280="","FAIL - No Title",IF(LEN(I280)&lt;=126,"PASS","FAIL - Title &gt;"&amp;126&amp;" chars"))</f>
        <v>PASS</v>
      </c>
      <c r="P280" s="20" t="str">
        <f aca="false">IF(J280&gt;0,IF(J280&lt;5000,"PASS","FLAG - Review Price"),"FAIL - Zero Price")</f>
        <v>PASS</v>
      </c>
      <c r="Q280" s="20" t="str">
        <f aca="false">IF('Raw Catalog'!P278&lt;&gt;"","PASS","FAIL - No Image")</f>
        <v>PASS</v>
      </c>
      <c r="R280" s="20" t="str">
        <f aca="false">IF(F280&lt;&gt;"","PASS","FAIL - No Brand")</f>
        <v>PASS</v>
      </c>
      <c r="S280" s="20" t="str">
        <f aca="true">IF(K280="","FAIL - No Date",IF(TODAY()-DATEVALUE(K280)&lt;=180,"PASS","FLAG - Stale &gt;180d"))</f>
        <v>FLAG - Stale &gt;180d</v>
      </c>
      <c r="T280" s="20" t="n">
        <f aca="false">COUNTIF(M280:S280,"FAIL*")+COUNTIF(M280:S280,"FLAG*")</f>
        <v>1</v>
      </c>
      <c r="U280" s="20" t="str">
        <f aca="false">IF(T280=0,"CLEAN",IF(T280=1,"MINOR",IF(T280&lt;=3,"MODERATE","CRITICAL")))</f>
        <v>MINOR</v>
      </c>
      <c r="V280" s="20" t="str">
        <f aca="false">IF(U280="CLEAN","None",IF(U280="MINOR","Seller Notify",IF(U280="MODERATE","Listing Suspended","Immediate Removal")))</f>
        <v>Seller Notify</v>
      </c>
    </row>
    <row r="281" customFormat="false" ht="18" hidden="false" customHeight="true" outlineLevel="0" collapsed="false">
      <c r="A281" s="19" t="s">
        <v>6358</v>
      </c>
      <c r="B281" s="19" t="s">
        <v>2190</v>
      </c>
      <c r="C281" s="19" t="s">
        <v>159</v>
      </c>
      <c r="D281" s="19" t="s">
        <v>160</v>
      </c>
      <c r="E281" s="19" t="s">
        <v>161</v>
      </c>
      <c r="F281" s="19" t="s">
        <v>185</v>
      </c>
      <c r="G281" s="19" t="s">
        <v>2192</v>
      </c>
      <c r="H281" s="19" t="s">
        <v>2193</v>
      </c>
      <c r="I281" s="19" t="s">
        <v>2194</v>
      </c>
      <c r="J281" s="19" t="n">
        <v>289.95</v>
      </c>
      <c r="K281" s="19" t="s">
        <v>2196</v>
      </c>
      <c r="L281" s="19"/>
      <c r="M281" s="20" t="str">
        <f aca="false">IF(G281&lt;&gt;"","PASS","FAIL - Missing UPC")</f>
        <v>PASS</v>
      </c>
      <c r="N281" s="20" t="str">
        <f aca="false">IF(AND(G281&lt;&gt;"",H281&lt;&gt;""),IF("0"&amp;G281=H281,"PASS","FAIL - GTIN Mismatch"),"SKIP")</f>
        <v>PASS</v>
      </c>
      <c r="O281" s="20" t="str">
        <f aca="false">IF(I281="","FAIL - No Title",IF(LEN(I281)&lt;=126,"PASS","FAIL - Title &gt;"&amp;126&amp;" chars"))</f>
        <v>PASS</v>
      </c>
      <c r="P281" s="20" t="str">
        <f aca="false">IF(J281&gt;0,IF(J281&lt;5000,"PASS","FLAG - Review Price"),"FAIL - Zero Price")</f>
        <v>PASS</v>
      </c>
      <c r="Q281" s="20" t="str">
        <f aca="false">IF('Raw Catalog'!P279&lt;&gt;"","PASS","FAIL - No Image")</f>
        <v>PASS</v>
      </c>
      <c r="R281" s="20" t="str">
        <f aca="false">IF(F281&lt;&gt;"","PASS","FAIL - No Brand")</f>
        <v>PASS</v>
      </c>
      <c r="S281" s="20" t="str">
        <f aca="true">IF(K281="","FAIL - No Date",IF(TODAY()-DATEVALUE(K281)&lt;=180,"PASS","FLAG - Stale &gt;180d"))</f>
        <v>FLAG - Stale &gt;180d</v>
      </c>
      <c r="T281" s="20" t="n">
        <f aca="false">COUNTIF(M281:S281,"FAIL*")+COUNTIF(M281:S281,"FLAG*")</f>
        <v>1</v>
      </c>
      <c r="U281" s="20" t="str">
        <f aca="false">IF(T281=0,"CLEAN",IF(T281=1,"MINOR",IF(T281&lt;=3,"MODERATE","CRITICAL")))</f>
        <v>MINOR</v>
      </c>
      <c r="V281" s="20" t="str">
        <f aca="false">IF(U281="CLEAN","None",IF(U281="MINOR","Seller Notify",IF(U281="MODERATE","Listing Suspended","Immediate Removal")))</f>
        <v>Seller Notify</v>
      </c>
    </row>
    <row r="282" customFormat="false" ht="18" hidden="false" customHeight="true" outlineLevel="0" collapsed="false">
      <c r="A282" s="19" t="s">
        <v>6359</v>
      </c>
      <c r="B282" s="19" t="s">
        <v>2197</v>
      </c>
      <c r="C282" s="19" t="s">
        <v>48</v>
      </c>
      <c r="D282" s="19" t="s">
        <v>49</v>
      </c>
      <c r="E282" s="19" t="s">
        <v>79</v>
      </c>
      <c r="F282" s="19" t="s">
        <v>51</v>
      </c>
      <c r="G282" s="19" t="s">
        <v>2199</v>
      </c>
      <c r="H282" s="19" t="s">
        <v>2200</v>
      </c>
      <c r="I282" s="19" t="s">
        <v>2201</v>
      </c>
      <c r="J282" s="19" t="n">
        <v>678.45</v>
      </c>
      <c r="K282" s="19" t="s">
        <v>2203</v>
      </c>
      <c r="L282" s="21" t="s">
        <v>283</v>
      </c>
      <c r="M282" s="20" t="str">
        <f aca="false">IF(G282&lt;&gt;"","PASS","FAIL - Missing UPC")</f>
        <v>PASS</v>
      </c>
      <c r="N282" s="20" t="str">
        <f aca="false">IF(AND(G282&lt;&gt;"",H282&lt;&gt;""),IF("0"&amp;G282=H282,"PASS","FAIL - GTIN Mismatch"),"SKIP")</f>
        <v>PASS</v>
      </c>
      <c r="O282" s="20" t="str">
        <f aca="false">IF(I282="","FAIL - No Title",IF(LEN(I282)&lt;=126,"PASS","FAIL - Title &gt;"&amp;126&amp;" chars"))</f>
        <v>PASS</v>
      </c>
      <c r="P282" s="20" t="str">
        <f aca="false">IF(J282&gt;0,IF(J282&lt;5000,"PASS","FLAG - Review Price"),"FAIL - Zero Price")</f>
        <v>PASS</v>
      </c>
      <c r="Q282" s="20" t="str">
        <f aca="false">IF('Raw Catalog'!P280&lt;&gt;"","PASS","FAIL - No Image")</f>
        <v>PASS</v>
      </c>
      <c r="R282" s="20" t="str">
        <f aca="false">IF(F282&lt;&gt;"","PASS","FAIL - No Brand")</f>
        <v>PASS</v>
      </c>
      <c r="S282" s="20" t="str">
        <f aca="true">IF(K282="","FAIL - No Date",IF(TODAY()-DATEVALUE(K282)&lt;=180,"PASS","FLAG - Stale &gt;180d"))</f>
        <v>FLAG - Stale &gt;180d</v>
      </c>
      <c r="T282" s="20" t="n">
        <f aca="false">COUNTIF(M282:S282,"FAIL*")+COUNTIF(M282:S282,"FLAG*")</f>
        <v>1</v>
      </c>
      <c r="U282" s="20" t="str">
        <f aca="false">IF(T282=0,"CLEAN",IF(T282=1,"MINOR",IF(T282&lt;=3,"MODERATE","CRITICAL")))</f>
        <v>MINOR</v>
      </c>
      <c r="V282" s="20" t="str">
        <f aca="false">IF(U282="CLEAN","None",IF(U282="MINOR","Seller Notify",IF(U282="MODERATE","Listing Suspended","Immediate Removal")))</f>
        <v>Seller Notify</v>
      </c>
    </row>
    <row r="283" customFormat="false" ht="18" hidden="false" customHeight="true" outlineLevel="0" collapsed="false">
      <c r="A283" s="19" t="s">
        <v>6360</v>
      </c>
      <c r="B283" s="19" t="s">
        <v>2204</v>
      </c>
      <c r="C283" s="19" t="s">
        <v>255</v>
      </c>
      <c r="D283" s="19" t="s">
        <v>256</v>
      </c>
      <c r="E283" s="19" t="s">
        <v>79</v>
      </c>
      <c r="F283" s="19" t="s">
        <v>127</v>
      </c>
      <c r="G283" s="19" t="s">
        <v>2206</v>
      </c>
      <c r="H283" s="19" t="s">
        <v>2207</v>
      </c>
      <c r="I283" s="19" t="s">
        <v>2208</v>
      </c>
      <c r="J283" s="19" t="n">
        <v>1207.29</v>
      </c>
      <c r="K283" s="19" t="s">
        <v>741</v>
      </c>
      <c r="L283" s="19"/>
      <c r="M283" s="20" t="str">
        <f aca="false">IF(G283&lt;&gt;"","PASS","FAIL - Missing UPC")</f>
        <v>PASS</v>
      </c>
      <c r="N283" s="20" t="str">
        <f aca="false">IF(AND(G283&lt;&gt;"",H283&lt;&gt;""),IF("0"&amp;G283=H283,"PASS","FAIL - GTIN Mismatch"),"SKIP")</f>
        <v>PASS</v>
      </c>
      <c r="O283" s="20" t="str">
        <f aca="false">IF(I283="","FAIL - No Title",IF(LEN(I283)&lt;=126,"PASS","FAIL - Title &gt;"&amp;126&amp;" chars"))</f>
        <v>PASS</v>
      </c>
      <c r="P283" s="20" t="str">
        <f aca="false">IF(J283&gt;0,IF(J283&lt;5000,"PASS","FLAG - Review Price"),"FAIL - Zero Price")</f>
        <v>PASS</v>
      </c>
      <c r="Q283" s="20" t="str">
        <f aca="false">IF('Raw Catalog'!P281&lt;&gt;"","PASS","FAIL - No Image")</f>
        <v>PASS</v>
      </c>
      <c r="R283" s="20" t="str">
        <f aca="false">IF(F283&lt;&gt;"","PASS","FAIL - No Brand")</f>
        <v>PASS</v>
      </c>
      <c r="S283" s="20" t="str">
        <f aca="true">IF(K283="","FAIL - No Date",IF(TODAY()-DATEVALUE(K283)&lt;=180,"PASS","FLAG - Stale &gt;180d"))</f>
        <v>FLAG - Stale &gt;180d</v>
      </c>
      <c r="T283" s="20" t="n">
        <f aca="false">COUNTIF(M283:S283,"FAIL*")+COUNTIF(M283:S283,"FLAG*")</f>
        <v>1</v>
      </c>
      <c r="U283" s="20" t="str">
        <f aca="false">IF(T283=0,"CLEAN",IF(T283=1,"MINOR",IF(T283&lt;=3,"MODERATE","CRITICAL")))</f>
        <v>MINOR</v>
      </c>
      <c r="V283" s="20" t="str">
        <f aca="false">IF(U283="CLEAN","None",IF(U283="MINOR","Seller Notify",IF(U283="MODERATE","Listing Suspended","Immediate Removal")))</f>
        <v>Seller Notify</v>
      </c>
    </row>
    <row r="284" customFormat="false" ht="18" hidden="false" customHeight="true" outlineLevel="0" collapsed="false">
      <c r="A284" s="19" t="s">
        <v>6361</v>
      </c>
      <c r="B284" s="19" t="s">
        <v>2210</v>
      </c>
      <c r="C284" s="19" t="s">
        <v>77</v>
      </c>
      <c r="D284" s="19" t="s">
        <v>78</v>
      </c>
      <c r="E284" s="19" t="s">
        <v>50</v>
      </c>
      <c r="F284" s="19" t="s">
        <v>138</v>
      </c>
      <c r="G284" s="19" t="s">
        <v>2212</v>
      </c>
      <c r="H284" s="19" t="s">
        <v>2213</v>
      </c>
      <c r="I284" s="19" t="s">
        <v>812</v>
      </c>
      <c r="J284" s="19" t="n">
        <v>266</v>
      </c>
      <c r="K284" s="19" t="s">
        <v>2215</v>
      </c>
      <c r="L284" s="19"/>
      <c r="M284" s="20" t="str">
        <f aca="false">IF(G284&lt;&gt;"","PASS","FAIL - Missing UPC")</f>
        <v>PASS</v>
      </c>
      <c r="N284" s="20" t="str">
        <f aca="false">IF(AND(G284&lt;&gt;"",H284&lt;&gt;""),IF("0"&amp;G284=H284,"PASS","FAIL - GTIN Mismatch"),"SKIP")</f>
        <v>PASS</v>
      </c>
      <c r="O284" s="20" t="str">
        <f aca="false">IF(I284="","FAIL - No Title",IF(LEN(I284)&lt;=126,"PASS","FAIL - Title &gt;"&amp;126&amp;" chars"))</f>
        <v>PASS</v>
      </c>
      <c r="P284" s="20" t="str">
        <f aca="false">IF(J284&gt;0,IF(J284&lt;5000,"PASS","FLAG - Review Price"),"FAIL - Zero Price")</f>
        <v>PASS</v>
      </c>
      <c r="Q284" s="20" t="str">
        <f aca="false">IF('Raw Catalog'!P282&lt;&gt;"","PASS","FAIL - No Image")</f>
        <v>PASS</v>
      </c>
      <c r="R284" s="20" t="str">
        <f aca="false">IF(F284&lt;&gt;"","PASS","FAIL - No Brand")</f>
        <v>PASS</v>
      </c>
      <c r="S284" s="20" t="str">
        <f aca="true">IF(K284="","FAIL - No Date",IF(TODAY()-DATEVALUE(K284)&lt;=180,"PASS","FLAG - Stale &gt;180d"))</f>
        <v>FLAG - Stale &gt;180d</v>
      </c>
      <c r="T284" s="20" t="n">
        <f aca="false">COUNTIF(M284:S284,"FAIL*")+COUNTIF(M284:S284,"FLAG*")</f>
        <v>1</v>
      </c>
      <c r="U284" s="20" t="str">
        <f aca="false">IF(T284=0,"CLEAN",IF(T284=1,"MINOR",IF(T284&lt;=3,"MODERATE","CRITICAL")))</f>
        <v>MINOR</v>
      </c>
      <c r="V284" s="20" t="str">
        <f aca="false">IF(U284="CLEAN","None",IF(U284="MINOR","Seller Notify",IF(U284="MODERATE","Listing Suspended","Immediate Removal")))</f>
        <v>Seller Notify</v>
      </c>
    </row>
    <row r="285" customFormat="false" ht="18" hidden="false" customHeight="true" outlineLevel="0" collapsed="false">
      <c r="A285" s="19" t="s">
        <v>6362</v>
      </c>
      <c r="B285" s="19" t="s">
        <v>2216</v>
      </c>
      <c r="C285" s="19" t="s">
        <v>159</v>
      </c>
      <c r="D285" s="19" t="s">
        <v>160</v>
      </c>
      <c r="E285" s="19" t="s">
        <v>65</v>
      </c>
      <c r="F285" s="19" t="s">
        <v>438</v>
      </c>
      <c r="G285" s="19" t="s">
        <v>2218</v>
      </c>
      <c r="H285" s="19" t="s">
        <v>2219</v>
      </c>
      <c r="I285" s="19" t="s">
        <v>2220</v>
      </c>
      <c r="J285" s="19" t="n">
        <v>206.19</v>
      </c>
      <c r="K285" s="19" t="s">
        <v>2224</v>
      </c>
      <c r="L285" s="21" t="s">
        <v>243</v>
      </c>
      <c r="M285" s="20" t="str">
        <f aca="false">IF(G285&lt;&gt;"","PASS","FAIL - Missing UPC")</f>
        <v>PASS</v>
      </c>
      <c r="N285" s="20" t="str">
        <f aca="false">IF(AND(G285&lt;&gt;"",H285&lt;&gt;""),IF("0"&amp;G285=H285,"PASS","FAIL - GTIN Mismatch"),"SKIP")</f>
        <v>FAIL - GTIN Mismatch</v>
      </c>
      <c r="O285" s="20" t="str">
        <f aca="false">IF(I285="","FAIL - No Title",IF(LEN(I285)&lt;=126,"PASS","FAIL - Title &gt;"&amp;126&amp;" chars"))</f>
        <v>PASS</v>
      </c>
      <c r="P285" s="20" t="str">
        <f aca="false">IF(J285&gt;0,IF(J285&lt;5000,"PASS","FLAG - Review Price"),"FAIL - Zero Price")</f>
        <v>PASS</v>
      </c>
      <c r="Q285" s="20" t="str">
        <f aca="false">IF('Raw Catalog'!P283&lt;&gt;"","PASS","FAIL - No Image")</f>
        <v>PASS</v>
      </c>
      <c r="R285" s="20" t="str">
        <f aca="false">IF(F285&lt;&gt;"","PASS","FAIL - No Brand")</f>
        <v>PASS</v>
      </c>
      <c r="S285" s="20" t="str">
        <f aca="true">IF(K285="","FAIL - No Date",IF(TODAY()-DATEVALUE(K285)&lt;=180,"PASS","FLAG - Stale &gt;180d"))</f>
        <v>FLAG - Stale &gt;180d</v>
      </c>
      <c r="T285" s="20" t="n">
        <f aca="false">COUNTIF(M285:S285,"FAIL*")+COUNTIF(M285:S285,"FLAG*")</f>
        <v>2</v>
      </c>
      <c r="U285" s="20" t="str">
        <f aca="false">IF(T285=0,"CLEAN",IF(T285=1,"MINOR",IF(T285&lt;=3,"MODERATE","CRITICAL")))</f>
        <v>MODERATE</v>
      </c>
      <c r="V285" s="20" t="str">
        <f aca="false">IF(U285="CLEAN","None",IF(U285="MINOR","Seller Notify",IF(U285="MODERATE","Listing Suspended","Immediate Removal")))</f>
        <v>Listing Suspended</v>
      </c>
    </row>
    <row r="286" customFormat="false" ht="18" hidden="false" customHeight="true" outlineLevel="0" collapsed="false">
      <c r="A286" s="19" t="s">
        <v>6363</v>
      </c>
      <c r="B286" s="19" t="s">
        <v>2225</v>
      </c>
      <c r="C286" s="19" t="s">
        <v>63</v>
      </c>
      <c r="D286" s="19" t="s">
        <v>64</v>
      </c>
      <c r="E286" s="19" t="s">
        <v>161</v>
      </c>
      <c r="F286" s="19" t="s">
        <v>429</v>
      </c>
      <c r="G286" s="19" t="s">
        <v>2227</v>
      </c>
      <c r="H286" s="19" t="s">
        <v>2228</v>
      </c>
      <c r="I286" s="19" t="s">
        <v>2229</v>
      </c>
      <c r="J286" s="19" t="n">
        <v>446.11</v>
      </c>
      <c r="K286" s="19" t="s">
        <v>1930</v>
      </c>
      <c r="L286" s="19"/>
      <c r="M286" s="20" t="str">
        <f aca="false">IF(G286&lt;&gt;"","PASS","FAIL - Missing UPC")</f>
        <v>PASS</v>
      </c>
      <c r="N286" s="20" t="str">
        <f aca="false">IF(AND(G286&lt;&gt;"",H286&lt;&gt;""),IF("0"&amp;G286=H286,"PASS","FAIL - GTIN Mismatch"),"SKIP")</f>
        <v>PASS</v>
      </c>
      <c r="O286" s="20" t="str">
        <f aca="false">IF(I286="","FAIL - No Title",IF(LEN(I286)&lt;=126,"PASS","FAIL - Title &gt;"&amp;126&amp;" chars"))</f>
        <v>PASS</v>
      </c>
      <c r="P286" s="20" t="str">
        <f aca="false">IF(J286&gt;0,IF(J286&lt;5000,"PASS","FLAG - Review Price"),"FAIL - Zero Price")</f>
        <v>PASS</v>
      </c>
      <c r="Q286" s="20" t="str">
        <f aca="false">IF('Raw Catalog'!P284&lt;&gt;"","PASS","FAIL - No Image")</f>
        <v>PASS</v>
      </c>
      <c r="R286" s="20" t="str">
        <f aca="false">IF(F286&lt;&gt;"","PASS","FAIL - No Brand")</f>
        <v>PASS</v>
      </c>
      <c r="S286" s="20" t="str">
        <f aca="true">IF(K286="","FAIL - No Date",IF(TODAY()-DATEVALUE(K286)&lt;=180,"PASS","FLAG - Stale &gt;180d"))</f>
        <v>FLAG - Stale &gt;180d</v>
      </c>
      <c r="T286" s="20" t="n">
        <f aca="false">COUNTIF(M286:S286,"FAIL*")+COUNTIF(M286:S286,"FLAG*")</f>
        <v>1</v>
      </c>
      <c r="U286" s="20" t="str">
        <f aca="false">IF(T286=0,"CLEAN",IF(T286=1,"MINOR",IF(T286&lt;=3,"MODERATE","CRITICAL")))</f>
        <v>MINOR</v>
      </c>
      <c r="V286" s="20" t="str">
        <f aca="false">IF(U286="CLEAN","None",IF(U286="MINOR","Seller Notify",IF(U286="MODERATE","Listing Suspended","Immediate Removal")))</f>
        <v>Seller Notify</v>
      </c>
    </row>
    <row r="287" customFormat="false" ht="18" hidden="false" customHeight="true" outlineLevel="0" collapsed="false">
      <c r="A287" s="19" t="s">
        <v>6364</v>
      </c>
      <c r="B287" s="19" t="s">
        <v>2230</v>
      </c>
      <c r="C287" s="19" t="s">
        <v>48</v>
      </c>
      <c r="D287" s="19" t="s">
        <v>49</v>
      </c>
      <c r="E287" s="19" t="s">
        <v>161</v>
      </c>
      <c r="F287" s="19" t="s">
        <v>295</v>
      </c>
      <c r="G287" s="19" t="s">
        <v>2232</v>
      </c>
      <c r="H287" s="19" t="s">
        <v>2233</v>
      </c>
      <c r="I287" s="19" t="s">
        <v>2234</v>
      </c>
      <c r="J287" s="19" t="n">
        <v>326.14</v>
      </c>
      <c r="K287" s="19" t="s">
        <v>1510</v>
      </c>
      <c r="L287" s="19"/>
      <c r="M287" s="20" t="str">
        <f aca="false">IF(G287&lt;&gt;"","PASS","FAIL - Missing UPC")</f>
        <v>PASS</v>
      </c>
      <c r="N287" s="20" t="str">
        <f aca="false">IF(AND(G287&lt;&gt;"",H287&lt;&gt;""),IF("0"&amp;G287=H287,"PASS","FAIL - GTIN Mismatch"),"SKIP")</f>
        <v>PASS</v>
      </c>
      <c r="O287" s="20" t="str">
        <f aca="false">IF(I287="","FAIL - No Title",IF(LEN(I287)&lt;=126,"PASS","FAIL - Title &gt;"&amp;126&amp;" chars"))</f>
        <v>PASS</v>
      </c>
      <c r="P287" s="20" t="str">
        <f aca="false">IF(J287&gt;0,IF(J287&lt;5000,"PASS","FLAG - Review Price"),"FAIL - Zero Price")</f>
        <v>PASS</v>
      </c>
      <c r="Q287" s="20" t="str">
        <f aca="false">IF('Raw Catalog'!P285&lt;&gt;"","PASS","FAIL - No Image")</f>
        <v>PASS</v>
      </c>
      <c r="R287" s="20" t="str">
        <f aca="false">IF(F287&lt;&gt;"","PASS","FAIL - No Brand")</f>
        <v>PASS</v>
      </c>
      <c r="S287" s="20" t="str">
        <f aca="true">IF(K287="","FAIL - No Date",IF(TODAY()-DATEVALUE(K287)&lt;=180,"PASS","FLAG - Stale &gt;180d"))</f>
        <v>FLAG - Stale &gt;180d</v>
      </c>
      <c r="T287" s="20" t="n">
        <f aca="false">COUNTIF(M287:S287,"FAIL*")+COUNTIF(M287:S287,"FLAG*")</f>
        <v>1</v>
      </c>
      <c r="U287" s="20" t="str">
        <f aca="false">IF(T287=0,"CLEAN",IF(T287=1,"MINOR",IF(T287&lt;=3,"MODERATE","CRITICAL")))</f>
        <v>MINOR</v>
      </c>
      <c r="V287" s="20" t="str">
        <f aca="false">IF(U287="CLEAN","None",IF(U287="MINOR","Seller Notify",IF(U287="MODERATE","Listing Suspended","Immediate Removal")))</f>
        <v>Seller Notify</v>
      </c>
    </row>
    <row r="288" customFormat="false" ht="18" hidden="false" customHeight="true" outlineLevel="0" collapsed="false">
      <c r="A288" s="19" t="s">
        <v>6365</v>
      </c>
      <c r="B288" s="19" t="s">
        <v>2235</v>
      </c>
      <c r="C288" s="19" t="s">
        <v>173</v>
      </c>
      <c r="D288" s="19" t="s">
        <v>174</v>
      </c>
      <c r="E288" s="19" t="s">
        <v>161</v>
      </c>
      <c r="F288" s="19" t="s">
        <v>185</v>
      </c>
      <c r="G288" s="19" t="s">
        <v>2237</v>
      </c>
      <c r="H288" s="19" t="s">
        <v>2238</v>
      </c>
      <c r="I288" s="19" t="s">
        <v>2239</v>
      </c>
      <c r="J288" s="19" t="n">
        <v>369.74</v>
      </c>
      <c r="K288" s="19" t="s">
        <v>2241</v>
      </c>
      <c r="L288" s="21" t="s">
        <v>1014</v>
      </c>
      <c r="M288" s="20" t="str">
        <f aca="false">IF(G288&lt;&gt;"","PASS","FAIL - Missing UPC")</f>
        <v>PASS</v>
      </c>
      <c r="N288" s="20" t="str">
        <f aca="false">IF(AND(G288&lt;&gt;"",H288&lt;&gt;""),IF("0"&amp;G288=H288,"PASS","FAIL - GTIN Mismatch"),"SKIP")</f>
        <v>PASS</v>
      </c>
      <c r="O288" s="20" t="str">
        <f aca="false">IF(I288="","FAIL - No Title",IF(LEN(I288)&lt;=126,"PASS","FAIL - Title &gt;"&amp;126&amp;" chars"))</f>
        <v>PASS</v>
      </c>
      <c r="P288" s="20" t="str">
        <f aca="false">IF(J288&gt;0,IF(J288&lt;5000,"PASS","FLAG - Review Price"),"FAIL - Zero Price")</f>
        <v>PASS</v>
      </c>
      <c r="Q288" s="20" t="str">
        <f aca="false">IF('Raw Catalog'!P286&lt;&gt;"","PASS","FAIL - No Image")</f>
        <v>FAIL - No Image</v>
      </c>
      <c r="R288" s="20" t="str">
        <f aca="false">IF(F288&lt;&gt;"","PASS","FAIL - No Brand")</f>
        <v>PASS</v>
      </c>
      <c r="S288" s="20" t="str">
        <f aca="true">IF(K288="","FAIL - No Date",IF(TODAY()-DATEVALUE(K288)&lt;=180,"PASS","FLAG - Stale &gt;180d"))</f>
        <v>FLAG - Stale &gt;180d</v>
      </c>
      <c r="T288" s="20" t="n">
        <f aca="false">COUNTIF(M288:S288,"FAIL*")+COUNTIF(M288:S288,"FLAG*")</f>
        <v>2</v>
      </c>
      <c r="U288" s="20" t="str">
        <f aca="false">IF(T288=0,"CLEAN",IF(T288=1,"MINOR",IF(T288&lt;=3,"MODERATE","CRITICAL")))</f>
        <v>MODERATE</v>
      </c>
      <c r="V288" s="20" t="str">
        <f aca="false">IF(U288="CLEAN","None",IF(U288="MINOR","Seller Notify",IF(U288="MODERATE","Listing Suspended","Immediate Removal")))</f>
        <v>Listing Suspended</v>
      </c>
    </row>
    <row r="289" customFormat="false" ht="18" hidden="false" customHeight="true" outlineLevel="0" collapsed="false">
      <c r="A289" s="19" t="s">
        <v>6366</v>
      </c>
      <c r="B289" s="19" t="s">
        <v>2242</v>
      </c>
      <c r="C289" s="19" t="s">
        <v>255</v>
      </c>
      <c r="D289" s="19" t="s">
        <v>256</v>
      </c>
      <c r="E289" s="19" t="s">
        <v>79</v>
      </c>
      <c r="F289" s="19" t="s">
        <v>513</v>
      </c>
      <c r="G289" s="19" t="s">
        <v>2244</v>
      </c>
      <c r="H289" s="19" t="s">
        <v>2245</v>
      </c>
      <c r="I289" s="19" t="s">
        <v>2246</v>
      </c>
      <c r="J289" s="19" t="n">
        <v>2458.72</v>
      </c>
      <c r="K289" s="19" t="s">
        <v>2196</v>
      </c>
      <c r="L289" s="19"/>
      <c r="M289" s="20" t="str">
        <f aca="false">IF(G289&lt;&gt;"","PASS","FAIL - Missing UPC")</f>
        <v>PASS</v>
      </c>
      <c r="N289" s="20" t="str">
        <f aca="false">IF(AND(G289&lt;&gt;"",H289&lt;&gt;""),IF("0"&amp;G289=H289,"PASS","FAIL - GTIN Mismatch"),"SKIP")</f>
        <v>PASS</v>
      </c>
      <c r="O289" s="20" t="str">
        <f aca="false">IF(I289="","FAIL - No Title",IF(LEN(I289)&lt;=126,"PASS","FAIL - Title &gt;"&amp;126&amp;" chars"))</f>
        <v>PASS</v>
      </c>
      <c r="P289" s="20" t="str">
        <f aca="false">IF(J289&gt;0,IF(J289&lt;5000,"PASS","FLAG - Review Price"),"FAIL - Zero Price")</f>
        <v>PASS</v>
      </c>
      <c r="Q289" s="20" t="str">
        <f aca="false">IF('Raw Catalog'!P287&lt;&gt;"","PASS","FAIL - No Image")</f>
        <v>PASS</v>
      </c>
      <c r="R289" s="20" t="str">
        <f aca="false">IF(F289&lt;&gt;"","PASS","FAIL - No Brand")</f>
        <v>PASS</v>
      </c>
      <c r="S289" s="20" t="str">
        <f aca="true">IF(K289="","FAIL - No Date",IF(TODAY()-DATEVALUE(K289)&lt;=180,"PASS","FLAG - Stale &gt;180d"))</f>
        <v>FLAG - Stale &gt;180d</v>
      </c>
      <c r="T289" s="20" t="n">
        <f aca="false">COUNTIF(M289:S289,"FAIL*")+COUNTIF(M289:S289,"FLAG*")</f>
        <v>1</v>
      </c>
      <c r="U289" s="20" t="str">
        <f aca="false">IF(T289=0,"CLEAN",IF(T289=1,"MINOR",IF(T289&lt;=3,"MODERATE","CRITICAL")))</f>
        <v>MINOR</v>
      </c>
      <c r="V289" s="20" t="str">
        <f aca="false">IF(U289="CLEAN","None",IF(U289="MINOR","Seller Notify",IF(U289="MODERATE","Listing Suspended","Immediate Removal")))</f>
        <v>Seller Notify</v>
      </c>
    </row>
    <row r="290" customFormat="false" ht="18" hidden="false" customHeight="true" outlineLevel="0" collapsed="false">
      <c r="A290" s="19" t="s">
        <v>6367</v>
      </c>
      <c r="B290" s="19" t="s">
        <v>2250</v>
      </c>
      <c r="C290" s="19" t="s">
        <v>125</v>
      </c>
      <c r="D290" s="19" t="s">
        <v>126</v>
      </c>
      <c r="E290" s="19" t="s">
        <v>91</v>
      </c>
      <c r="F290" s="19" t="s">
        <v>587</v>
      </c>
      <c r="G290" s="19" t="s">
        <v>2252</v>
      </c>
      <c r="H290" s="19" t="s">
        <v>2253</v>
      </c>
      <c r="I290" s="19" t="s">
        <v>2254</v>
      </c>
      <c r="J290" s="19" t="n">
        <v>1643.51</v>
      </c>
      <c r="K290" s="19" t="s">
        <v>171</v>
      </c>
      <c r="L290" s="19"/>
      <c r="M290" s="20" t="str">
        <f aca="false">IF(G290&lt;&gt;"","PASS","FAIL - Missing UPC")</f>
        <v>PASS</v>
      </c>
      <c r="N290" s="20" t="str">
        <f aca="false">IF(AND(G290&lt;&gt;"",H290&lt;&gt;""),IF("0"&amp;G290=H290,"PASS","FAIL - GTIN Mismatch"),"SKIP")</f>
        <v>PASS</v>
      </c>
      <c r="O290" s="20" t="str">
        <f aca="false">IF(I290="","FAIL - No Title",IF(LEN(I290)&lt;=126,"PASS","FAIL - Title &gt;"&amp;126&amp;" chars"))</f>
        <v>PASS</v>
      </c>
      <c r="P290" s="20" t="str">
        <f aca="false">IF(J290&gt;0,IF(J290&lt;5000,"PASS","FLAG - Review Price"),"FAIL - Zero Price")</f>
        <v>PASS</v>
      </c>
      <c r="Q290" s="20" t="str">
        <f aca="false">IF('Raw Catalog'!P288&lt;&gt;"","PASS","FAIL - No Image")</f>
        <v>PASS</v>
      </c>
      <c r="R290" s="20" t="str">
        <f aca="false">IF(F290&lt;&gt;"","PASS","FAIL - No Brand")</f>
        <v>PASS</v>
      </c>
      <c r="S290" s="20" t="str">
        <f aca="true">IF(K290="","FAIL - No Date",IF(TODAY()-DATEVALUE(K290)&lt;=180,"PASS","FLAG - Stale &gt;180d"))</f>
        <v>FLAG - Stale &gt;180d</v>
      </c>
      <c r="T290" s="20" t="n">
        <f aca="false">COUNTIF(M290:S290,"FAIL*")+COUNTIF(M290:S290,"FLAG*")</f>
        <v>1</v>
      </c>
      <c r="U290" s="20" t="str">
        <f aca="false">IF(T290=0,"CLEAN",IF(T290=1,"MINOR",IF(T290&lt;=3,"MODERATE","CRITICAL")))</f>
        <v>MINOR</v>
      </c>
      <c r="V290" s="20" t="str">
        <f aca="false">IF(U290="CLEAN","None",IF(U290="MINOR","Seller Notify",IF(U290="MODERATE","Listing Suspended","Immediate Removal")))</f>
        <v>Seller Notify</v>
      </c>
    </row>
    <row r="291" customFormat="false" ht="18" hidden="false" customHeight="true" outlineLevel="0" collapsed="false">
      <c r="A291" s="19" t="s">
        <v>6368</v>
      </c>
      <c r="B291" s="19" t="s">
        <v>2256</v>
      </c>
      <c r="C291" s="19" t="s">
        <v>125</v>
      </c>
      <c r="D291" s="19" t="s">
        <v>126</v>
      </c>
      <c r="E291" s="19" t="s">
        <v>79</v>
      </c>
      <c r="F291" s="19" t="s">
        <v>956</v>
      </c>
      <c r="G291" s="19" t="s">
        <v>2258</v>
      </c>
      <c r="H291" s="19" t="s">
        <v>2259</v>
      </c>
      <c r="I291" s="19" t="s">
        <v>2260</v>
      </c>
      <c r="J291" s="19" t="n">
        <v>2145.11</v>
      </c>
      <c r="K291" s="19" t="s">
        <v>2261</v>
      </c>
      <c r="L291" s="21" t="s">
        <v>283</v>
      </c>
      <c r="M291" s="20" t="str">
        <f aca="false">IF(G291&lt;&gt;"","PASS","FAIL - Missing UPC")</f>
        <v>PASS</v>
      </c>
      <c r="N291" s="20" t="str">
        <f aca="false">IF(AND(G291&lt;&gt;"",H291&lt;&gt;""),IF("0"&amp;G291=H291,"PASS","FAIL - GTIN Mismatch"),"SKIP")</f>
        <v>PASS</v>
      </c>
      <c r="O291" s="20" t="str">
        <f aca="false">IF(I291="","FAIL - No Title",IF(LEN(I291)&lt;=126,"PASS","FAIL - Title &gt;"&amp;126&amp;" chars"))</f>
        <v>PASS</v>
      </c>
      <c r="P291" s="20" t="str">
        <f aca="false">IF(J291&gt;0,IF(J291&lt;5000,"PASS","FLAG - Review Price"),"FAIL - Zero Price")</f>
        <v>PASS</v>
      </c>
      <c r="Q291" s="20" t="str">
        <f aca="false">IF('Raw Catalog'!P289&lt;&gt;"","PASS","FAIL - No Image")</f>
        <v>PASS</v>
      </c>
      <c r="R291" s="20" t="str">
        <f aca="false">IF(F291&lt;&gt;"","PASS","FAIL - No Brand")</f>
        <v>PASS</v>
      </c>
      <c r="S291" s="20" t="str">
        <f aca="true">IF(K291="","FAIL - No Date",IF(TODAY()-DATEVALUE(K291)&lt;=180,"PASS","FLAG - Stale &gt;180d"))</f>
        <v>FLAG - Stale &gt;180d</v>
      </c>
      <c r="T291" s="20" t="n">
        <f aca="false">COUNTIF(M291:S291,"FAIL*")+COUNTIF(M291:S291,"FLAG*")</f>
        <v>1</v>
      </c>
      <c r="U291" s="20" t="str">
        <f aca="false">IF(T291=0,"CLEAN",IF(T291=1,"MINOR",IF(T291&lt;=3,"MODERATE","CRITICAL")))</f>
        <v>MINOR</v>
      </c>
      <c r="V291" s="20" t="str">
        <f aca="false">IF(U291="CLEAN","None",IF(U291="MINOR","Seller Notify",IF(U291="MODERATE","Listing Suspended","Immediate Removal")))</f>
        <v>Seller Notify</v>
      </c>
    </row>
    <row r="292" customFormat="false" ht="18" hidden="false" customHeight="true" outlineLevel="0" collapsed="false">
      <c r="A292" s="19" t="s">
        <v>6369</v>
      </c>
      <c r="B292" s="19" t="s">
        <v>2262</v>
      </c>
      <c r="C292" s="19" t="s">
        <v>63</v>
      </c>
      <c r="D292" s="19" t="s">
        <v>64</v>
      </c>
      <c r="E292" s="19" t="s">
        <v>50</v>
      </c>
      <c r="F292" s="19" t="s">
        <v>503</v>
      </c>
      <c r="G292" s="19" t="s">
        <v>2264</v>
      </c>
      <c r="H292" s="19" t="s">
        <v>2265</v>
      </c>
      <c r="I292" s="19" t="s">
        <v>2266</v>
      </c>
      <c r="J292" s="19" t="n">
        <v>403.17</v>
      </c>
      <c r="K292" s="19" t="s">
        <v>2269</v>
      </c>
      <c r="L292" s="21" t="s">
        <v>325</v>
      </c>
      <c r="M292" s="20" t="str">
        <f aca="false">IF(G292&lt;&gt;"","PASS","FAIL - Missing UPC")</f>
        <v>PASS</v>
      </c>
      <c r="N292" s="20" t="str">
        <f aca="false">IF(AND(G292&lt;&gt;"",H292&lt;&gt;""),IF("0"&amp;G292=H292,"PASS","FAIL - GTIN Mismatch"),"SKIP")</f>
        <v>PASS</v>
      </c>
      <c r="O292" s="20" t="str">
        <f aca="false">IF(I292="","FAIL - No Title",IF(LEN(I292)&lt;=126,"PASS","FAIL - Title &gt;"&amp;126&amp;" chars"))</f>
        <v>PASS</v>
      </c>
      <c r="P292" s="20" t="str">
        <f aca="false">IF(J292&gt;0,IF(J292&lt;5000,"PASS","FLAG - Review Price"),"FAIL - Zero Price")</f>
        <v>PASS</v>
      </c>
      <c r="Q292" s="20" t="str">
        <f aca="false">IF('Raw Catalog'!P290&lt;&gt;"","PASS","FAIL - No Image")</f>
        <v>PASS</v>
      </c>
      <c r="R292" s="20" t="str">
        <f aca="false">IF(F292&lt;&gt;"","PASS","FAIL - No Brand")</f>
        <v>PASS</v>
      </c>
      <c r="S292" s="20" t="str">
        <f aca="true">IF(K292="","FAIL - No Date",IF(TODAY()-DATEVALUE(K292)&lt;=180,"PASS","FLAG - Stale &gt;180d"))</f>
        <v>FLAG - Stale &gt;180d</v>
      </c>
      <c r="T292" s="20" t="n">
        <f aca="false">COUNTIF(M292:S292,"FAIL*")+COUNTIF(M292:S292,"FLAG*")</f>
        <v>1</v>
      </c>
      <c r="U292" s="20" t="str">
        <f aca="false">IF(T292=0,"CLEAN",IF(T292=1,"MINOR",IF(T292&lt;=3,"MODERATE","CRITICAL")))</f>
        <v>MINOR</v>
      </c>
      <c r="V292" s="20" t="str">
        <f aca="false">IF(U292="CLEAN","None",IF(U292="MINOR","Seller Notify",IF(U292="MODERATE","Listing Suspended","Immediate Removal")))</f>
        <v>Seller Notify</v>
      </c>
    </row>
    <row r="293" customFormat="false" ht="18" hidden="false" customHeight="true" outlineLevel="0" collapsed="false">
      <c r="A293" s="19" t="s">
        <v>6370</v>
      </c>
      <c r="B293" s="19" t="s">
        <v>2270</v>
      </c>
      <c r="C293" s="19" t="s">
        <v>255</v>
      </c>
      <c r="D293" s="19" t="s">
        <v>256</v>
      </c>
      <c r="E293" s="19" t="s">
        <v>79</v>
      </c>
      <c r="F293" s="19" t="s">
        <v>465</v>
      </c>
      <c r="G293" s="19" t="s">
        <v>2272</v>
      </c>
      <c r="H293" s="19" t="s">
        <v>2273</v>
      </c>
      <c r="I293" s="19" t="s">
        <v>2274</v>
      </c>
      <c r="J293" s="19" t="n">
        <v>2029.05</v>
      </c>
      <c r="K293" s="19" t="s">
        <v>2276</v>
      </c>
      <c r="L293" s="19"/>
      <c r="M293" s="20" t="str">
        <f aca="false">IF(G293&lt;&gt;"","PASS","FAIL - Missing UPC")</f>
        <v>PASS</v>
      </c>
      <c r="N293" s="20" t="str">
        <f aca="false">IF(AND(G293&lt;&gt;"",H293&lt;&gt;""),IF("0"&amp;G293=H293,"PASS","FAIL - GTIN Mismatch"),"SKIP")</f>
        <v>PASS</v>
      </c>
      <c r="O293" s="20" t="str">
        <f aca="false">IF(I293="","FAIL - No Title",IF(LEN(I293)&lt;=126,"PASS","FAIL - Title &gt;"&amp;126&amp;" chars"))</f>
        <v>PASS</v>
      </c>
      <c r="P293" s="20" t="str">
        <f aca="false">IF(J293&gt;0,IF(J293&lt;5000,"PASS","FLAG - Review Price"),"FAIL - Zero Price")</f>
        <v>PASS</v>
      </c>
      <c r="Q293" s="20" t="str">
        <f aca="false">IF('Raw Catalog'!P291&lt;&gt;"","PASS","FAIL - No Image")</f>
        <v>PASS</v>
      </c>
      <c r="R293" s="20" t="str">
        <f aca="false">IF(F293&lt;&gt;"","PASS","FAIL - No Brand")</f>
        <v>PASS</v>
      </c>
      <c r="S293" s="20" t="str">
        <f aca="true">IF(K293="","FAIL - No Date",IF(TODAY()-DATEVALUE(K293)&lt;=180,"PASS","FLAG - Stale &gt;180d"))</f>
        <v>FLAG - Stale &gt;180d</v>
      </c>
      <c r="T293" s="20" t="n">
        <f aca="false">COUNTIF(M293:S293,"FAIL*")+COUNTIF(M293:S293,"FLAG*")</f>
        <v>1</v>
      </c>
      <c r="U293" s="20" t="str">
        <f aca="false">IF(T293=0,"CLEAN",IF(T293=1,"MINOR",IF(T293&lt;=3,"MODERATE","CRITICAL")))</f>
        <v>MINOR</v>
      </c>
      <c r="V293" s="20" t="str">
        <f aca="false">IF(U293="CLEAN","None",IF(U293="MINOR","Seller Notify",IF(U293="MODERATE","Listing Suspended","Immediate Removal")))</f>
        <v>Seller Notify</v>
      </c>
    </row>
    <row r="294" customFormat="false" ht="18" hidden="false" customHeight="true" outlineLevel="0" collapsed="false">
      <c r="A294" s="19" t="s">
        <v>6371</v>
      </c>
      <c r="B294" s="19" t="s">
        <v>2277</v>
      </c>
      <c r="C294" s="19" t="s">
        <v>63</v>
      </c>
      <c r="D294" s="19" t="s">
        <v>64</v>
      </c>
      <c r="E294" s="19" t="s">
        <v>91</v>
      </c>
      <c r="F294" s="19" t="s">
        <v>185</v>
      </c>
      <c r="G294" s="19" t="s">
        <v>2279</v>
      </c>
      <c r="H294" s="19" t="s">
        <v>2280</v>
      </c>
      <c r="I294" s="19" t="s">
        <v>2281</v>
      </c>
      <c r="J294" s="19" t="n">
        <v>3463.17</v>
      </c>
      <c r="K294" s="19" t="s">
        <v>994</v>
      </c>
      <c r="L294" s="19"/>
      <c r="M294" s="20" t="str">
        <f aca="false">IF(G294&lt;&gt;"","PASS","FAIL - Missing UPC")</f>
        <v>PASS</v>
      </c>
      <c r="N294" s="20" t="str">
        <f aca="false">IF(AND(G294&lt;&gt;"",H294&lt;&gt;""),IF("0"&amp;G294=H294,"PASS","FAIL - GTIN Mismatch"),"SKIP")</f>
        <v>PASS</v>
      </c>
      <c r="O294" s="20" t="str">
        <f aca="false">IF(I294="","FAIL - No Title",IF(LEN(I294)&lt;=126,"PASS","FAIL - Title &gt;"&amp;126&amp;" chars"))</f>
        <v>PASS</v>
      </c>
      <c r="P294" s="20" t="str">
        <f aca="false">IF(J294&gt;0,IF(J294&lt;5000,"PASS","FLAG - Review Price"),"FAIL - Zero Price")</f>
        <v>PASS</v>
      </c>
      <c r="Q294" s="20" t="str">
        <f aca="false">IF('Raw Catalog'!P292&lt;&gt;"","PASS","FAIL - No Image")</f>
        <v>PASS</v>
      </c>
      <c r="R294" s="20" t="str">
        <f aca="false">IF(F294&lt;&gt;"","PASS","FAIL - No Brand")</f>
        <v>PASS</v>
      </c>
      <c r="S294" s="20" t="str">
        <f aca="true">IF(K294="","FAIL - No Date",IF(TODAY()-DATEVALUE(K294)&lt;=180,"PASS","FLAG - Stale &gt;180d"))</f>
        <v>FLAG - Stale &gt;180d</v>
      </c>
      <c r="T294" s="20" t="n">
        <f aca="false">COUNTIF(M294:S294,"FAIL*")+COUNTIF(M294:S294,"FLAG*")</f>
        <v>1</v>
      </c>
      <c r="U294" s="20" t="str">
        <f aca="false">IF(T294=0,"CLEAN",IF(T294=1,"MINOR",IF(T294&lt;=3,"MODERATE","CRITICAL")))</f>
        <v>MINOR</v>
      </c>
      <c r="V294" s="20" t="str">
        <f aca="false">IF(U294="CLEAN","None",IF(U294="MINOR","Seller Notify",IF(U294="MODERATE","Listing Suspended","Immediate Removal")))</f>
        <v>Seller Notify</v>
      </c>
    </row>
    <row r="295" customFormat="false" ht="18" hidden="false" customHeight="true" outlineLevel="0" collapsed="false">
      <c r="A295" s="19" t="s">
        <v>6372</v>
      </c>
      <c r="B295" s="19" t="s">
        <v>2285</v>
      </c>
      <c r="C295" s="19" t="s">
        <v>113</v>
      </c>
      <c r="D295" s="19" t="s">
        <v>114</v>
      </c>
      <c r="E295" s="19" t="s">
        <v>161</v>
      </c>
      <c r="F295" s="19" t="s">
        <v>51</v>
      </c>
      <c r="G295" s="19" t="s">
        <v>2287</v>
      </c>
      <c r="H295" s="19" t="s">
        <v>2288</v>
      </c>
      <c r="I295" s="19" t="s">
        <v>2289</v>
      </c>
      <c r="J295" s="19" t="n">
        <v>484.49</v>
      </c>
      <c r="K295" s="19" t="s">
        <v>282</v>
      </c>
      <c r="L295" s="19"/>
      <c r="M295" s="20" t="str">
        <f aca="false">IF(G295&lt;&gt;"","PASS","FAIL - Missing UPC")</f>
        <v>PASS</v>
      </c>
      <c r="N295" s="20" t="str">
        <f aca="false">IF(AND(G295&lt;&gt;"",H295&lt;&gt;""),IF("0"&amp;G295=H295,"PASS","FAIL - GTIN Mismatch"),"SKIP")</f>
        <v>PASS</v>
      </c>
      <c r="O295" s="20" t="str">
        <f aca="false">IF(I295="","FAIL - No Title",IF(LEN(I295)&lt;=126,"PASS","FAIL - Title &gt;"&amp;126&amp;" chars"))</f>
        <v>PASS</v>
      </c>
      <c r="P295" s="20" t="str">
        <f aca="false">IF(J295&gt;0,IF(J295&lt;5000,"PASS","FLAG - Review Price"),"FAIL - Zero Price")</f>
        <v>PASS</v>
      </c>
      <c r="Q295" s="20" t="str">
        <f aca="false">IF('Raw Catalog'!P293&lt;&gt;"","PASS","FAIL - No Image")</f>
        <v>PASS</v>
      </c>
      <c r="R295" s="20" t="str">
        <f aca="false">IF(F295&lt;&gt;"","PASS","FAIL - No Brand")</f>
        <v>PASS</v>
      </c>
      <c r="S295" s="20" t="str">
        <f aca="true">IF(K295="","FAIL - No Date",IF(TODAY()-DATEVALUE(K295)&lt;=180,"PASS","FLAG - Stale &gt;180d"))</f>
        <v>FLAG - Stale &gt;180d</v>
      </c>
      <c r="T295" s="20" t="n">
        <f aca="false">COUNTIF(M295:S295,"FAIL*")+COUNTIF(M295:S295,"FLAG*")</f>
        <v>1</v>
      </c>
      <c r="U295" s="20" t="str">
        <f aca="false">IF(T295=0,"CLEAN",IF(T295=1,"MINOR",IF(T295&lt;=3,"MODERATE","CRITICAL")))</f>
        <v>MINOR</v>
      </c>
      <c r="V295" s="20" t="str">
        <f aca="false">IF(U295="CLEAN","None",IF(U295="MINOR","Seller Notify",IF(U295="MODERATE","Listing Suspended","Immediate Removal")))</f>
        <v>Seller Notify</v>
      </c>
    </row>
    <row r="296" customFormat="false" ht="18" hidden="false" customHeight="true" outlineLevel="0" collapsed="false">
      <c r="A296" s="19" t="s">
        <v>6373</v>
      </c>
      <c r="B296" s="19" t="s">
        <v>2290</v>
      </c>
      <c r="C296" s="19" t="s">
        <v>48</v>
      </c>
      <c r="D296" s="19" t="s">
        <v>49</v>
      </c>
      <c r="E296" s="19" t="s">
        <v>65</v>
      </c>
      <c r="F296" s="19" t="s">
        <v>438</v>
      </c>
      <c r="G296" s="19" t="s">
        <v>2292</v>
      </c>
      <c r="H296" s="19" t="s">
        <v>2293</v>
      </c>
      <c r="I296" s="19" t="s">
        <v>885</v>
      </c>
      <c r="J296" s="19" t="n">
        <v>448.19</v>
      </c>
      <c r="K296" s="19" t="s">
        <v>1517</v>
      </c>
      <c r="L296" s="19"/>
      <c r="M296" s="20" t="str">
        <f aca="false">IF(G296&lt;&gt;"","PASS","FAIL - Missing UPC")</f>
        <v>PASS</v>
      </c>
      <c r="N296" s="20" t="str">
        <f aca="false">IF(AND(G296&lt;&gt;"",H296&lt;&gt;""),IF("0"&amp;G296=H296,"PASS","FAIL - GTIN Mismatch"),"SKIP")</f>
        <v>PASS</v>
      </c>
      <c r="O296" s="20" t="str">
        <f aca="false">IF(I296="","FAIL - No Title",IF(LEN(I296)&lt;=126,"PASS","FAIL - Title &gt;"&amp;126&amp;" chars"))</f>
        <v>PASS</v>
      </c>
      <c r="P296" s="20" t="str">
        <f aca="false">IF(J296&gt;0,IF(J296&lt;5000,"PASS","FLAG - Review Price"),"FAIL - Zero Price")</f>
        <v>PASS</v>
      </c>
      <c r="Q296" s="20" t="str">
        <f aca="false">IF('Raw Catalog'!P294&lt;&gt;"","PASS","FAIL - No Image")</f>
        <v>PASS</v>
      </c>
      <c r="R296" s="20" t="str">
        <f aca="false">IF(F296&lt;&gt;"","PASS","FAIL - No Brand")</f>
        <v>PASS</v>
      </c>
      <c r="S296" s="20" t="str">
        <f aca="true">IF(K296="","FAIL - No Date",IF(TODAY()-DATEVALUE(K296)&lt;=180,"PASS","FLAG - Stale &gt;180d"))</f>
        <v>FLAG - Stale &gt;180d</v>
      </c>
      <c r="T296" s="20" t="n">
        <f aca="false">COUNTIF(M296:S296,"FAIL*")+COUNTIF(M296:S296,"FLAG*")</f>
        <v>1</v>
      </c>
      <c r="U296" s="20" t="str">
        <f aca="false">IF(T296=0,"CLEAN",IF(T296=1,"MINOR",IF(T296&lt;=3,"MODERATE","CRITICAL")))</f>
        <v>MINOR</v>
      </c>
      <c r="V296" s="20" t="str">
        <f aca="false">IF(U296="CLEAN","None",IF(U296="MINOR","Seller Notify",IF(U296="MODERATE","Listing Suspended","Immediate Removal")))</f>
        <v>Seller Notify</v>
      </c>
    </row>
    <row r="297" customFormat="false" ht="18" hidden="false" customHeight="true" outlineLevel="0" collapsed="false">
      <c r="A297" s="19" t="s">
        <v>6374</v>
      </c>
      <c r="B297" s="19" t="s">
        <v>2294</v>
      </c>
      <c r="C297" s="19" t="s">
        <v>113</v>
      </c>
      <c r="D297" s="19" t="s">
        <v>114</v>
      </c>
      <c r="E297" s="19" t="s">
        <v>79</v>
      </c>
      <c r="F297" s="19" t="s">
        <v>956</v>
      </c>
      <c r="G297" s="19" t="s">
        <v>2296</v>
      </c>
      <c r="H297" s="19" t="s">
        <v>2297</v>
      </c>
      <c r="I297" s="19" t="s">
        <v>2298</v>
      </c>
      <c r="J297" s="19" t="n">
        <v>1360.89</v>
      </c>
      <c r="K297" s="19" t="s">
        <v>2300</v>
      </c>
      <c r="L297" s="19"/>
      <c r="M297" s="20" t="str">
        <f aca="false">IF(G297&lt;&gt;"","PASS","FAIL - Missing UPC")</f>
        <v>PASS</v>
      </c>
      <c r="N297" s="20" t="str">
        <f aca="false">IF(AND(G297&lt;&gt;"",H297&lt;&gt;""),IF("0"&amp;G297=H297,"PASS","FAIL - GTIN Mismatch"),"SKIP")</f>
        <v>PASS</v>
      </c>
      <c r="O297" s="20" t="str">
        <f aca="false">IF(I297="","FAIL - No Title",IF(LEN(I297)&lt;=126,"PASS","FAIL - Title &gt;"&amp;126&amp;" chars"))</f>
        <v>PASS</v>
      </c>
      <c r="P297" s="20" t="str">
        <f aca="false">IF(J297&gt;0,IF(J297&lt;5000,"PASS","FLAG - Review Price"),"FAIL - Zero Price")</f>
        <v>PASS</v>
      </c>
      <c r="Q297" s="20" t="str">
        <f aca="false">IF('Raw Catalog'!P295&lt;&gt;"","PASS","FAIL - No Image")</f>
        <v>PASS</v>
      </c>
      <c r="R297" s="20" t="str">
        <f aca="false">IF(F297&lt;&gt;"","PASS","FAIL - No Brand")</f>
        <v>PASS</v>
      </c>
      <c r="S297" s="20" t="str">
        <f aca="true">IF(K297="","FAIL - No Date",IF(TODAY()-DATEVALUE(K297)&lt;=180,"PASS","FLAG - Stale &gt;180d"))</f>
        <v>FLAG - Stale &gt;180d</v>
      </c>
      <c r="T297" s="20" t="n">
        <f aca="false">COUNTIF(M297:S297,"FAIL*")+COUNTIF(M297:S297,"FLAG*")</f>
        <v>1</v>
      </c>
      <c r="U297" s="20" t="str">
        <f aca="false">IF(T297=0,"CLEAN",IF(T297=1,"MINOR",IF(T297&lt;=3,"MODERATE","CRITICAL")))</f>
        <v>MINOR</v>
      </c>
      <c r="V297" s="20" t="str">
        <f aca="false">IF(U297="CLEAN","None",IF(U297="MINOR","Seller Notify",IF(U297="MODERATE","Listing Suspended","Immediate Removal")))</f>
        <v>Seller Notify</v>
      </c>
    </row>
    <row r="298" customFormat="false" ht="18" hidden="false" customHeight="true" outlineLevel="0" collapsed="false">
      <c r="A298" s="19" t="s">
        <v>6375</v>
      </c>
      <c r="B298" s="19" t="s">
        <v>2301</v>
      </c>
      <c r="C298" s="19" t="s">
        <v>173</v>
      </c>
      <c r="D298" s="19" t="s">
        <v>174</v>
      </c>
      <c r="E298" s="19" t="s">
        <v>65</v>
      </c>
      <c r="F298" s="19" t="s">
        <v>371</v>
      </c>
      <c r="G298" s="19" t="s">
        <v>2303</v>
      </c>
      <c r="H298" s="19" t="s">
        <v>2304</v>
      </c>
      <c r="I298" s="19" t="s">
        <v>2106</v>
      </c>
      <c r="J298" s="19" t="n">
        <v>103.33</v>
      </c>
      <c r="K298" s="19" t="s">
        <v>2305</v>
      </c>
      <c r="L298" s="19"/>
      <c r="M298" s="20" t="str">
        <f aca="false">IF(G298&lt;&gt;"","PASS","FAIL - Missing UPC")</f>
        <v>PASS</v>
      </c>
      <c r="N298" s="20" t="str">
        <f aca="false">IF(AND(G298&lt;&gt;"",H298&lt;&gt;""),IF("0"&amp;G298=H298,"PASS","FAIL - GTIN Mismatch"),"SKIP")</f>
        <v>PASS</v>
      </c>
      <c r="O298" s="20" t="str">
        <f aca="false">IF(I298="","FAIL - No Title",IF(LEN(I298)&lt;=126,"PASS","FAIL - Title &gt;"&amp;126&amp;" chars"))</f>
        <v>PASS</v>
      </c>
      <c r="P298" s="20" t="str">
        <f aca="false">IF(J298&gt;0,IF(J298&lt;5000,"PASS","FLAG - Review Price"),"FAIL - Zero Price")</f>
        <v>PASS</v>
      </c>
      <c r="Q298" s="20" t="str">
        <f aca="false">IF('Raw Catalog'!P296&lt;&gt;"","PASS","FAIL - No Image")</f>
        <v>PASS</v>
      </c>
      <c r="R298" s="20" t="str">
        <f aca="false">IF(F298&lt;&gt;"","PASS","FAIL - No Brand")</f>
        <v>PASS</v>
      </c>
      <c r="S298" s="20" t="str">
        <f aca="true">IF(K298="","FAIL - No Date",IF(TODAY()-DATEVALUE(K298)&lt;=180,"PASS","FLAG - Stale &gt;180d"))</f>
        <v>FLAG - Stale &gt;180d</v>
      </c>
      <c r="T298" s="20" t="n">
        <f aca="false">COUNTIF(M298:S298,"FAIL*")+COUNTIF(M298:S298,"FLAG*")</f>
        <v>1</v>
      </c>
      <c r="U298" s="20" t="str">
        <f aca="false">IF(T298=0,"CLEAN",IF(T298=1,"MINOR",IF(T298&lt;=3,"MODERATE","CRITICAL")))</f>
        <v>MINOR</v>
      </c>
      <c r="V298" s="20" t="str">
        <f aca="false">IF(U298="CLEAN","None",IF(U298="MINOR","Seller Notify",IF(U298="MODERATE","Listing Suspended","Immediate Removal")))</f>
        <v>Seller Notify</v>
      </c>
    </row>
    <row r="299" customFormat="false" ht="18" hidden="false" customHeight="true" outlineLevel="0" collapsed="false">
      <c r="A299" s="19" t="s">
        <v>6376</v>
      </c>
      <c r="B299" s="19" t="s">
        <v>2306</v>
      </c>
      <c r="C299" s="19" t="s">
        <v>159</v>
      </c>
      <c r="D299" s="19" t="s">
        <v>160</v>
      </c>
      <c r="E299" s="19" t="s">
        <v>79</v>
      </c>
      <c r="F299" s="19" t="s">
        <v>513</v>
      </c>
      <c r="G299" s="19" t="s">
        <v>2308</v>
      </c>
      <c r="H299" s="19" t="s">
        <v>2309</v>
      </c>
      <c r="I299" s="19" t="s">
        <v>2310</v>
      </c>
      <c r="J299" s="19" t="n">
        <v>885.56</v>
      </c>
      <c r="K299" s="19" t="s">
        <v>1055</v>
      </c>
      <c r="L299" s="19"/>
      <c r="M299" s="20" t="str">
        <f aca="false">IF(G299&lt;&gt;"","PASS","FAIL - Missing UPC")</f>
        <v>PASS</v>
      </c>
      <c r="N299" s="20" t="str">
        <f aca="false">IF(AND(G299&lt;&gt;"",H299&lt;&gt;""),IF("0"&amp;G299=H299,"PASS","FAIL - GTIN Mismatch"),"SKIP")</f>
        <v>PASS</v>
      </c>
      <c r="O299" s="20" t="str">
        <f aca="false">IF(I299="","FAIL - No Title",IF(LEN(I299)&lt;=126,"PASS","FAIL - Title &gt;"&amp;126&amp;" chars"))</f>
        <v>PASS</v>
      </c>
      <c r="P299" s="20" t="str">
        <f aca="false">IF(J299&gt;0,IF(J299&lt;5000,"PASS","FLAG - Review Price"),"FAIL - Zero Price")</f>
        <v>PASS</v>
      </c>
      <c r="Q299" s="20" t="str">
        <f aca="false">IF('Raw Catalog'!P297&lt;&gt;"","PASS","FAIL - No Image")</f>
        <v>PASS</v>
      </c>
      <c r="R299" s="20" t="str">
        <f aca="false">IF(F299&lt;&gt;"","PASS","FAIL - No Brand")</f>
        <v>PASS</v>
      </c>
      <c r="S299" s="20" t="str">
        <f aca="true">IF(K299="","FAIL - No Date",IF(TODAY()-DATEVALUE(K299)&lt;=180,"PASS","FLAG - Stale &gt;180d"))</f>
        <v>FLAG - Stale &gt;180d</v>
      </c>
      <c r="T299" s="20" t="n">
        <f aca="false">COUNTIF(M299:S299,"FAIL*")+COUNTIF(M299:S299,"FLAG*")</f>
        <v>1</v>
      </c>
      <c r="U299" s="20" t="str">
        <f aca="false">IF(T299=0,"CLEAN",IF(T299=1,"MINOR",IF(T299&lt;=3,"MODERATE","CRITICAL")))</f>
        <v>MINOR</v>
      </c>
      <c r="V299" s="20" t="str">
        <f aca="false">IF(U299="CLEAN","None",IF(U299="MINOR","Seller Notify",IF(U299="MODERATE","Listing Suspended","Immediate Removal")))</f>
        <v>Seller Notify</v>
      </c>
    </row>
    <row r="300" customFormat="false" ht="18" hidden="false" customHeight="true" outlineLevel="0" collapsed="false">
      <c r="A300" s="19" t="s">
        <v>6377</v>
      </c>
      <c r="B300" s="19" t="s">
        <v>2312</v>
      </c>
      <c r="C300" s="19" t="s">
        <v>63</v>
      </c>
      <c r="D300" s="19" t="s">
        <v>64</v>
      </c>
      <c r="E300" s="19" t="s">
        <v>65</v>
      </c>
      <c r="F300" s="19" t="s">
        <v>227</v>
      </c>
      <c r="G300" s="19" t="s">
        <v>2314</v>
      </c>
      <c r="H300" s="19" t="s">
        <v>2315</v>
      </c>
      <c r="I300" s="19" t="s">
        <v>1791</v>
      </c>
      <c r="J300" s="19" t="n">
        <v>269.89</v>
      </c>
      <c r="K300" s="19" t="s">
        <v>1055</v>
      </c>
      <c r="L300" s="19"/>
      <c r="M300" s="20" t="str">
        <f aca="false">IF(G300&lt;&gt;"","PASS","FAIL - Missing UPC")</f>
        <v>PASS</v>
      </c>
      <c r="N300" s="20" t="str">
        <f aca="false">IF(AND(G300&lt;&gt;"",H300&lt;&gt;""),IF("0"&amp;G300=H300,"PASS","FAIL - GTIN Mismatch"),"SKIP")</f>
        <v>PASS</v>
      </c>
      <c r="O300" s="20" t="str">
        <f aca="false">IF(I300="","FAIL - No Title",IF(LEN(I300)&lt;=126,"PASS","FAIL - Title &gt;"&amp;126&amp;" chars"))</f>
        <v>PASS</v>
      </c>
      <c r="P300" s="20" t="str">
        <f aca="false">IF(J300&gt;0,IF(J300&lt;5000,"PASS","FLAG - Review Price"),"FAIL - Zero Price")</f>
        <v>PASS</v>
      </c>
      <c r="Q300" s="20" t="str">
        <f aca="false">IF('Raw Catalog'!P298&lt;&gt;"","PASS","FAIL - No Image")</f>
        <v>PASS</v>
      </c>
      <c r="R300" s="20" t="str">
        <f aca="false">IF(F300&lt;&gt;"","PASS","FAIL - No Brand")</f>
        <v>PASS</v>
      </c>
      <c r="S300" s="20" t="str">
        <f aca="true">IF(K300="","FAIL - No Date",IF(TODAY()-DATEVALUE(K300)&lt;=180,"PASS","FLAG - Stale &gt;180d"))</f>
        <v>FLAG - Stale &gt;180d</v>
      </c>
      <c r="T300" s="20" t="n">
        <f aca="false">COUNTIF(M300:S300,"FAIL*")+COUNTIF(M300:S300,"FLAG*")</f>
        <v>1</v>
      </c>
      <c r="U300" s="20" t="str">
        <f aca="false">IF(T300=0,"CLEAN",IF(T300=1,"MINOR",IF(T300&lt;=3,"MODERATE","CRITICAL")))</f>
        <v>MINOR</v>
      </c>
      <c r="V300" s="20" t="str">
        <f aca="false">IF(U300="CLEAN","None",IF(U300="MINOR","Seller Notify",IF(U300="MODERATE","Listing Suspended","Immediate Removal")))</f>
        <v>Seller Notify</v>
      </c>
    </row>
    <row r="301" customFormat="false" ht="18" hidden="false" customHeight="true" outlineLevel="0" collapsed="false">
      <c r="A301" s="19" t="s">
        <v>6378</v>
      </c>
      <c r="B301" s="19" t="s">
        <v>2316</v>
      </c>
      <c r="C301" s="19" t="s">
        <v>48</v>
      </c>
      <c r="D301" s="19" t="s">
        <v>49</v>
      </c>
      <c r="E301" s="19" t="s">
        <v>50</v>
      </c>
      <c r="F301" s="19" t="s">
        <v>503</v>
      </c>
      <c r="G301" s="19" t="s">
        <v>2318</v>
      </c>
      <c r="H301" s="19" t="s">
        <v>2319</v>
      </c>
      <c r="I301" s="19" t="s">
        <v>2320</v>
      </c>
      <c r="J301" s="19" t="n">
        <v>399.5</v>
      </c>
      <c r="K301" s="19" t="s">
        <v>2322</v>
      </c>
      <c r="L301" s="19"/>
      <c r="M301" s="20" t="str">
        <f aca="false">IF(G301&lt;&gt;"","PASS","FAIL - Missing UPC")</f>
        <v>PASS</v>
      </c>
      <c r="N301" s="20" t="str">
        <f aca="false">IF(AND(G301&lt;&gt;"",H301&lt;&gt;""),IF("0"&amp;G301=H301,"PASS","FAIL - GTIN Mismatch"),"SKIP")</f>
        <v>PASS</v>
      </c>
      <c r="O301" s="20" t="str">
        <f aca="false">IF(I301="","FAIL - No Title",IF(LEN(I301)&lt;=126,"PASS","FAIL - Title &gt;"&amp;126&amp;" chars"))</f>
        <v>PASS</v>
      </c>
      <c r="P301" s="20" t="str">
        <f aca="false">IF(J301&gt;0,IF(J301&lt;5000,"PASS","FLAG - Review Price"),"FAIL - Zero Price")</f>
        <v>PASS</v>
      </c>
      <c r="Q301" s="20" t="str">
        <f aca="false">IF('Raw Catalog'!P299&lt;&gt;"","PASS","FAIL - No Image")</f>
        <v>PASS</v>
      </c>
      <c r="R301" s="20" t="str">
        <f aca="false">IF(F301&lt;&gt;"","PASS","FAIL - No Brand")</f>
        <v>PASS</v>
      </c>
      <c r="S301" s="20" t="str">
        <f aca="true">IF(K301="","FAIL - No Date",IF(TODAY()-DATEVALUE(K301)&lt;=180,"PASS","FLAG - Stale &gt;180d"))</f>
        <v>FLAG - Stale &gt;180d</v>
      </c>
      <c r="T301" s="20" t="n">
        <f aca="false">COUNTIF(M301:S301,"FAIL*")+COUNTIF(M301:S301,"FLAG*")</f>
        <v>1</v>
      </c>
      <c r="U301" s="20" t="str">
        <f aca="false">IF(T301=0,"CLEAN",IF(T301=1,"MINOR",IF(T301&lt;=3,"MODERATE","CRITICAL")))</f>
        <v>MINOR</v>
      </c>
      <c r="V301" s="20" t="str">
        <f aca="false">IF(U301="CLEAN","None",IF(U301="MINOR","Seller Notify",IF(U301="MODERATE","Listing Suspended","Immediate Removal")))</f>
        <v>Seller Notify</v>
      </c>
    </row>
    <row r="302" customFormat="false" ht="18" hidden="false" customHeight="true" outlineLevel="0" collapsed="false">
      <c r="A302" s="19" t="s">
        <v>6379</v>
      </c>
      <c r="B302" s="19" t="s">
        <v>2323</v>
      </c>
      <c r="C302" s="19" t="s">
        <v>173</v>
      </c>
      <c r="D302" s="19" t="s">
        <v>174</v>
      </c>
      <c r="E302" s="19" t="s">
        <v>161</v>
      </c>
      <c r="F302" s="19" t="s">
        <v>185</v>
      </c>
      <c r="G302" s="19" t="s">
        <v>2325</v>
      </c>
      <c r="H302" s="19" t="s">
        <v>2326</v>
      </c>
      <c r="I302" s="19" t="s">
        <v>640</v>
      </c>
      <c r="J302" s="19" t="n">
        <v>425.55</v>
      </c>
      <c r="K302" s="19" t="s">
        <v>2261</v>
      </c>
      <c r="L302" s="19"/>
      <c r="M302" s="20" t="str">
        <f aca="false">IF(G302&lt;&gt;"","PASS","FAIL - Missing UPC")</f>
        <v>PASS</v>
      </c>
      <c r="N302" s="20" t="str">
        <f aca="false">IF(AND(G302&lt;&gt;"",H302&lt;&gt;""),IF("0"&amp;G302=H302,"PASS","FAIL - GTIN Mismatch"),"SKIP")</f>
        <v>PASS</v>
      </c>
      <c r="O302" s="20" t="str">
        <f aca="false">IF(I302="","FAIL - No Title",IF(LEN(I302)&lt;=126,"PASS","FAIL - Title &gt;"&amp;126&amp;" chars"))</f>
        <v>PASS</v>
      </c>
      <c r="P302" s="20" t="str">
        <f aca="false">IF(J302&gt;0,IF(J302&lt;5000,"PASS","FLAG - Review Price"),"FAIL - Zero Price")</f>
        <v>PASS</v>
      </c>
      <c r="Q302" s="20" t="str">
        <f aca="false">IF('Raw Catalog'!P300&lt;&gt;"","PASS","FAIL - No Image")</f>
        <v>PASS</v>
      </c>
      <c r="R302" s="20" t="str">
        <f aca="false">IF(F302&lt;&gt;"","PASS","FAIL - No Brand")</f>
        <v>PASS</v>
      </c>
      <c r="S302" s="20" t="str">
        <f aca="true">IF(K302="","FAIL - No Date",IF(TODAY()-DATEVALUE(K302)&lt;=180,"PASS","FLAG - Stale &gt;180d"))</f>
        <v>FLAG - Stale &gt;180d</v>
      </c>
      <c r="T302" s="20" t="n">
        <f aca="false">COUNTIF(M302:S302,"FAIL*")+COUNTIF(M302:S302,"FLAG*")</f>
        <v>1</v>
      </c>
      <c r="U302" s="20" t="str">
        <f aca="false">IF(T302=0,"CLEAN",IF(T302=1,"MINOR",IF(T302&lt;=3,"MODERATE","CRITICAL")))</f>
        <v>MINOR</v>
      </c>
      <c r="V302" s="20" t="str">
        <f aca="false">IF(U302="CLEAN","None",IF(U302="MINOR","Seller Notify",IF(U302="MODERATE","Listing Suspended","Immediate Removal")))</f>
        <v>Seller Notify</v>
      </c>
    </row>
    <row r="303" customFormat="false" ht="18" hidden="false" customHeight="true" outlineLevel="0" collapsed="false">
      <c r="A303" s="19" t="s">
        <v>6380</v>
      </c>
      <c r="B303" s="19" t="s">
        <v>2328</v>
      </c>
      <c r="C303" s="19" t="s">
        <v>113</v>
      </c>
      <c r="D303" s="19" t="s">
        <v>114</v>
      </c>
      <c r="E303" s="19" t="s">
        <v>50</v>
      </c>
      <c r="F303" s="19" t="s">
        <v>51</v>
      </c>
      <c r="G303" s="19" t="s">
        <v>2330</v>
      </c>
      <c r="H303" s="19" t="s">
        <v>2331</v>
      </c>
      <c r="I303" s="19" t="s">
        <v>2332</v>
      </c>
      <c r="J303" s="19" t="n">
        <v>877.58</v>
      </c>
      <c r="K303" s="19" t="s">
        <v>2333</v>
      </c>
      <c r="L303" s="19"/>
      <c r="M303" s="20" t="str">
        <f aca="false">IF(G303&lt;&gt;"","PASS","FAIL - Missing UPC")</f>
        <v>PASS</v>
      </c>
      <c r="N303" s="20" t="str">
        <f aca="false">IF(AND(G303&lt;&gt;"",H303&lt;&gt;""),IF("0"&amp;G303=H303,"PASS","FAIL - GTIN Mismatch"),"SKIP")</f>
        <v>PASS</v>
      </c>
      <c r="O303" s="20" t="str">
        <f aca="false">IF(I303="","FAIL - No Title",IF(LEN(I303)&lt;=126,"PASS","FAIL - Title &gt;"&amp;126&amp;" chars"))</f>
        <v>PASS</v>
      </c>
      <c r="P303" s="20" t="str">
        <f aca="false">IF(J303&gt;0,IF(J303&lt;5000,"PASS","FLAG - Review Price"),"FAIL - Zero Price")</f>
        <v>PASS</v>
      </c>
      <c r="Q303" s="20" t="str">
        <f aca="false">IF('Raw Catalog'!P301&lt;&gt;"","PASS","FAIL - No Image")</f>
        <v>PASS</v>
      </c>
      <c r="R303" s="20" t="str">
        <f aca="false">IF(F303&lt;&gt;"","PASS","FAIL - No Brand")</f>
        <v>PASS</v>
      </c>
      <c r="S303" s="20" t="str">
        <f aca="true">IF(K303="","FAIL - No Date",IF(TODAY()-DATEVALUE(K303)&lt;=180,"PASS","FLAG - Stale &gt;180d"))</f>
        <v>FLAG - Stale &gt;180d</v>
      </c>
      <c r="T303" s="20" t="n">
        <f aca="false">COUNTIF(M303:S303,"FAIL*")+COUNTIF(M303:S303,"FLAG*")</f>
        <v>1</v>
      </c>
      <c r="U303" s="20" t="str">
        <f aca="false">IF(T303=0,"CLEAN",IF(T303=1,"MINOR",IF(T303&lt;=3,"MODERATE","CRITICAL")))</f>
        <v>MINOR</v>
      </c>
      <c r="V303" s="20" t="str">
        <f aca="false">IF(U303="CLEAN","None",IF(U303="MINOR","Seller Notify",IF(U303="MODERATE","Listing Suspended","Immediate Removal")))</f>
        <v>Seller Notify</v>
      </c>
    </row>
    <row r="304" customFormat="false" ht="18" hidden="false" customHeight="true" outlineLevel="0" collapsed="false">
      <c r="A304" s="19" t="s">
        <v>6381</v>
      </c>
      <c r="B304" s="19" t="s">
        <v>2334</v>
      </c>
      <c r="C304" s="19" t="s">
        <v>77</v>
      </c>
      <c r="D304" s="19" t="s">
        <v>78</v>
      </c>
      <c r="E304" s="19" t="s">
        <v>50</v>
      </c>
      <c r="F304" s="19"/>
      <c r="G304" s="19" t="s">
        <v>2336</v>
      </c>
      <c r="H304" s="19" t="s">
        <v>2337</v>
      </c>
      <c r="I304" s="19" t="s">
        <v>2338</v>
      </c>
      <c r="J304" s="19" t="n">
        <v>1072.24</v>
      </c>
      <c r="K304" s="19" t="s">
        <v>2342</v>
      </c>
      <c r="L304" s="21" t="s">
        <v>325</v>
      </c>
      <c r="M304" s="20" t="str">
        <f aca="false">IF(G304&lt;&gt;"","PASS","FAIL - Missing UPC")</f>
        <v>PASS</v>
      </c>
      <c r="N304" s="20" t="str">
        <f aca="false">IF(AND(G304&lt;&gt;"",H304&lt;&gt;""),IF("0"&amp;G304=H304,"PASS","FAIL - GTIN Mismatch"),"SKIP")</f>
        <v>PASS</v>
      </c>
      <c r="O304" s="20" t="str">
        <f aca="false">IF(I304="","FAIL - No Title",IF(LEN(I304)&lt;=126,"PASS","FAIL - Title &gt;"&amp;126&amp;" chars"))</f>
        <v>PASS</v>
      </c>
      <c r="P304" s="20" t="str">
        <f aca="false">IF(J304&gt;0,IF(J304&lt;5000,"PASS","FLAG - Review Price"),"FAIL - Zero Price")</f>
        <v>PASS</v>
      </c>
      <c r="Q304" s="20" t="str">
        <f aca="false">IF('Raw Catalog'!P302&lt;&gt;"","PASS","FAIL - No Image")</f>
        <v>PASS</v>
      </c>
      <c r="R304" s="20" t="str">
        <f aca="false">IF(F304&lt;&gt;"","PASS","FAIL - No Brand")</f>
        <v>FAIL - No Brand</v>
      </c>
      <c r="S304" s="20" t="str">
        <f aca="true">IF(K304="","FAIL - No Date",IF(TODAY()-DATEVALUE(K304)&lt;=180,"PASS","FLAG - Stale &gt;180d"))</f>
        <v>FLAG - Stale &gt;180d</v>
      </c>
      <c r="T304" s="20" t="n">
        <f aca="false">COUNTIF(M304:S304,"FAIL*")+COUNTIF(M304:S304,"FLAG*")</f>
        <v>2</v>
      </c>
      <c r="U304" s="20" t="str">
        <f aca="false">IF(T304=0,"CLEAN",IF(T304=1,"MINOR",IF(T304&lt;=3,"MODERATE","CRITICAL")))</f>
        <v>MODERATE</v>
      </c>
      <c r="V304" s="20" t="str">
        <f aca="false">IF(U304="CLEAN","None",IF(U304="MINOR","Seller Notify",IF(U304="MODERATE","Listing Suspended","Immediate Removal")))</f>
        <v>Listing Suspended</v>
      </c>
    </row>
    <row r="305" customFormat="false" ht="18" hidden="false" customHeight="true" outlineLevel="0" collapsed="false">
      <c r="A305" s="19" t="s">
        <v>6382</v>
      </c>
      <c r="B305" s="19" t="s">
        <v>2343</v>
      </c>
      <c r="C305" s="19" t="s">
        <v>255</v>
      </c>
      <c r="D305" s="19" t="s">
        <v>256</v>
      </c>
      <c r="E305" s="19" t="s">
        <v>65</v>
      </c>
      <c r="F305" s="19" t="s">
        <v>371</v>
      </c>
      <c r="G305" s="19" t="s">
        <v>2345</v>
      </c>
      <c r="H305" s="19" t="s">
        <v>2346</v>
      </c>
      <c r="I305" s="19" t="s">
        <v>1398</v>
      </c>
      <c r="J305" s="19" t="n">
        <v>405.7</v>
      </c>
      <c r="K305" s="19" t="s">
        <v>653</v>
      </c>
      <c r="L305" s="19"/>
      <c r="M305" s="20" t="str">
        <f aca="false">IF(G305&lt;&gt;"","PASS","FAIL - Missing UPC")</f>
        <v>PASS</v>
      </c>
      <c r="N305" s="20" t="str">
        <f aca="false">IF(AND(G305&lt;&gt;"",H305&lt;&gt;""),IF("0"&amp;G305=H305,"PASS","FAIL - GTIN Mismatch"),"SKIP")</f>
        <v>PASS</v>
      </c>
      <c r="O305" s="20" t="str">
        <f aca="false">IF(I305="","FAIL - No Title",IF(LEN(I305)&lt;=126,"PASS","FAIL - Title &gt;"&amp;126&amp;" chars"))</f>
        <v>PASS</v>
      </c>
      <c r="P305" s="20" t="str">
        <f aca="false">IF(J305&gt;0,IF(J305&lt;5000,"PASS","FLAG - Review Price"),"FAIL - Zero Price")</f>
        <v>PASS</v>
      </c>
      <c r="Q305" s="20" t="str">
        <f aca="false">IF('Raw Catalog'!P303&lt;&gt;"","PASS","FAIL - No Image")</f>
        <v>PASS</v>
      </c>
      <c r="R305" s="20" t="str">
        <f aca="false">IF(F305&lt;&gt;"","PASS","FAIL - No Brand")</f>
        <v>PASS</v>
      </c>
      <c r="S305" s="20" t="str">
        <f aca="true">IF(K305="","FAIL - No Date",IF(TODAY()-DATEVALUE(K305)&lt;=180,"PASS","FLAG - Stale &gt;180d"))</f>
        <v>FLAG - Stale &gt;180d</v>
      </c>
      <c r="T305" s="20" t="n">
        <f aca="false">COUNTIF(M305:S305,"FAIL*")+COUNTIF(M305:S305,"FLAG*")</f>
        <v>1</v>
      </c>
      <c r="U305" s="20" t="str">
        <f aca="false">IF(T305=0,"CLEAN",IF(T305=1,"MINOR",IF(T305&lt;=3,"MODERATE","CRITICAL")))</f>
        <v>MINOR</v>
      </c>
      <c r="V305" s="20" t="str">
        <f aca="false">IF(U305="CLEAN","None",IF(U305="MINOR","Seller Notify",IF(U305="MODERATE","Listing Suspended","Immediate Removal")))</f>
        <v>Seller Notify</v>
      </c>
    </row>
    <row r="306" customFormat="false" ht="18" hidden="false" customHeight="true" outlineLevel="0" collapsed="false">
      <c r="A306" s="19" t="s">
        <v>6383</v>
      </c>
      <c r="B306" s="19" t="s">
        <v>2347</v>
      </c>
      <c r="C306" s="19" t="s">
        <v>77</v>
      </c>
      <c r="D306" s="19" t="s">
        <v>78</v>
      </c>
      <c r="E306" s="19" t="s">
        <v>65</v>
      </c>
      <c r="F306" s="19" t="s">
        <v>66</v>
      </c>
      <c r="G306" s="19" t="s">
        <v>2349</v>
      </c>
      <c r="H306" s="19" t="s">
        <v>2350</v>
      </c>
      <c r="I306" s="19" t="s">
        <v>649</v>
      </c>
      <c r="J306" s="19" t="n">
        <v>301.73</v>
      </c>
      <c r="K306" s="19" t="s">
        <v>554</v>
      </c>
      <c r="L306" s="19"/>
      <c r="M306" s="20" t="str">
        <f aca="false">IF(G306&lt;&gt;"","PASS","FAIL - Missing UPC")</f>
        <v>PASS</v>
      </c>
      <c r="N306" s="20" t="str">
        <f aca="false">IF(AND(G306&lt;&gt;"",H306&lt;&gt;""),IF("0"&amp;G306=H306,"PASS","FAIL - GTIN Mismatch"),"SKIP")</f>
        <v>PASS</v>
      </c>
      <c r="O306" s="20" t="str">
        <f aca="false">IF(I306="","FAIL - No Title",IF(LEN(I306)&lt;=126,"PASS","FAIL - Title &gt;"&amp;126&amp;" chars"))</f>
        <v>PASS</v>
      </c>
      <c r="P306" s="20" t="str">
        <f aca="false">IF(J306&gt;0,IF(J306&lt;5000,"PASS","FLAG - Review Price"),"FAIL - Zero Price")</f>
        <v>PASS</v>
      </c>
      <c r="Q306" s="20" t="str">
        <f aca="false">IF('Raw Catalog'!P304&lt;&gt;"","PASS","FAIL - No Image")</f>
        <v>PASS</v>
      </c>
      <c r="R306" s="20" t="str">
        <f aca="false">IF(F306&lt;&gt;"","PASS","FAIL - No Brand")</f>
        <v>PASS</v>
      </c>
      <c r="S306" s="20" t="str">
        <f aca="true">IF(K306="","FAIL - No Date",IF(TODAY()-DATEVALUE(K306)&lt;=180,"PASS","FLAG - Stale &gt;180d"))</f>
        <v>FLAG - Stale &gt;180d</v>
      </c>
      <c r="T306" s="20" t="n">
        <f aca="false">COUNTIF(M306:S306,"FAIL*")+COUNTIF(M306:S306,"FLAG*")</f>
        <v>1</v>
      </c>
      <c r="U306" s="20" t="str">
        <f aca="false">IF(T306=0,"CLEAN",IF(T306=1,"MINOR",IF(T306&lt;=3,"MODERATE","CRITICAL")))</f>
        <v>MINOR</v>
      </c>
      <c r="V306" s="20" t="str">
        <f aca="false">IF(U306="CLEAN","None",IF(U306="MINOR","Seller Notify",IF(U306="MODERATE","Listing Suspended","Immediate Removal")))</f>
        <v>Seller Notify</v>
      </c>
    </row>
    <row r="307" customFormat="false" ht="18" hidden="false" customHeight="true" outlineLevel="0" collapsed="false">
      <c r="A307" s="19" t="s">
        <v>6384</v>
      </c>
      <c r="B307" s="19" t="s">
        <v>2351</v>
      </c>
      <c r="C307" s="19" t="s">
        <v>48</v>
      </c>
      <c r="D307" s="19" t="s">
        <v>49</v>
      </c>
      <c r="E307" s="19" t="s">
        <v>79</v>
      </c>
      <c r="F307" s="19" t="s">
        <v>196</v>
      </c>
      <c r="G307" s="19" t="s">
        <v>2353</v>
      </c>
      <c r="H307" s="19" t="s">
        <v>2354</v>
      </c>
      <c r="I307" s="19" t="s">
        <v>2355</v>
      </c>
      <c r="J307" s="19" t="n">
        <v>2273.4</v>
      </c>
      <c r="K307" s="19" t="s">
        <v>930</v>
      </c>
      <c r="L307" s="19"/>
      <c r="M307" s="20" t="str">
        <f aca="false">IF(G307&lt;&gt;"","PASS","FAIL - Missing UPC")</f>
        <v>PASS</v>
      </c>
      <c r="N307" s="20" t="str">
        <f aca="false">IF(AND(G307&lt;&gt;"",H307&lt;&gt;""),IF("0"&amp;G307=H307,"PASS","FAIL - GTIN Mismatch"),"SKIP")</f>
        <v>PASS</v>
      </c>
      <c r="O307" s="20" t="str">
        <f aca="false">IF(I307="","FAIL - No Title",IF(LEN(I307)&lt;=126,"PASS","FAIL - Title &gt;"&amp;126&amp;" chars"))</f>
        <v>PASS</v>
      </c>
      <c r="P307" s="20" t="str">
        <f aca="false">IF(J307&gt;0,IF(J307&lt;5000,"PASS","FLAG - Review Price"),"FAIL - Zero Price")</f>
        <v>PASS</v>
      </c>
      <c r="Q307" s="20" t="str">
        <f aca="false">IF('Raw Catalog'!P305&lt;&gt;"","PASS","FAIL - No Image")</f>
        <v>PASS</v>
      </c>
      <c r="R307" s="20" t="str">
        <f aca="false">IF(F307&lt;&gt;"","PASS","FAIL - No Brand")</f>
        <v>PASS</v>
      </c>
      <c r="S307" s="20" t="str">
        <f aca="true">IF(K307="","FAIL - No Date",IF(TODAY()-DATEVALUE(K307)&lt;=180,"PASS","FLAG - Stale &gt;180d"))</f>
        <v>FLAG - Stale &gt;180d</v>
      </c>
      <c r="T307" s="20" t="n">
        <f aca="false">COUNTIF(M307:S307,"FAIL*")+COUNTIF(M307:S307,"FLAG*")</f>
        <v>1</v>
      </c>
      <c r="U307" s="20" t="str">
        <f aca="false">IF(T307=0,"CLEAN",IF(T307=1,"MINOR",IF(T307&lt;=3,"MODERATE","CRITICAL")))</f>
        <v>MINOR</v>
      </c>
      <c r="V307" s="20" t="str">
        <f aca="false">IF(U307="CLEAN","None",IF(U307="MINOR","Seller Notify",IF(U307="MODERATE","Listing Suspended","Immediate Removal")))</f>
        <v>Seller Notify</v>
      </c>
    </row>
    <row r="308" customFormat="false" ht="18" hidden="false" customHeight="true" outlineLevel="0" collapsed="false">
      <c r="A308" s="19" t="s">
        <v>6385</v>
      </c>
      <c r="B308" s="19" t="s">
        <v>2357</v>
      </c>
      <c r="C308" s="19" t="s">
        <v>113</v>
      </c>
      <c r="D308" s="19" t="s">
        <v>114</v>
      </c>
      <c r="E308" s="19" t="s">
        <v>79</v>
      </c>
      <c r="F308" s="19" t="s">
        <v>513</v>
      </c>
      <c r="G308" s="19" t="s">
        <v>2359</v>
      </c>
      <c r="H308" s="19" t="s">
        <v>2360</v>
      </c>
      <c r="I308" s="19" t="s">
        <v>2361</v>
      </c>
      <c r="J308" s="19" t="n">
        <v>2034.64</v>
      </c>
      <c r="K308" s="19" t="s">
        <v>369</v>
      </c>
      <c r="L308" s="19"/>
      <c r="M308" s="20" t="str">
        <f aca="false">IF(G308&lt;&gt;"","PASS","FAIL - Missing UPC")</f>
        <v>PASS</v>
      </c>
      <c r="N308" s="20" t="str">
        <f aca="false">IF(AND(G308&lt;&gt;"",H308&lt;&gt;""),IF("0"&amp;G308=H308,"PASS","FAIL - GTIN Mismatch"),"SKIP")</f>
        <v>PASS</v>
      </c>
      <c r="O308" s="20" t="str">
        <f aca="false">IF(I308="","FAIL - No Title",IF(LEN(I308)&lt;=126,"PASS","FAIL - Title &gt;"&amp;126&amp;" chars"))</f>
        <v>PASS</v>
      </c>
      <c r="P308" s="20" t="str">
        <f aca="false">IF(J308&gt;0,IF(J308&lt;5000,"PASS","FLAG - Review Price"),"FAIL - Zero Price")</f>
        <v>PASS</v>
      </c>
      <c r="Q308" s="20" t="str">
        <f aca="false">IF('Raw Catalog'!P306&lt;&gt;"","PASS","FAIL - No Image")</f>
        <v>PASS</v>
      </c>
      <c r="R308" s="20" t="str">
        <f aca="false">IF(F308&lt;&gt;"","PASS","FAIL - No Brand")</f>
        <v>PASS</v>
      </c>
      <c r="S308" s="20" t="str">
        <f aca="true">IF(K308="","FAIL - No Date",IF(TODAY()-DATEVALUE(K308)&lt;=180,"PASS","FLAG - Stale &gt;180d"))</f>
        <v>FLAG - Stale &gt;180d</v>
      </c>
      <c r="T308" s="20" t="n">
        <f aca="false">COUNTIF(M308:S308,"FAIL*")+COUNTIF(M308:S308,"FLAG*")</f>
        <v>1</v>
      </c>
      <c r="U308" s="20" t="str">
        <f aca="false">IF(T308=0,"CLEAN",IF(T308=1,"MINOR",IF(T308&lt;=3,"MODERATE","CRITICAL")))</f>
        <v>MINOR</v>
      </c>
      <c r="V308" s="20" t="str">
        <f aca="false">IF(U308="CLEAN","None",IF(U308="MINOR","Seller Notify",IF(U308="MODERATE","Listing Suspended","Immediate Removal")))</f>
        <v>Seller Notify</v>
      </c>
    </row>
    <row r="309" customFormat="false" ht="18" hidden="false" customHeight="true" outlineLevel="0" collapsed="false">
      <c r="A309" s="19" t="s">
        <v>6386</v>
      </c>
      <c r="B309" s="19" t="s">
        <v>2362</v>
      </c>
      <c r="C309" s="19" t="s">
        <v>113</v>
      </c>
      <c r="D309" s="19" t="s">
        <v>114</v>
      </c>
      <c r="E309" s="19" t="s">
        <v>65</v>
      </c>
      <c r="F309" s="19" t="s">
        <v>245</v>
      </c>
      <c r="G309" s="19" t="s">
        <v>2364</v>
      </c>
      <c r="H309" s="19" t="s">
        <v>2365</v>
      </c>
      <c r="I309" s="19" t="s">
        <v>1832</v>
      </c>
      <c r="J309" s="19" t="n">
        <v>252.53</v>
      </c>
      <c r="K309" s="19" t="s">
        <v>2366</v>
      </c>
      <c r="L309" s="19"/>
      <c r="M309" s="20" t="str">
        <f aca="false">IF(G309&lt;&gt;"","PASS","FAIL - Missing UPC")</f>
        <v>PASS</v>
      </c>
      <c r="N309" s="20" t="str">
        <f aca="false">IF(AND(G309&lt;&gt;"",H309&lt;&gt;""),IF("0"&amp;G309=H309,"PASS","FAIL - GTIN Mismatch"),"SKIP")</f>
        <v>PASS</v>
      </c>
      <c r="O309" s="20" t="str">
        <f aca="false">IF(I309="","FAIL - No Title",IF(LEN(I309)&lt;=126,"PASS","FAIL - Title &gt;"&amp;126&amp;" chars"))</f>
        <v>PASS</v>
      </c>
      <c r="P309" s="20" t="str">
        <f aca="false">IF(J309&gt;0,IF(J309&lt;5000,"PASS","FLAG - Review Price"),"FAIL - Zero Price")</f>
        <v>PASS</v>
      </c>
      <c r="Q309" s="20" t="str">
        <f aca="false">IF('Raw Catalog'!P307&lt;&gt;"","PASS","FAIL - No Image")</f>
        <v>PASS</v>
      </c>
      <c r="R309" s="20" t="str">
        <f aca="false">IF(F309&lt;&gt;"","PASS","FAIL - No Brand")</f>
        <v>PASS</v>
      </c>
      <c r="S309" s="20" t="str">
        <f aca="true">IF(K309="","FAIL - No Date",IF(TODAY()-DATEVALUE(K309)&lt;=180,"PASS","FLAG - Stale &gt;180d"))</f>
        <v>FLAG - Stale &gt;180d</v>
      </c>
      <c r="T309" s="20" t="n">
        <f aca="false">COUNTIF(M309:S309,"FAIL*")+COUNTIF(M309:S309,"FLAG*")</f>
        <v>1</v>
      </c>
      <c r="U309" s="20" t="str">
        <f aca="false">IF(T309=0,"CLEAN",IF(T309=1,"MINOR",IF(T309&lt;=3,"MODERATE","CRITICAL")))</f>
        <v>MINOR</v>
      </c>
      <c r="V309" s="20" t="str">
        <f aca="false">IF(U309="CLEAN","None",IF(U309="MINOR","Seller Notify",IF(U309="MODERATE","Listing Suspended","Immediate Removal")))</f>
        <v>Seller Notify</v>
      </c>
    </row>
    <row r="310" customFormat="false" ht="18" hidden="false" customHeight="true" outlineLevel="0" collapsed="false">
      <c r="A310" s="19" t="s">
        <v>6387</v>
      </c>
      <c r="B310" s="19" t="s">
        <v>2367</v>
      </c>
      <c r="C310" s="19" t="s">
        <v>125</v>
      </c>
      <c r="D310" s="19" t="s">
        <v>126</v>
      </c>
      <c r="E310" s="19" t="s">
        <v>65</v>
      </c>
      <c r="F310" s="19" t="s">
        <v>438</v>
      </c>
      <c r="G310" s="19" t="s">
        <v>2369</v>
      </c>
      <c r="H310" s="19" t="s">
        <v>2370</v>
      </c>
      <c r="I310" s="19" t="s">
        <v>2220</v>
      </c>
      <c r="J310" s="19" t="n">
        <v>133.34</v>
      </c>
      <c r="K310" s="19" t="s">
        <v>978</v>
      </c>
      <c r="L310" s="19"/>
      <c r="M310" s="20" t="str">
        <f aca="false">IF(G310&lt;&gt;"","PASS","FAIL - Missing UPC")</f>
        <v>PASS</v>
      </c>
      <c r="N310" s="20" t="str">
        <f aca="false">IF(AND(G310&lt;&gt;"",H310&lt;&gt;""),IF("0"&amp;G310=H310,"PASS","FAIL - GTIN Mismatch"),"SKIP")</f>
        <v>PASS</v>
      </c>
      <c r="O310" s="20" t="str">
        <f aca="false">IF(I310="","FAIL - No Title",IF(LEN(I310)&lt;=126,"PASS","FAIL - Title &gt;"&amp;126&amp;" chars"))</f>
        <v>PASS</v>
      </c>
      <c r="P310" s="20" t="str">
        <f aca="false">IF(J310&gt;0,IF(J310&lt;5000,"PASS","FLAG - Review Price"),"FAIL - Zero Price")</f>
        <v>PASS</v>
      </c>
      <c r="Q310" s="20" t="str">
        <f aca="false">IF('Raw Catalog'!P308&lt;&gt;"","PASS","FAIL - No Image")</f>
        <v>PASS</v>
      </c>
      <c r="R310" s="20" t="str">
        <f aca="false">IF(F310&lt;&gt;"","PASS","FAIL - No Brand")</f>
        <v>PASS</v>
      </c>
      <c r="S310" s="20" t="str">
        <f aca="true">IF(K310="","FAIL - No Date",IF(TODAY()-DATEVALUE(K310)&lt;=180,"PASS","FLAG - Stale &gt;180d"))</f>
        <v>FLAG - Stale &gt;180d</v>
      </c>
      <c r="T310" s="20" t="n">
        <f aca="false">COUNTIF(M310:S310,"FAIL*")+COUNTIF(M310:S310,"FLAG*")</f>
        <v>1</v>
      </c>
      <c r="U310" s="20" t="str">
        <f aca="false">IF(T310=0,"CLEAN",IF(T310=1,"MINOR",IF(T310&lt;=3,"MODERATE","CRITICAL")))</f>
        <v>MINOR</v>
      </c>
      <c r="V310" s="20" t="str">
        <f aca="false">IF(U310="CLEAN","None",IF(U310="MINOR","Seller Notify",IF(U310="MODERATE","Listing Suspended","Immediate Removal")))</f>
        <v>Seller Notify</v>
      </c>
    </row>
    <row r="311" customFormat="false" ht="18" hidden="false" customHeight="true" outlineLevel="0" collapsed="false">
      <c r="A311" s="19" t="s">
        <v>6388</v>
      </c>
      <c r="B311" s="19" t="s">
        <v>2372</v>
      </c>
      <c r="C311" s="19" t="s">
        <v>159</v>
      </c>
      <c r="D311" s="19" t="s">
        <v>160</v>
      </c>
      <c r="E311" s="19" t="s">
        <v>79</v>
      </c>
      <c r="F311" s="19" t="s">
        <v>51</v>
      </c>
      <c r="G311" s="19" t="s">
        <v>2374</v>
      </c>
      <c r="H311" s="19" t="s">
        <v>2375</v>
      </c>
      <c r="I311" s="19" t="s">
        <v>2376</v>
      </c>
      <c r="J311" s="19" t="n">
        <v>1958.07</v>
      </c>
      <c r="K311" s="19" t="s">
        <v>2377</v>
      </c>
      <c r="L311" s="19"/>
      <c r="M311" s="20" t="str">
        <f aca="false">IF(G311&lt;&gt;"","PASS","FAIL - Missing UPC")</f>
        <v>PASS</v>
      </c>
      <c r="N311" s="20" t="str">
        <f aca="false">IF(AND(G311&lt;&gt;"",H311&lt;&gt;""),IF("0"&amp;G311=H311,"PASS","FAIL - GTIN Mismatch"),"SKIP")</f>
        <v>PASS</v>
      </c>
      <c r="O311" s="20" t="str">
        <f aca="false">IF(I311="","FAIL - No Title",IF(LEN(I311)&lt;=126,"PASS","FAIL - Title &gt;"&amp;126&amp;" chars"))</f>
        <v>PASS</v>
      </c>
      <c r="P311" s="20" t="str">
        <f aca="false">IF(J311&gt;0,IF(J311&lt;5000,"PASS","FLAG - Review Price"),"FAIL - Zero Price")</f>
        <v>PASS</v>
      </c>
      <c r="Q311" s="20" t="str">
        <f aca="false">IF('Raw Catalog'!P309&lt;&gt;"","PASS","FAIL - No Image")</f>
        <v>PASS</v>
      </c>
      <c r="R311" s="20" t="str">
        <f aca="false">IF(F311&lt;&gt;"","PASS","FAIL - No Brand")</f>
        <v>PASS</v>
      </c>
      <c r="S311" s="20" t="str">
        <f aca="true">IF(K311="","FAIL - No Date",IF(TODAY()-DATEVALUE(K311)&lt;=180,"PASS","FLAG - Stale &gt;180d"))</f>
        <v>FLAG - Stale &gt;180d</v>
      </c>
      <c r="T311" s="20" t="n">
        <f aca="false">COUNTIF(M311:S311,"FAIL*")+COUNTIF(M311:S311,"FLAG*")</f>
        <v>1</v>
      </c>
      <c r="U311" s="20" t="str">
        <f aca="false">IF(T311=0,"CLEAN",IF(T311=1,"MINOR",IF(T311&lt;=3,"MODERATE","CRITICAL")))</f>
        <v>MINOR</v>
      </c>
      <c r="V311" s="20" t="str">
        <f aca="false">IF(U311="CLEAN","None",IF(U311="MINOR","Seller Notify",IF(U311="MODERATE","Listing Suspended","Immediate Removal")))</f>
        <v>Seller Notify</v>
      </c>
    </row>
    <row r="312" customFormat="false" ht="18" hidden="false" customHeight="true" outlineLevel="0" collapsed="false">
      <c r="A312" s="19" t="s">
        <v>6389</v>
      </c>
      <c r="B312" s="19" t="s">
        <v>2378</v>
      </c>
      <c r="C312" s="19" t="s">
        <v>159</v>
      </c>
      <c r="D312" s="19" t="s">
        <v>160</v>
      </c>
      <c r="E312" s="19" t="s">
        <v>79</v>
      </c>
      <c r="F312" s="19" t="s">
        <v>1531</v>
      </c>
      <c r="G312" s="19" t="s">
        <v>2380</v>
      </c>
      <c r="H312" s="19" t="s">
        <v>2381</v>
      </c>
      <c r="I312" s="19" t="s">
        <v>2382</v>
      </c>
      <c r="J312" s="19" t="n">
        <v>1939.68</v>
      </c>
      <c r="K312" s="19" t="s">
        <v>1611</v>
      </c>
      <c r="L312" s="19"/>
      <c r="M312" s="20" t="str">
        <f aca="false">IF(G312&lt;&gt;"","PASS","FAIL - Missing UPC")</f>
        <v>PASS</v>
      </c>
      <c r="N312" s="20" t="str">
        <f aca="false">IF(AND(G312&lt;&gt;"",H312&lt;&gt;""),IF("0"&amp;G312=H312,"PASS","FAIL - GTIN Mismatch"),"SKIP")</f>
        <v>PASS</v>
      </c>
      <c r="O312" s="20" t="str">
        <f aca="false">IF(I312="","FAIL - No Title",IF(LEN(I312)&lt;=126,"PASS","FAIL - Title &gt;"&amp;126&amp;" chars"))</f>
        <v>PASS</v>
      </c>
      <c r="P312" s="20" t="str">
        <f aca="false">IF(J312&gt;0,IF(J312&lt;5000,"PASS","FLAG - Review Price"),"FAIL - Zero Price")</f>
        <v>PASS</v>
      </c>
      <c r="Q312" s="20" t="str">
        <f aca="false">IF('Raw Catalog'!P310&lt;&gt;"","PASS","FAIL - No Image")</f>
        <v>PASS</v>
      </c>
      <c r="R312" s="20" t="str">
        <f aca="false">IF(F312&lt;&gt;"","PASS","FAIL - No Brand")</f>
        <v>PASS</v>
      </c>
      <c r="S312" s="20" t="str">
        <f aca="true">IF(K312="","FAIL - No Date",IF(TODAY()-DATEVALUE(K312)&lt;=180,"PASS","FLAG - Stale &gt;180d"))</f>
        <v>FLAG - Stale &gt;180d</v>
      </c>
      <c r="T312" s="20" t="n">
        <f aca="false">COUNTIF(M312:S312,"FAIL*")+COUNTIF(M312:S312,"FLAG*")</f>
        <v>1</v>
      </c>
      <c r="U312" s="20" t="str">
        <f aca="false">IF(T312=0,"CLEAN",IF(T312=1,"MINOR",IF(T312&lt;=3,"MODERATE","CRITICAL")))</f>
        <v>MINOR</v>
      </c>
      <c r="V312" s="20" t="str">
        <f aca="false">IF(U312="CLEAN","None",IF(U312="MINOR","Seller Notify",IF(U312="MODERATE","Listing Suspended","Immediate Removal")))</f>
        <v>Seller Notify</v>
      </c>
    </row>
    <row r="313" customFormat="false" ht="18" hidden="false" customHeight="true" outlineLevel="0" collapsed="false">
      <c r="A313" s="19" t="s">
        <v>6390</v>
      </c>
      <c r="B313" s="19" t="s">
        <v>2386</v>
      </c>
      <c r="C313" s="19" t="s">
        <v>77</v>
      </c>
      <c r="D313" s="19" t="s">
        <v>78</v>
      </c>
      <c r="E313" s="19" t="s">
        <v>50</v>
      </c>
      <c r="F313" s="19" t="s">
        <v>127</v>
      </c>
      <c r="G313" s="19" t="s">
        <v>2388</v>
      </c>
      <c r="H313" s="19" t="s">
        <v>2389</v>
      </c>
      <c r="I313" s="19" t="s">
        <v>2390</v>
      </c>
      <c r="J313" s="19" t="n">
        <v>886.64</v>
      </c>
      <c r="K313" s="19" t="s">
        <v>2392</v>
      </c>
      <c r="L313" s="19"/>
      <c r="M313" s="20" t="str">
        <f aca="false">IF(G313&lt;&gt;"","PASS","FAIL - Missing UPC")</f>
        <v>PASS</v>
      </c>
      <c r="N313" s="20" t="str">
        <f aca="false">IF(AND(G313&lt;&gt;"",H313&lt;&gt;""),IF("0"&amp;G313=H313,"PASS","FAIL - GTIN Mismatch"),"SKIP")</f>
        <v>PASS</v>
      </c>
      <c r="O313" s="20" t="str">
        <f aca="false">IF(I313="","FAIL - No Title",IF(LEN(I313)&lt;=126,"PASS","FAIL - Title &gt;"&amp;126&amp;" chars"))</f>
        <v>PASS</v>
      </c>
      <c r="P313" s="20" t="str">
        <f aca="false">IF(J313&gt;0,IF(J313&lt;5000,"PASS","FLAG - Review Price"),"FAIL - Zero Price")</f>
        <v>PASS</v>
      </c>
      <c r="Q313" s="20" t="str">
        <f aca="false">IF('Raw Catalog'!P311&lt;&gt;"","PASS","FAIL - No Image")</f>
        <v>PASS</v>
      </c>
      <c r="R313" s="20" t="str">
        <f aca="false">IF(F313&lt;&gt;"","PASS","FAIL - No Brand")</f>
        <v>PASS</v>
      </c>
      <c r="S313" s="20" t="str">
        <f aca="true">IF(K313="","FAIL - No Date",IF(TODAY()-DATEVALUE(K313)&lt;=180,"PASS","FLAG - Stale &gt;180d"))</f>
        <v>FLAG - Stale &gt;180d</v>
      </c>
      <c r="T313" s="20" t="n">
        <f aca="false">COUNTIF(M313:S313,"FAIL*")+COUNTIF(M313:S313,"FLAG*")</f>
        <v>1</v>
      </c>
      <c r="U313" s="20" t="str">
        <f aca="false">IF(T313=0,"CLEAN",IF(T313=1,"MINOR",IF(T313&lt;=3,"MODERATE","CRITICAL")))</f>
        <v>MINOR</v>
      </c>
      <c r="V313" s="20" t="str">
        <f aca="false">IF(U313="CLEAN","None",IF(U313="MINOR","Seller Notify",IF(U313="MODERATE","Listing Suspended","Immediate Removal")))</f>
        <v>Seller Notify</v>
      </c>
    </row>
    <row r="314" customFormat="false" ht="18" hidden="false" customHeight="true" outlineLevel="0" collapsed="false">
      <c r="A314" s="19" t="s">
        <v>6391</v>
      </c>
      <c r="B314" s="19" t="s">
        <v>2393</v>
      </c>
      <c r="C314" s="19" t="s">
        <v>255</v>
      </c>
      <c r="D314" s="19" t="s">
        <v>256</v>
      </c>
      <c r="E314" s="19" t="s">
        <v>79</v>
      </c>
      <c r="F314" s="19" t="s">
        <v>1531</v>
      </c>
      <c r="G314" s="19" t="s">
        <v>2395</v>
      </c>
      <c r="H314" s="19" t="s">
        <v>2396</v>
      </c>
      <c r="I314" s="19" t="s">
        <v>2397</v>
      </c>
      <c r="J314" s="19" t="n">
        <v>1081.54</v>
      </c>
      <c r="K314" s="19" t="s">
        <v>1765</v>
      </c>
      <c r="L314" s="19"/>
      <c r="M314" s="20" t="str">
        <f aca="false">IF(G314&lt;&gt;"","PASS","FAIL - Missing UPC")</f>
        <v>PASS</v>
      </c>
      <c r="N314" s="20" t="str">
        <f aca="false">IF(AND(G314&lt;&gt;"",H314&lt;&gt;""),IF("0"&amp;G314=H314,"PASS","FAIL - GTIN Mismatch"),"SKIP")</f>
        <v>PASS</v>
      </c>
      <c r="O314" s="20" t="str">
        <f aca="false">IF(I314="","FAIL - No Title",IF(LEN(I314)&lt;=126,"PASS","FAIL - Title &gt;"&amp;126&amp;" chars"))</f>
        <v>PASS</v>
      </c>
      <c r="P314" s="20" t="str">
        <f aca="false">IF(J314&gt;0,IF(J314&lt;5000,"PASS","FLAG - Review Price"),"FAIL - Zero Price")</f>
        <v>PASS</v>
      </c>
      <c r="Q314" s="20" t="str">
        <f aca="false">IF('Raw Catalog'!P312&lt;&gt;"","PASS","FAIL - No Image")</f>
        <v>PASS</v>
      </c>
      <c r="R314" s="20" t="str">
        <f aca="false">IF(F314&lt;&gt;"","PASS","FAIL - No Brand")</f>
        <v>PASS</v>
      </c>
      <c r="S314" s="20" t="str">
        <f aca="true">IF(K314="","FAIL - No Date",IF(TODAY()-DATEVALUE(K314)&lt;=180,"PASS","FLAG - Stale &gt;180d"))</f>
        <v>FLAG - Stale &gt;180d</v>
      </c>
      <c r="T314" s="20" t="n">
        <f aca="false">COUNTIF(M314:S314,"FAIL*")+COUNTIF(M314:S314,"FLAG*")</f>
        <v>1</v>
      </c>
      <c r="U314" s="20" t="str">
        <f aca="false">IF(T314=0,"CLEAN",IF(T314=1,"MINOR",IF(T314&lt;=3,"MODERATE","CRITICAL")))</f>
        <v>MINOR</v>
      </c>
      <c r="V314" s="20" t="str">
        <f aca="false">IF(U314="CLEAN","None",IF(U314="MINOR","Seller Notify",IF(U314="MODERATE","Listing Suspended","Immediate Removal")))</f>
        <v>Seller Notify</v>
      </c>
    </row>
    <row r="315" customFormat="false" ht="18" hidden="false" customHeight="true" outlineLevel="0" collapsed="false">
      <c r="A315" s="19" t="s">
        <v>6392</v>
      </c>
      <c r="B315" s="19" t="s">
        <v>2399</v>
      </c>
      <c r="C315" s="19" t="s">
        <v>63</v>
      </c>
      <c r="D315" s="19" t="s">
        <v>64</v>
      </c>
      <c r="E315" s="19" t="s">
        <v>65</v>
      </c>
      <c r="F315" s="19" t="s">
        <v>115</v>
      </c>
      <c r="G315" s="19" t="s">
        <v>2401</v>
      </c>
      <c r="H315" s="19" t="s">
        <v>2402</v>
      </c>
      <c r="I315" s="19" t="s">
        <v>2403</v>
      </c>
      <c r="J315" s="19" t="n">
        <v>113.43</v>
      </c>
      <c r="K315" s="19" t="s">
        <v>323</v>
      </c>
      <c r="L315" s="21" t="s">
        <v>1014</v>
      </c>
      <c r="M315" s="20" t="str">
        <f aca="false">IF(G315&lt;&gt;"","PASS","FAIL - Missing UPC")</f>
        <v>PASS</v>
      </c>
      <c r="N315" s="20" t="str">
        <f aca="false">IF(AND(G315&lt;&gt;"",H315&lt;&gt;""),IF("0"&amp;G315=H315,"PASS","FAIL - GTIN Mismatch"),"SKIP")</f>
        <v>PASS</v>
      </c>
      <c r="O315" s="20" t="str">
        <f aca="false">IF(I315="","FAIL - No Title",IF(LEN(I315)&lt;=126,"PASS","FAIL - Title &gt;"&amp;126&amp;" chars"))</f>
        <v>PASS</v>
      </c>
      <c r="P315" s="20" t="str">
        <f aca="false">IF(J315&gt;0,IF(J315&lt;5000,"PASS","FLAG - Review Price"),"FAIL - Zero Price")</f>
        <v>PASS</v>
      </c>
      <c r="Q315" s="20" t="str">
        <f aca="false">IF('Raw Catalog'!P313&lt;&gt;"","PASS","FAIL - No Image")</f>
        <v>FAIL - No Image</v>
      </c>
      <c r="R315" s="20" t="str">
        <f aca="false">IF(F315&lt;&gt;"","PASS","FAIL - No Brand")</f>
        <v>PASS</v>
      </c>
      <c r="S315" s="20" t="str">
        <f aca="true">IF(K315="","FAIL - No Date",IF(TODAY()-DATEVALUE(K315)&lt;=180,"PASS","FLAG - Stale &gt;180d"))</f>
        <v>FLAG - Stale &gt;180d</v>
      </c>
      <c r="T315" s="20" t="n">
        <f aca="false">COUNTIF(M315:S315,"FAIL*")+COUNTIF(M315:S315,"FLAG*")</f>
        <v>2</v>
      </c>
      <c r="U315" s="20" t="str">
        <f aca="false">IF(T315=0,"CLEAN",IF(T315=1,"MINOR",IF(T315&lt;=3,"MODERATE","CRITICAL")))</f>
        <v>MODERATE</v>
      </c>
      <c r="V315" s="20" t="str">
        <f aca="false">IF(U315="CLEAN","None",IF(U315="MINOR","Seller Notify",IF(U315="MODERATE","Listing Suspended","Immediate Removal")))</f>
        <v>Listing Suspended</v>
      </c>
    </row>
    <row r="316" customFormat="false" ht="18" hidden="false" customHeight="true" outlineLevel="0" collapsed="false">
      <c r="A316" s="19" t="s">
        <v>6393</v>
      </c>
      <c r="B316" s="19" t="s">
        <v>2405</v>
      </c>
      <c r="C316" s="19" t="s">
        <v>113</v>
      </c>
      <c r="D316" s="19" t="s">
        <v>114</v>
      </c>
      <c r="E316" s="19" t="s">
        <v>91</v>
      </c>
      <c r="F316" s="19" t="s">
        <v>138</v>
      </c>
      <c r="G316" s="19" t="s">
        <v>2407</v>
      </c>
      <c r="H316" s="19" t="s">
        <v>2408</v>
      </c>
      <c r="I316" s="19" t="s">
        <v>2409</v>
      </c>
      <c r="J316" s="19" t="n">
        <v>20454.71</v>
      </c>
      <c r="K316" s="19" t="s">
        <v>1236</v>
      </c>
      <c r="L316" s="21" t="s">
        <v>343</v>
      </c>
      <c r="M316" s="20" t="str">
        <f aca="false">IF(G316&lt;&gt;"","PASS","FAIL - Missing UPC")</f>
        <v>PASS</v>
      </c>
      <c r="N316" s="20" t="str">
        <f aca="false">IF(AND(G316&lt;&gt;"",H316&lt;&gt;""),IF("0"&amp;G316=H316,"PASS","FAIL - GTIN Mismatch"),"SKIP")</f>
        <v>PASS</v>
      </c>
      <c r="O316" s="20" t="str">
        <f aca="false">IF(I316="","FAIL - No Title",IF(LEN(I316)&lt;=126,"PASS","FAIL - Title &gt;"&amp;126&amp;" chars"))</f>
        <v>PASS</v>
      </c>
      <c r="P316" s="20" t="str">
        <f aca="false">IF(J316&gt;0,IF(J316&lt;5000,"PASS","FLAG - Review Price"),"FAIL - Zero Price")</f>
        <v>FLAG - Review Price</v>
      </c>
      <c r="Q316" s="20" t="str">
        <f aca="false">IF('Raw Catalog'!P314&lt;&gt;"","PASS","FAIL - No Image")</f>
        <v>PASS</v>
      </c>
      <c r="R316" s="20" t="str">
        <f aca="false">IF(F316&lt;&gt;"","PASS","FAIL - No Brand")</f>
        <v>PASS</v>
      </c>
      <c r="S316" s="20" t="str">
        <f aca="true">IF(K316="","FAIL - No Date",IF(TODAY()-DATEVALUE(K316)&lt;=180,"PASS","FLAG - Stale &gt;180d"))</f>
        <v>FLAG - Stale &gt;180d</v>
      </c>
      <c r="T316" s="20" t="n">
        <f aca="false">COUNTIF(M316:S316,"FAIL*")+COUNTIF(M316:S316,"FLAG*")</f>
        <v>2</v>
      </c>
      <c r="U316" s="20" t="str">
        <f aca="false">IF(T316=0,"CLEAN",IF(T316=1,"MINOR",IF(T316&lt;=3,"MODERATE","CRITICAL")))</f>
        <v>MODERATE</v>
      </c>
      <c r="V316" s="20" t="str">
        <f aca="false">IF(U316="CLEAN","None",IF(U316="MINOR","Seller Notify",IF(U316="MODERATE","Listing Suspended","Immediate Removal")))</f>
        <v>Listing Suspended</v>
      </c>
    </row>
    <row r="317" customFormat="false" ht="18" hidden="false" customHeight="true" outlineLevel="0" collapsed="false">
      <c r="A317" s="19" t="s">
        <v>6394</v>
      </c>
      <c r="B317" s="19" t="s">
        <v>2410</v>
      </c>
      <c r="C317" s="19" t="s">
        <v>63</v>
      </c>
      <c r="D317" s="19" t="s">
        <v>64</v>
      </c>
      <c r="E317" s="19" t="s">
        <v>161</v>
      </c>
      <c r="F317" s="19" t="s">
        <v>429</v>
      </c>
      <c r="G317" s="19" t="s">
        <v>2412</v>
      </c>
      <c r="H317" s="19" t="s">
        <v>2413</v>
      </c>
      <c r="I317" s="19" t="s">
        <v>2414</v>
      </c>
      <c r="J317" s="19" t="n">
        <v>182.15</v>
      </c>
      <c r="K317" s="19" t="s">
        <v>511</v>
      </c>
      <c r="L317" s="19"/>
      <c r="M317" s="20" t="str">
        <f aca="false">IF(G317&lt;&gt;"","PASS","FAIL - Missing UPC")</f>
        <v>PASS</v>
      </c>
      <c r="N317" s="20" t="str">
        <f aca="false">IF(AND(G317&lt;&gt;"",H317&lt;&gt;""),IF("0"&amp;G317=H317,"PASS","FAIL - GTIN Mismatch"),"SKIP")</f>
        <v>PASS</v>
      </c>
      <c r="O317" s="20" t="str">
        <f aca="false">IF(I317="","FAIL - No Title",IF(LEN(I317)&lt;=126,"PASS","FAIL - Title &gt;"&amp;126&amp;" chars"))</f>
        <v>PASS</v>
      </c>
      <c r="P317" s="20" t="str">
        <f aca="false">IF(J317&gt;0,IF(J317&lt;5000,"PASS","FLAG - Review Price"),"FAIL - Zero Price")</f>
        <v>PASS</v>
      </c>
      <c r="Q317" s="20" t="str">
        <f aca="false">IF('Raw Catalog'!P315&lt;&gt;"","PASS","FAIL - No Image")</f>
        <v>PASS</v>
      </c>
      <c r="R317" s="20" t="str">
        <f aca="false">IF(F317&lt;&gt;"","PASS","FAIL - No Brand")</f>
        <v>PASS</v>
      </c>
      <c r="S317" s="20" t="str">
        <f aca="true">IF(K317="","FAIL - No Date",IF(TODAY()-DATEVALUE(K317)&lt;=180,"PASS","FLAG - Stale &gt;180d"))</f>
        <v>FLAG - Stale &gt;180d</v>
      </c>
      <c r="T317" s="20" t="n">
        <f aca="false">COUNTIF(M317:S317,"FAIL*")+COUNTIF(M317:S317,"FLAG*")</f>
        <v>1</v>
      </c>
      <c r="U317" s="20" t="str">
        <f aca="false">IF(T317=0,"CLEAN",IF(T317=1,"MINOR",IF(T317&lt;=3,"MODERATE","CRITICAL")))</f>
        <v>MINOR</v>
      </c>
      <c r="V317" s="20" t="str">
        <f aca="false">IF(U317="CLEAN","None",IF(U317="MINOR","Seller Notify",IF(U317="MODERATE","Listing Suspended","Immediate Removal")))</f>
        <v>Seller Notify</v>
      </c>
    </row>
    <row r="318" customFormat="false" ht="18" hidden="false" customHeight="true" outlineLevel="0" collapsed="false">
      <c r="A318" s="19" t="s">
        <v>6395</v>
      </c>
      <c r="B318" s="19" t="s">
        <v>2416</v>
      </c>
      <c r="C318" s="19" t="s">
        <v>113</v>
      </c>
      <c r="D318" s="19" t="s">
        <v>114</v>
      </c>
      <c r="E318" s="19" t="s">
        <v>161</v>
      </c>
      <c r="F318" s="19" t="s">
        <v>429</v>
      </c>
      <c r="G318" s="19" t="s">
        <v>2418</v>
      </c>
      <c r="H318" s="19" t="s">
        <v>2419</v>
      </c>
      <c r="I318" s="19" t="s">
        <v>2420</v>
      </c>
      <c r="J318" s="19" t="n">
        <v>535.26</v>
      </c>
      <c r="K318" s="19" t="s">
        <v>2421</v>
      </c>
      <c r="L318" s="19"/>
      <c r="M318" s="20" t="str">
        <f aca="false">IF(G318&lt;&gt;"","PASS","FAIL - Missing UPC")</f>
        <v>PASS</v>
      </c>
      <c r="N318" s="20" t="str">
        <f aca="false">IF(AND(G318&lt;&gt;"",H318&lt;&gt;""),IF("0"&amp;G318=H318,"PASS","FAIL - GTIN Mismatch"),"SKIP")</f>
        <v>PASS</v>
      </c>
      <c r="O318" s="20" t="str">
        <f aca="false">IF(I318="","FAIL - No Title",IF(LEN(I318)&lt;=126,"PASS","FAIL - Title &gt;"&amp;126&amp;" chars"))</f>
        <v>PASS</v>
      </c>
      <c r="P318" s="20" t="str">
        <f aca="false">IF(J318&gt;0,IF(J318&lt;5000,"PASS","FLAG - Review Price"),"FAIL - Zero Price")</f>
        <v>PASS</v>
      </c>
      <c r="Q318" s="20" t="str">
        <f aca="false">IF('Raw Catalog'!P316&lt;&gt;"","PASS","FAIL - No Image")</f>
        <v>PASS</v>
      </c>
      <c r="R318" s="20" t="str">
        <f aca="false">IF(F318&lt;&gt;"","PASS","FAIL - No Brand")</f>
        <v>PASS</v>
      </c>
      <c r="S318" s="20" t="str">
        <f aca="true">IF(K318="","FAIL - No Date",IF(TODAY()-DATEVALUE(K318)&lt;=180,"PASS","FLAG - Stale &gt;180d"))</f>
        <v>FLAG - Stale &gt;180d</v>
      </c>
      <c r="T318" s="20" t="n">
        <f aca="false">COUNTIF(M318:S318,"FAIL*")+COUNTIF(M318:S318,"FLAG*")</f>
        <v>1</v>
      </c>
      <c r="U318" s="20" t="str">
        <f aca="false">IF(T318=0,"CLEAN",IF(T318=1,"MINOR",IF(T318&lt;=3,"MODERATE","CRITICAL")))</f>
        <v>MINOR</v>
      </c>
      <c r="V318" s="20" t="str">
        <f aca="false">IF(U318="CLEAN","None",IF(U318="MINOR","Seller Notify",IF(U318="MODERATE","Listing Suspended","Immediate Removal")))</f>
        <v>Seller Notify</v>
      </c>
    </row>
    <row r="319" customFormat="false" ht="18" hidden="false" customHeight="true" outlineLevel="0" collapsed="false">
      <c r="A319" s="19" t="s">
        <v>6396</v>
      </c>
      <c r="B319" s="19" t="s">
        <v>2422</v>
      </c>
      <c r="C319" s="19" t="s">
        <v>159</v>
      </c>
      <c r="D319" s="19" t="s">
        <v>160</v>
      </c>
      <c r="E319" s="19" t="s">
        <v>161</v>
      </c>
      <c r="F319" s="19" t="s">
        <v>295</v>
      </c>
      <c r="G319" s="19" t="s">
        <v>2424</v>
      </c>
      <c r="H319" s="19" t="s">
        <v>2425</v>
      </c>
      <c r="I319" s="19" t="s">
        <v>2426</v>
      </c>
      <c r="J319" s="19" t="n">
        <v>242.87</v>
      </c>
      <c r="K319" s="19" t="s">
        <v>2127</v>
      </c>
      <c r="L319" s="19"/>
      <c r="M319" s="20" t="str">
        <f aca="false">IF(G319&lt;&gt;"","PASS","FAIL - Missing UPC")</f>
        <v>PASS</v>
      </c>
      <c r="N319" s="20" t="str">
        <f aca="false">IF(AND(G319&lt;&gt;"",H319&lt;&gt;""),IF("0"&amp;G319=H319,"PASS","FAIL - GTIN Mismatch"),"SKIP")</f>
        <v>PASS</v>
      </c>
      <c r="O319" s="20" t="str">
        <f aca="false">IF(I319="","FAIL - No Title",IF(LEN(I319)&lt;=126,"PASS","FAIL - Title &gt;"&amp;126&amp;" chars"))</f>
        <v>PASS</v>
      </c>
      <c r="P319" s="20" t="str">
        <f aca="false">IF(J319&gt;0,IF(J319&lt;5000,"PASS","FLAG - Review Price"),"FAIL - Zero Price")</f>
        <v>PASS</v>
      </c>
      <c r="Q319" s="20" t="str">
        <f aca="false">IF('Raw Catalog'!P317&lt;&gt;"","PASS","FAIL - No Image")</f>
        <v>PASS</v>
      </c>
      <c r="R319" s="20" t="str">
        <f aca="false">IF(F319&lt;&gt;"","PASS","FAIL - No Brand")</f>
        <v>PASS</v>
      </c>
      <c r="S319" s="20" t="str">
        <f aca="true">IF(K319="","FAIL - No Date",IF(TODAY()-DATEVALUE(K319)&lt;=180,"PASS","FLAG - Stale &gt;180d"))</f>
        <v>FLAG - Stale &gt;180d</v>
      </c>
      <c r="T319" s="20" t="n">
        <f aca="false">COUNTIF(M319:S319,"FAIL*")+COUNTIF(M319:S319,"FLAG*")</f>
        <v>1</v>
      </c>
      <c r="U319" s="20" t="str">
        <f aca="false">IF(T319=0,"CLEAN",IF(T319=1,"MINOR",IF(T319&lt;=3,"MODERATE","CRITICAL")))</f>
        <v>MINOR</v>
      </c>
      <c r="V319" s="20" t="str">
        <f aca="false">IF(U319="CLEAN","None",IF(U319="MINOR","Seller Notify",IF(U319="MODERATE","Listing Suspended","Immediate Removal")))</f>
        <v>Seller Notify</v>
      </c>
    </row>
    <row r="320" customFormat="false" ht="18" hidden="false" customHeight="true" outlineLevel="0" collapsed="false">
      <c r="A320" s="19" t="s">
        <v>6397</v>
      </c>
      <c r="B320" s="19" t="s">
        <v>2428</v>
      </c>
      <c r="C320" s="19" t="s">
        <v>63</v>
      </c>
      <c r="D320" s="19" t="s">
        <v>64</v>
      </c>
      <c r="E320" s="19" t="s">
        <v>91</v>
      </c>
      <c r="F320" s="19" t="s">
        <v>587</v>
      </c>
      <c r="G320" s="19" t="s">
        <v>2430</v>
      </c>
      <c r="H320" s="19" t="s">
        <v>2431</v>
      </c>
      <c r="I320" s="19" t="s">
        <v>2432</v>
      </c>
      <c r="J320" s="19" t="n">
        <v>678.28</v>
      </c>
      <c r="K320" s="19" t="s">
        <v>2434</v>
      </c>
      <c r="L320" s="19"/>
      <c r="M320" s="20" t="str">
        <f aca="false">IF(G320&lt;&gt;"","PASS","FAIL - Missing UPC")</f>
        <v>PASS</v>
      </c>
      <c r="N320" s="20" t="str">
        <f aca="false">IF(AND(G320&lt;&gt;"",H320&lt;&gt;""),IF("0"&amp;G320=H320,"PASS","FAIL - GTIN Mismatch"),"SKIP")</f>
        <v>PASS</v>
      </c>
      <c r="O320" s="20" t="str">
        <f aca="false">IF(I320="","FAIL - No Title",IF(LEN(I320)&lt;=126,"PASS","FAIL - Title &gt;"&amp;126&amp;" chars"))</f>
        <v>PASS</v>
      </c>
      <c r="P320" s="20" t="str">
        <f aca="false">IF(J320&gt;0,IF(J320&lt;5000,"PASS","FLAG - Review Price"),"FAIL - Zero Price")</f>
        <v>PASS</v>
      </c>
      <c r="Q320" s="20" t="str">
        <f aca="false">IF('Raw Catalog'!P318&lt;&gt;"","PASS","FAIL - No Image")</f>
        <v>PASS</v>
      </c>
      <c r="R320" s="20" t="str">
        <f aca="false">IF(F320&lt;&gt;"","PASS","FAIL - No Brand")</f>
        <v>PASS</v>
      </c>
      <c r="S320" s="20" t="str">
        <f aca="true">IF(K320="","FAIL - No Date",IF(TODAY()-DATEVALUE(K320)&lt;=180,"PASS","FLAG - Stale &gt;180d"))</f>
        <v>FLAG - Stale &gt;180d</v>
      </c>
      <c r="T320" s="20" t="n">
        <f aca="false">COUNTIF(M320:S320,"FAIL*")+COUNTIF(M320:S320,"FLAG*")</f>
        <v>1</v>
      </c>
      <c r="U320" s="20" t="str">
        <f aca="false">IF(T320=0,"CLEAN",IF(T320=1,"MINOR",IF(T320&lt;=3,"MODERATE","CRITICAL")))</f>
        <v>MINOR</v>
      </c>
      <c r="V320" s="20" t="str">
        <f aca="false">IF(U320="CLEAN","None",IF(U320="MINOR","Seller Notify",IF(U320="MODERATE","Listing Suspended","Immediate Removal")))</f>
        <v>Seller Notify</v>
      </c>
    </row>
    <row r="321" customFormat="false" ht="18" hidden="false" customHeight="true" outlineLevel="0" collapsed="false">
      <c r="A321" s="19" t="s">
        <v>6398</v>
      </c>
      <c r="B321" s="19" t="s">
        <v>2435</v>
      </c>
      <c r="C321" s="19" t="s">
        <v>255</v>
      </c>
      <c r="D321" s="19" t="s">
        <v>256</v>
      </c>
      <c r="E321" s="19" t="s">
        <v>50</v>
      </c>
      <c r="F321" s="19" t="s">
        <v>127</v>
      </c>
      <c r="G321" s="19" t="s">
        <v>2437</v>
      </c>
      <c r="H321" s="19" t="s">
        <v>2438</v>
      </c>
      <c r="I321" s="19" t="s">
        <v>2439</v>
      </c>
      <c r="J321" s="19" t="n">
        <v>631.59</v>
      </c>
      <c r="K321" s="19" t="s">
        <v>1106</v>
      </c>
      <c r="L321" s="19"/>
      <c r="M321" s="20" t="str">
        <f aca="false">IF(G321&lt;&gt;"","PASS","FAIL - Missing UPC")</f>
        <v>PASS</v>
      </c>
      <c r="N321" s="20" t="str">
        <f aca="false">IF(AND(G321&lt;&gt;"",H321&lt;&gt;""),IF("0"&amp;G321=H321,"PASS","FAIL - GTIN Mismatch"),"SKIP")</f>
        <v>PASS</v>
      </c>
      <c r="O321" s="20" t="str">
        <f aca="false">IF(I321="","FAIL - No Title",IF(LEN(I321)&lt;=126,"PASS","FAIL - Title &gt;"&amp;126&amp;" chars"))</f>
        <v>PASS</v>
      </c>
      <c r="P321" s="20" t="str">
        <f aca="false">IF(J321&gt;0,IF(J321&lt;5000,"PASS","FLAG - Review Price"),"FAIL - Zero Price")</f>
        <v>PASS</v>
      </c>
      <c r="Q321" s="20" t="str">
        <f aca="false">IF('Raw Catalog'!P319&lt;&gt;"","PASS","FAIL - No Image")</f>
        <v>PASS</v>
      </c>
      <c r="R321" s="20" t="str">
        <f aca="false">IF(F321&lt;&gt;"","PASS","FAIL - No Brand")</f>
        <v>PASS</v>
      </c>
      <c r="S321" s="20" t="str">
        <f aca="true">IF(K321="","FAIL - No Date",IF(TODAY()-DATEVALUE(K321)&lt;=180,"PASS","FLAG - Stale &gt;180d"))</f>
        <v>FLAG - Stale &gt;180d</v>
      </c>
      <c r="T321" s="20" t="n">
        <f aca="false">COUNTIF(M321:S321,"FAIL*")+COUNTIF(M321:S321,"FLAG*")</f>
        <v>1</v>
      </c>
      <c r="U321" s="20" t="str">
        <f aca="false">IF(T321=0,"CLEAN",IF(T321=1,"MINOR",IF(T321&lt;=3,"MODERATE","CRITICAL")))</f>
        <v>MINOR</v>
      </c>
      <c r="V321" s="20" t="str">
        <f aca="false">IF(U321="CLEAN","None",IF(U321="MINOR","Seller Notify",IF(U321="MODERATE","Listing Suspended","Immediate Removal")))</f>
        <v>Seller Notify</v>
      </c>
    </row>
    <row r="322" customFormat="false" ht="18" hidden="false" customHeight="true" outlineLevel="0" collapsed="false">
      <c r="A322" s="19" t="s">
        <v>6399</v>
      </c>
      <c r="B322" s="19" t="s">
        <v>2440</v>
      </c>
      <c r="C322" s="19" t="s">
        <v>173</v>
      </c>
      <c r="D322" s="19" t="s">
        <v>174</v>
      </c>
      <c r="E322" s="19" t="s">
        <v>79</v>
      </c>
      <c r="F322" s="19" t="s">
        <v>196</v>
      </c>
      <c r="G322" s="19" t="s">
        <v>2442</v>
      </c>
      <c r="H322" s="19" t="s">
        <v>2443</v>
      </c>
      <c r="I322" s="19" t="s">
        <v>2444</v>
      </c>
      <c r="J322" s="19" t="n">
        <v>1488.82</v>
      </c>
      <c r="K322" s="19" t="s">
        <v>2446</v>
      </c>
      <c r="L322" s="21" t="s">
        <v>325</v>
      </c>
      <c r="M322" s="20" t="str">
        <f aca="false">IF(G322&lt;&gt;"","PASS","FAIL - Missing UPC")</f>
        <v>PASS</v>
      </c>
      <c r="N322" s="20" t="str">
        <f aca="false">IF(AND(G322&lt;&gt;"",H322&lt;&gt;""),IF("0"&amp;G322=H322,"PASS","FAIL - GTIN Mismatch"),"SKIP")</f>
        <v>PASS</v>
      </c>
      <c r="O322" s="20" t="str">
        <f aca="false">IF(I322="","FAIL - No Title",IF(LEN(I322)&lt;=126,"PASS","FAIL - Title &gt;"&amp;126&amp;" chars"))</f>
        <v>PASS</v>
      </c>
      <c r="P322" s="20" t="str">
        <f aca="false">IF(J322&gt;0,IF(J322&lt;5000,"PASS","FLAG - Review Price"),"FAIL - Zero Price")</f>
        <v>PASS</v>
      </c>
      <c r="Q322" s="20" t="str">
        <f aca="false">IF('Raw Catalog'!P320&lt;&gt;"","PASS","FAIL - No Image")</f>
        <v>PASS</v>
      </c>
      <c r="R322" s="20" t="str">
        <f aca="false">IF(F322&lt;&gt;"","PASS","FAIL - No Brand")</f>
        <v>PASS</v>
      </c>
      <c r="S322" s="20" t="str">
        <f aca="true">IF(K322="","FAIL - No Date",IF(TODAY()-DATEVALUE(K322)&lt;=180,"PASS","FLAG - Stale &gt;180d"))</f>
        <v>FLAG - Stale &gt;180d</v>
      </c>
      <c r="T322" s="20" t="n">
        <f aca="false">COUNTIF(M322:S322,"FAIL*")+COUNTIF(M322:S322,"FLAG*")</f>
        <v>1</v>
      </c>
      <c r="U322" s="20" t="str">
        <f aca="false">IF(T322=0,"CLEAN",IF(T322=1,"MINOR",IF(T322&lt;=3,"MODERATE","CRITICAL")))</f>
        <v>MINOR</v>
      </c>
      <c r="V322" s="20" t="str">
        <f aca="false">IF(U322="CLEAN","None",IF(U322="MINOR","Seller Notify",IF(U322="MODERATE","Listing Suspended","Immediate Removal")))</f>
        <v>Seller Notify</v>
      </c>
    </row>
    <row r="323" customFormat="false" ht="18" hidden="false" customHeight="true" outlineLevel="0" collapsed="false">
      <c r="A323" s="19" t="s">
        <v>6400</v>
      </c>
      <c r="B323" s="19" t="s">
        <v>2447</v>
      </c>
      <c r="C323" s="19" t="s">
        <v>77</v>
      </c>
      <c r="D323" s="19" t="s">
        <v>78</v>
      </c>
      <c r="E323" s="19" t="s">
        <v>91</v>
      </c>
      <c r="F323" s="19" t="s">
        <v>780</v>
      </c>
      <c r="G323" s="19" t="s">
        <v>2449</v>
      </c>
      <c r="H323" s="19" t="s">
        <v>2450</v>
      </c>
      <c r="I323" s="19" t="s">
        <v>2451</v>
      </c>
      <c r="J323" s="19" t="n">
        <v>2397.15</v>
      </c>
      <c r="K323" s="19" t="s">
        <v>2276</v>
      </c>
      <c r="L323" s="19"/>
      <c r="M323" s="20" t="str">
        <f aca="false">IF(G323&lt;&gt;"","PASS","FAIL - Missing UPC")</f>
        <v>PASS</v>
      </c>
      <c r="N323" s="20" t="str">
        <f aca="false">IF(AND(G323&lt;&gt;"",H323&lt;&gt;""),IF("0"&amp;G323=H323,"PASS","FAIL - GTIN Mismatch"),"SKIP")</f>
        <v>PASS</v>
      </c>
      <c r="O323" s="20" t="str">
        <f aca="false">IF(I323="","FAIL - No Title",IF(LEN(I323)&lt;=126,"PASS","FAIL - Title &gt;"&amp;126&amp;" chars"))</f>
        <v>PASS</v>
      </c>
      <c r="P323" s="20" t="str">
        <f aca="false">IF(J323&gt;0,IF(J323&lt;5000,"PASS","FLAG - Review Price"),"FAIL - Zero Price")</f>
        <v>PASS</v>
      </c>
      <c r="Q323" s="20" t="str">
        <f aca="false">IF('Raw Catalog'!P321&lt;&gt;"","PASS","FAIL - No Image")</f>
        <v>PASS</v>
      </c>
      <c r="R323" s="20" t="str">
        <f aca="false">IF(F323&lt;&gt;"","PASS","FAIL - No Brand")</f>
        <v>PASS</v>
      </c>
      <c r="S323" s="20" t="str">
        <f aca="true">IF(K323="","FAIL - No Date",IF(TODAY()-DATEVALUE(K323)&lt;=180,"PASS","FLAG - Stale &gt;180d"))</f>
        <v>FLAG - Stale &gt;180d</v>
      </c>
      <c r="T323" s="20" t="n">
        <f aca="false">COUNTIF(M323:S323,"FAIL*")+COUNTIF(M323:S323,"FLAG*")</f>
        <v>1</v>
      </c>
      <c r="U323" s="20" t="str">
        <f aca="false">IF(T323=0,"CLEAN",IF(T323=1,"MINOR",IF(T323&lt;=3,"MODERATE","CRITICAL")))</f>
        <v>MINOR</v>
      </c>
      <c r="V323" s="20" t="str">
        <f aca="false">IF(U323="CLEAN","None",IF(U323="MINOR","Seller Notify",IF(U323="MODERATE","Listing Suspended","Immediate Removal")))</f>
        <v>Seller Notify</v>
      </c>
    </row>
    <row r="324" customFormat="false" ht="18" hidden="false" customHeight="true" outlineLevel="0" collapsed="false">
      <c r="A324" s="19" t="s">
        <v>6401</v>
      </c>
      <c r="B324" s="19" t="s">
        <v>2452</v>
      </c>
      <c r="C324" s="19" t="s">
        <v>173</v>
      </c>
      <c r="D324" s="19" t="s">
        <v>174</v>
      </c>
      <c r="E324" s="19" t="s">
        <v>79</v>
      </c>
      <c r="F324" s="19" t="s">
        <v>956</v>
      </c>
      <c r="G324" s="19" t="s">
        <v>2454</v>
      </c>
      <c r="H324" s="19" t="s">
        <v>2455</v>
      </c>
      <c r="I324" s="19" t="s">
        <v>2456</v>
      </c>
      <c r="J324" s="19" t="n">
        <v>870.73</v>
      </c>
      <c r="K324" s="19" t="s">
        <v>1075</v>
      </c>
      <c r="L324" s="19"/>
      <c r="M324" s="20" t="str">
        <f aca="false">IF(G324&lt;&gt;"","PASS","FAIL - Missing UPC")</f>
        <v>PASS</v>
      </c>
      <c r="N324" s="20" t="str">
        <f aca="false">IF(AND(G324&lt;&gt;"",H324&lt;&gt;""),IF("0"&amp;G324=H324,"PASS","FAIL - GTIN Mismatch"),"SKIP")</f>
        <v>PASS</v>
      </c>
      <c r="O324" s="20" t="str">
        <f aca="false">IF(I324="","FAIL - No Title",IF(LEN(I324)&lt;=126,"PASS","FAIL - Title &gt;"&amp;126&amp;" chars"))</f>
        <v>PASS</v>
      </c>
      <c r="P324" s="20" t="str">
        <f aca="false">IF(J324&gt;0,IF(J324&lt;5000,"PASS","FLAG - Review Price"),"FAIL - Zero Price")</f>
        <v>PASS</v>
      </c>
      <c r="Q324" s="20" t="str">
        <f aca="false">IF('Raw Catalog'!P322&lt;&gt;"","PASS","FAIL - No Image")</f>
        <v>PASS</v>
      </c>
      <c r="R324" s="20" t="str">
        <f aca="false">IF(F324&lt;&gt;"","PASS","FAIL - No Brand")</f>
        <v>PASS</v>
      </c>
      <c r="S324" s="20" t="str">
        <f aca="true">IF(K324="","FAIL - No Date",IF(TODAY()-DATEVALUE(K324)&lt;=180,"PASS","FLAG - Stale &gt;180d"))</f>
        <v>FLAG - Stale &gt;180d</v>
      </c>
      <c r="T324" s="20" t="n">
        <f aca="false">COUNTIF(M324:S324,"FAIL*")+COUNTIF(M324:S324,"FLAG*")</f>
        <v>1</v>
      </c>
      <c r="U324" s="20" t="str">
        <f aca="false">IF(T324=0,"CLEAN",IF(T324=1,"MINOR",IF(T324&lt;=3,"MODERATE","CRITICAL")))</f>
        <v>MINOR</v>
      </c>
      <c r="V324" s="20" t="str">
        <f aca="false">IF(U324="CLEAN","None",IF(U324="MINOR","Seller Notify",IF(U324="MODERATE","Listing Suspended","Immediate Removal")))</f>
        <v>Seller Notify</v>
      </c>
    </row>
    <row r="325" customFormat="false" ht="18" hidden="false" customHeight="true" outlineLevel="0" collapsed="false">
      <c r="A325" s="19" t="s">
        <v>6402</v>
      </c>
      <c r="B325" s="19" t="s">
        <v>2458</v>
      </c>
      <c r="C325" s="19" t="s">
        <v>48</v>
      </c>
      <c r="D325" s="19" t="s">
        <v>49</v>
      </c>
      <c r="E325" s="19" t="s">
        <v>65</v>
      </c>
      <c r="F325" s="19" t="s">
        <v>66</v>
      </c>
      <c r="G325" s="19" t="s">
        <v>2460</v>
      </c>
      <c r="H325" s="19" t="s">
        <v>2461</v>
      </c>
      <c r="I325" s="19" t="s">
        <v>107</v>
      </c>
      <c r="J325" s="19" t="n">
        <v>466.2</v>
      </c>
      <c r="K325" s="19" t="s">
        <v>511</v>
      </c>
      <c r="L325" s="19"/>
      <c r="M325" s="20" t="str">
        <f aca="false">IF(G325&lt;&gt;"","PASS","FAIL - Missing UPC")</f>
        <v>PASS</v>
      </c>
      <c r="N325" s="20" t="str">
        <f aca="false">IF(AND(G325&lt;&gt;"",H325&lt;&gt;""),IF("0"&amp;G325=H325,"PASS","FAIL - GTIN Mismatch"),"SKIP")</f>
        <v>PASS</v>
      </c>
      <c r="O325" s="20" t="str">
        <f aca="false">IF(I325="","FAIL - No Title",IF(LEN(I325)&lt;=126,"PASS","FAIL - Title &gt;"&amp;126&amp;" chars"))</f>
        <v>PASS</v>
      </c>
      <c r="P325" s="20" t="str">
        <f aca="false">IF(J325&gt;0,IF(J325&lt;5000,"PASS","FLAG - Review Price"),"FAIL - Zero Price")</f>
        <v>PASS</v>
      </c>
      <c r="Q325" s="20" t="str">
        <f aca="false">IF('Raw Catalog'!P323&lt;&gt;"","PASS","FAIL - No Image")</f>
        <v>PASS</v>
      </c>
      <c r="R325" s="20" t="str">
        <f aca="false">IF(F325&lt;&gt;"","PASS","FAIL - No Brand")</f>
        <v>PASS</v>
      </c>
      <c r="S325" s="20" t="str">
        <f aca="true">IF(K325="","FAIL - No Date",IF(TODAY()-DATEVALUE(K325)&lt;=180,"PASS","FLAG - Stale &gt;180d"))</f>
        <v>FLAG - Stale &gt;180d</v>
      </c>
      <c r="T325" s="20" t="n">
        <f aca="false">COUNTIF(M325:S325,"FAIL*")+COUNTIF(M325:S325,"FLAG*")</f>
        <v>1</v>
      </c>
      <c r="U325" s="20" t="str">
        <f aca="false">IF(T325=0,"CLEAN",IF(T325=1,"MINOR",IF(T325&lt;=3,"MODERATE","CRITICAL")))</f>
        <v>MINOR</v>
      </c>
      <c r="V325" s="20" t="str">
        <f aca="false">IF(U325="CLEAN","None",IF(U325="MINOR","Seller Notify",IF(U325="MODERATE","Listing Suspended","Immediate Removal")))</f>
        <v>Seller Notify</v>
      </c>
    </row>
    <row r="326" customFormat="false" ht="18" hidden="false" customHeight="true" outlineLevel="0" collapsed="false">
      <c r="A326" s="19" t="s">
        <v>6403</v>
      </c>
      <c r="B326" s="19" t="s">
        <v>2463</v>
      </c>
      <c r="C326" s="19" t="s">
        <v>63</v>
      </c>
      <c r="D326" s="19" t="s">
        <v>64</v>
      </c>
      <c r="E326" s="19" t="s">
        <v>79</v>
      </c>
      <c r="F326" s="19" t="s">
        <v>465</v>
      </c>
      <c r="G326" s="19" t="s">
        <v>2465</v>
      </c>
      <c r="H326" s="19" t="s">
        <v>2466</v>
      </c>
      <c r="I326" s="19" t="s">
        <v>2467</v>
      </c>
      <c r="J326" s="19" t="n">
        <v>1577.34</v>
      </c>
      <c r="K326" s="19" t="s">
        <v>2215</v>
      </c>
      <c r="L326" s="19"/>
      <c r="M326" s="20" t="str">
        <f aca="false">IF(G326&lt;&gt;"","PASS","FAIL - Missing UPC")</f>
        <v>PASS</v>
      </c>
      <c r="N326" s="20" t="str">
        <f aca="false">IF(AND(G326&lt;&gt;"",H326&lt;&gt;""),IF("0"&amp;G326=H326,"PASS","FAIL - GTIN Mismatch"),"SKIP")</f>
        <v>PASS</v>
      </c>
      <c r="O326" s="20" t="str">
        <f aca="false">IF(I326="","FAIL - No Title",IF(LEN(I326)&lt;=126,"PASS","FAIL - Title &gt;"&amp;126&amp;" chars"))</f>
        <v>PASS</v>
      </c>
      <c r="P326" s="20" t="str">
        <f aca="false">IF(J326&gt;0,IF(J326&lt;5000,"PASS","FLAG - Review Price"),"FAIL - Zero Price")</f>
        <v>PASS</v>
      </c>
      <c r="Q326" s="20" t="str">
        <f aca="false">IF('Raw Catalog'!P324&lt;&gt;"","PASS","FAIL - No Image")</f>
        <v>PASS</v>
      </c>
      <c r="R326" s="20" t="str">
        <f aca="false">IF(F326&lt;&gt;"","PASS","FAIL - No Brand")</f>
        <v>PASS</v>
      </c>
      <c r="S326" s="20" t="str">
        <f aca="true">IF(K326="","FAIL - No Date",IF(TODAY()-DATEVALUE(K326)&lt;=180,"PASS","FLAG - Stale &gt;180d"))</f>
        <v>FLAG - Stale &gt;180d</v>
      </c>
      <c r="T326" s="20" t="n">
        <f aca="false">COUNTIF(M326:S326,"FAIL*")+COUNTIF(M326:S326,"FLAG*")</f>
        <v>1</v>
      </c>
      <c r="U326" s="20" t="str">
        <f aca="false">IF(T326=0,"CLEAN",IF(T326=1,"MINOR",IF(T326&lt;=3,"MODERATE","CRITICAL")))</f>
        <v>MINOR</v>
      </c>
      <c r="V326" s="20" t="str">
        <f aca="false">IF(U326="CLEAN","None",IF(U326="MINOR","Seller Notify",IF(U326="MODERATE","Listing Suspended","Immediate Removal")))</f>
        <v>Seller Notify</v>
      </c>
    </row>
    <row r="327" customFormat="false" ht="18" hidden="false" customHeight="true" outlineLevel="0" collapsed="false">
      <c r="A327" s="19" t="s">
        <v>6404</v>
      </c>
      <c r="B327" s="19" t="s">
        <v>2468</v>
      </c>
      <c r="C327" s="19" t="s">
        <v>113</v>
      </c>
      <c r="D327" s="19" t="s">
        <v>114</v>
      </c>
      <c r="E327" s="19" t="s">
        <v>91</v>
      </c>
      <c r="F327" s="19" t="s">
        <v>780</v>
      </c>
      <c r="G327" s="19" t="s">
        <v>2470</v>
      </c>
      <c r="H327" s="19" t="s">
        <v>2471</v>
      </c>
      <c r="I327" s="19" t="s">
        <v>2472</v>
      </c>
      <c r="J327" s="19" t="n">
        <v>1905.39</v>
      </c>
      <c r="K327" s="19" t="s">
        <v>2474</v>
      </c>
      <c r="L327" s="21" t="s">
        <v>283</v>
      </c>
      <c r="M327" s="20" t="str">
        <f aca="false">IF(G327&lt;&gt;"","PASS","FAIL - Missing UPC")</f>
        <v>PASS</v>
      </c>
      <c r="N327" s="20" t="str">
        <f aca="false">IF(AND(G327&lt;&gt;"",H327&lt;&gt;""),IF("0"&amp;G327=H327,"PASS","FAIL - GTIN Mismatch"),"SKIP")</f>
        <v>PASS</v>
      </c>
      <c r="O327" s="20" t="str">
        <f aca="false">IF(I327="","FAIL - No Title",IF(LEN(I327)&lt;=126,"PASS","FAIL - Title &gt;"&amp;126&amp;" chars"))</f>
        <v>PASS</v>
      </c>
      <c r="P327" s="20" t="str">
        <f aca="false">IF(J327&gt;0,IF(J327&lt;5000,"PASS","FLAG - Review Price"),"FAIL - Zero Price")</f>
        <v>PASS</v>
      </c>
      <c r="Q327" s="20" t="str">
        <f aca="false">IF('Raw Catalog'!P325&lt;&gt;"","PASS","FAIL - No Image")</f>
        <v>PASS</v>
      </c>
      <c r="R327" s="20" t="str">
        <f aca="false">IF(F327&lt;&gt;"","PASS","FAIL - No Brand")</f>
        <v>PASS</v>
      </c>
      <c r="S327" s="20" t="str">
        <f aca="true">IF(K327="","FAIL - No Date",IF(TODAY()-DATEVALUE(K327)&lt;=180,"PASS","FLAG - Stale &gt;180d"))</f>
        <v>FLAG - Stale &gt;180d</v>
      </c>
      <c r="T327" s="20" t="n">
        <f aca="false">COUNTIF(M327:S327,"FAIL*")+COUNTIF(M327:S327,"FLAG*")</f>
        <v>1</v>
      </c>
      <c r="U327" s="20" t="str">
        <f aca="false">IF(T327=0,"CLEAN",IF(T327=1,"MINOR",IF(T327&lt;=3,"MODERATE","CRITICAL")))</f>
        <v>MINOR</v>
      </c>
      <c r="V327" s="20" t="str">
        <f aca="false">IF(U327="CLEAN","None",IF(U327="MINOR","Seller Notify",IF(U327="MODERATE","Listing Suspended","Immediate Removal")))</f>
        <v>Seller Notify</v>
      </c>
    </row>
    <row r="328" customFormat="false" ht="18" hidden="false" customHeight="true" outlineLevel="0" collapsed="false">
      <c r="A328" s="19" t="s">
        <v>6405</v>
      </c>
      <c r="B328" s="19" t="s">
        <v>2475</v>
      </c>
      <c r="C328" s="19" t="s">
        <v>125</v>
      </c>
      <c r="D328" s="19" t="s">
        <v>126</v>
      </c>
      <c r="E328" s="19" t="s">
        <v>50</v>
      </c>
      <c r="F328" s="19" t="s">
        <v>138</v>
      </c>
      <c r="G328" s="19" t="s">
        <v>2477</v>
      </c>
      <c r="H328" s="19" t="s">
        <v>2478</v>
      </c>
      <c r="I328" s="19" t="s">
        <v>2479</v>
      </c>
      <c r="J328" s="19" t="n">
        <v>461.75</v>
      </c>
      <c r="K328" s="19" t="s">
        <v>2196</v>
      </c>
      <c r="L328" s="19"/>
      <c r="M328" s="20" t="str">
        <f aca="false">IF(G328&lt;&gt;"","PASS","FAIL - Missing UPC")</f>
        <v>PASS</v>
      </c>
      <c r="N328" s="20" t="str">
        <f aca="false">IF(AND(G328&lt;&gt;"",H328&lt;&gt;""),IF("0"&amp;G328=H328,"PASS","FAIL - GTIN Mismatch"),"SKIP")</f>
        <v>PASS</v>
      </c>
      <c r="O328" s="20" t="str">
        <f aca="false">IF(I328="","FAIL - No Title",IF(LEN(I328)&lt;=126,"PASS","FAIL - Title &gt;"&amp;126&amp;" chars"))</f>
        <v>PASS</v>
      </c>
      <c r="P328" s="20" t="str">
        <f aca="false">IF(J328&gt;0,IF(J328&lt;5000,"PASS","FLAG - Review Price"),"FAIL - Zero Price")</f>
        <v>PASS</v>
      </c>
      <c r="Q328" s="20" t="str">
        <f aca="false">IF('Raw Catalog'!P326&lt;&gt;"","PASS","FAIL - No Image")</f>
        <v>PASS</v>
      </c>
      <c r="R328" s="20" t="str">
        <f aca="false">IF(F328&lt;&gt;"","PASS","FAIL - No Brand")</f>
        <v>PASS</v>
      </c>
      <c r="S328" s="20" t="str">
        <f aca="true">IF(K328="","FAIL - No Date",IF(TODAY()-DATEVALUE(K328)&lt;=180,"PASS","FLAG - Stale &gt;180d"))</f>
        <v>FLAG - Stale &gt;180d</v>
      </c>
      <c r="T328" s="20" t="n">
        <f aca="false">COUNTIF(M328:S328,"FAIL*")+COUNTIF(M328:S328,"FLAG*")</f>
        <v>1</v>
      </c>
      <c r="U328" s="20" t="str">
        <f aca="false">IF(T328=0,"CLEAN",IF(T328=1,"MINOR",IF(T328&lt;=3,"MODERATE","CRITICAL")))</f>
        <v>MINOR</v>
      </c>
      <c r="V328" s="20" t="str">
        <f aca="false">IF(U328="CLEAN","None",IF(U328="MINOR","Seller Notify",IF(U328="MODERATE","Listing Suspended","Immediate Removal")))</f>
        <v>Seller Notify</v>
      </c>
    </row>
    <row r="329" customFormat="false" ht="18" hidden="false" customHeight="true" outlineLevel="0" collapsed="false">
      <c r="A329" s="19" t="s">
        <v>6406</v>
      </c>
      <c r="B329" s="19" t="s">
        <v>2481</v>
      </c>
      <c r="C329" s="19" t="s">
        <v>63</v>
      </c>
      <c r="D329" s="19" t="s">
        <v>64</v>
      </c>
      <c r="E329" s="19" t="s">
        <v>161</v>
      </c>
      <c r="F329" s="19" t="s">
        <v>822</v>
      </c>
      <c r="G329" s="19" t="s">
        <v>2483</v>
      </c>
      <c r="H329" s="19" t="s">
        <v>2484</v>
      </c>
      <c r="I329" s="19" t="s">
        <v>1040</v>
      </c>
      <c r="J329" s="19" t="n">
        <v>398.9</v>
      </c>
      <c r="K329" s="19" t="s">
        <v>2434</v>
      </c>
      <c r="L329" s="19"/>
      <c r="M329" s="20" t="str">
        <f aca="false">IF(G329&lt;&gt;"","PASS","FAIL - Missing UPC")</f>
        <v>PASS</v>
      </c>
      <c r="N329" s="20" t="str">
        <f aca="false">IF(AND(G329&lt;&gt;"",H329&lt;&gt;""),IF("0"&amp;G329=H329,"PASS","FAIL - GTIN Mismatch"),"SKIP")</f>
        <v>PASS</v>
      </c>
      <c r="O329" s="20" t="str">
        <f aca="false">IF(I329="","FAIL - No Title",IF(LEN(I329)&lt;=126,"PASS","FAIL - Title &gt;"&amp;126&amp;" chars"))</f>
        <v>PASS</v>
      </c>
      <c r="P329" s="20" t="str">
        <f aca="false">IF(J329&gt;0,IF(J329&lt;5000,"PASS","FLAG - Review Price"),"FAIL - Zero Price")</f>
        <v>PASS</v>
      </c>
      <c r="Q329" s="20" t="str">
        <f aca="false">IF('Raw Catalog'!P327&lt;&gt;"","PASS","FAIL - No Image")</f>
        <v>PASS</v>
      </c>
      <c r="R329" s="20" t="str">
        <f aca="false">IF(F329&lt;&gt;"","PASS","FAIL - No Brand")</f>
        <v>PASS</v>
      </c>
      <c r="S329" s="20" t="str">
        <f aca="true">IF(K329="","FAIL - No Date",IF(TODAY()-DATEVALUE(K329)&lt;=180,"PASS","FLAG - Stale &gt;180d"))</f>
        <v>FLAG - Stale &gt;180d</v>
      </c>
      <c r="T329" s="20" t="n">
        <f aca="false">COUNTIF(M329:S329,"FAIL*")+COUNTIF(M329:S329,"FLAG*")</f>
        <v>1</v>
      </c>
      <c r="U329" s="20" t="str">
        <f aca="false">IF(T329=0,"CLEAN",IF(T329=1,"MINOR",IF(T329&lt;=3,"MODERATE","CRITICAL")))</f>
        <v>MINOR</v>
      </c>
      <c r="V329" s="20" t="str">
        <f aca="false">IF(U329="CLEAN","None",IF(U329="MINOR","Seller Notify",IF(U329="MODERATE","Listing Suspended","Immediate Removal")))</f>
        <v>Seller Notify</v>
      </c>
    </row>
    <row r="330" customFormat="false" ht="18" hidden="false" customHeight="true" outlineLevel="0" collapsed="false">
      <c r="A330" s="19" t="s">
        <v>6407</v>
      </c>
      <c r="B330" s="19" t="s">
        <v>2485</v>
      </c>
      <c r="C330" s="19" t="s">
        <v>48</v>
      </c>
      <c r="D330" s="19" t="s">
        <v>49</v>
      </c>
      <c r="E330" s="19" t="s">
        <v>79</v>
      </c>
      <c r="F330" s="19" t="s">
        <v>465</v>
      </c>
      <c r="G330" s="19" t="s">
        <v>2487</v>
      </c>
      <c r="H330" s="19" t="s">
        <v>2488</v>
      </c>
      <c r="I330" s="19" t="s">
        <v>2489</v>
      </c>
      <c r="J330" s="19" t="n">
        <v>2227.96</v>
      </c>
      <c r="K330" s="19" t="s">
        <v>2492</v>
      </c>
      <c r="L330" s="19"/>
      <c r="M330" s="20" t="str">
        <f aca="false">IF(G330&lt;&gt;"","PASS","FAIL - Missing UPC")</f>
        <v>PASS</v>
      </c>
      <c r="N330" s="20" t="str">
        <f aca="false">IF(AND(G330&lt;&gt;"",H330&lt;&gt;""),IF("0"&amp;G330=H330,"PASS","FAIL - GTIN Mismatch"),"SKIP")</f>
        <v>PASS</v>
      </c>
      <c r="O330" s="20" t="str">
        <f aca="false">IF(I330="","FAIL - No Title",IF(LEN(I330)&lt;=126,"PASS","FAIL - Title &gt;"&amp;126&amp;" chars"))</f>
        <v>PASS</v>
      </c>
      <c r="P330" s="20" t="str">
        <f aca="false">IF(J330&gt;0,IF(J330&lt;5000,"PASS","FLAG - Review Price"),"FAIL - Zero Price")</f>
        <v>PASS</v>
      </c>
      <c r="Q330" s="20" t="str">
        <f aca="false">IF('Raw Catalog'!P328&lt;&gt;"","PASS","FAIL - No Image")</f>
        <v>PASS</v>
      </c>
      <c r="R330" s="20" t="str">
        <f aca="false">IF(F330&lt;&gt;"","PASS","FAIL - No Brand")</f>
        <v>PASS</v>
      </c>
      <c r="S330" s="20" t="str">
        <f aca="true">IF(K330="","FAIL - No Date",IF(TODAY()-DATEVALUE(K330)&lt;=180,"PASS","FLAG - Stale &gt;180d"))</f>
        <v>FLAG - Stale &gt;180d</v>
      </c>
      <c r="T330" s="20" t="n">
        <f aca="false">COUNTIF(M330:S330,"FAIL*")+COUNTIF(M330:S330,"FLAG*")</f>
        <v>1</v>
      </c>
      <c r="U330" s="20" t="str">
        <f aca="false">IF(T330=0,"CLEAN",IF(T330=1,"MINOR",IF(T330&lt;=3,"MODERATE","CRITICAL")))</f>
        <v>MINOR</v>
      </c>
      <c r="V330" s="20" t="str">
        <f aca="false">IF(U330="CLEAN","None",IF(U330="MINOR","Seller Notify",IF(U330="MODERATE","Listing Suspended","Immediate Removal")))</f>
        <v>Seller Notify</v>
      </c>
    </row>
    <row r="331" customFormat="false" ht="18" hidden="false" customHeight="true" outlineLevel="0" collapsed="false">
      <c r="A331" s="19" t="s">
        <v>6408</v>
      </c>
      <c r="B331" s="19" t="s">
        <v>2493</v>
      </c>
      <c r="C331" s="19" t="s">
        <v>63</v>
      </c>
      <c r="D331" s="19" t="s">
        <v>64</v>
      </c>
      <c r="E331" s="19" t="s">
        <v>50</v>
      </c>
      <c r="F331" s="19" t="s">
        <v>115</v>
      </c>
      <c r="G331" s="19" t="s">
        <v>2495</v>
      </c>
      <c r="H331" s="19" t="s">
        <v>2496</v>
      </c>
      <c r="I331" s="19" t="s">
        <v>2497</v>
      </c>
      <c r="J331" s="19" t="n">
        <v>290.16</v>
      </c>
      <c r="K331" s="19" t="s">
        <v>554</v>
      </c>
      <c r="L331" s="19"/>
      <c r="M331" s="20" t="str">
        <f aca="false">IF(G331&lt;&gt;"","PASS","FAIL - Missing UPC")</f>
        <v>PASS</v>
      </c>
      <c r="N331" s="20" t="str">
        <f aca="false">IF(AND(G331&lt;&gt;"",H331&lt;&gt;""),IF("0"&amp;G331=H331,"PASS","FAIL - GTIN Mismatch"),"SKIP")</f>
        <v>PASS</v>
      </c>
      <c r="O331" s="20" t="str">
        <f aca="false">IF(I331="","FAIL - No Title",IF(LEN(I331)&lt;=126,"PASS","FAIL - Title &gt;"&amp;126&amp;" chars"))</f>
        <v>PASS</v>
      </c>
      <c r="P331" s="20" t="str">
        <f aca="false">IF(J331&gt;0,IF(J331&lt;5000,"PASS","FLAG - Review Price"),"FAIL - Zero Price")</f>
        <v>PASS</v>
      </c>
      <c r="Q331" s="20" t="str">
        <f aca="false">IF('Raw Catalog'!P329&lt;&gt;"","PASS","FAIL - No Image")</f>
        <v>PASS</v>
      </c>
      <c r="R331" s="20" t="str">
        <f aca="false">IF(F331&lt;&gt;"","PASS","FAIL - No Brand")</f>
        <v>PASS</v>
      </c>
      <c r="S331" s="20" t="str">
        <f aca="true">IF(K331="","FAIL - No Date",IF(TODAY()-DATEVALUE(K331)&lt;=180,"PASS","FLAG - Stale &gt;180d"))</f>
        <v>FLAG - Stale &gt;180d</v>
      </c>
      <c r="T331" s="20" t="n">
        <f aca="false">COUNTIF(M331:S331,"FAIL*")+COUNTIF(M331:S331,"FLAG*")</f>
        <v>1</v>
      </c>
      <c r="U331" s="20" t="str">
        <f aca="false">IF(T331=0,"CLEAN",IF(T331=1,"MINOR",IF(T331&lt;=3,"MODERATE","CRITICAL")))</f>
        <v>MINOR</v>
      </c>
      <c r="V331" s="20" t="str">
        <f aca="false">IF(U331="CLEAN","None",IF(U331="MINOR","Seller Notify",IF(U331="MODERATE","Listing Suspended","Immediate Removal")))</f>
        <v>Seller Notify</v>
      </c>
    </row>
    <row r="332" customFormat="false" ht="18" hidden="false" customHeight="true" outlineLevel="0" collapsed="false">
      <c r="A332" s="19" t="s">
        <v>6409</v>
      </c>
      <c r="B332" s="19" t="s">
        <v>2498</v>
      </c>
      <c r="C332" s="19" t="s">
        <v>173</v>
      </c>
      <c r="D332" s="19" t="s">
        <v>174</v>
      </c>
      <c r="E332" s="19" t="s">
        <v>65</v>
      </c>
      <c r="F332" s="19" t="s">
        <v>438</v>
      </c>
      <c r="G332" s="19" t="s">
        <v>2500</v>
      </c>
      <c r="H332" s="19" t="s">
        <v>2501</v>
      </c>
      <c r="I332" s="19" t="s">
        <v>2046</v>
      </c>
      <c r="J332" s="19" t="n">
        <v>311.18</v>
      </c>
      <c r="K332" s="19" t="s">
        <v>2503</v>
      </c>
      <c r="L332" s="19"/>
      <c r="M332" s="20" t="str">
        <f aca="false">IF(G332&lt;&gt;"","PASS","FAIL - Missing UPC")</f>
        <v>PASS</v>
      </c>
      <c r="N332" s="20" t="str">
        <f aca="false">IF(AND(G332&lt;&gt;"",H332&lt;&gt;""),IF("0"&amp;G332=H332,"PASS","FAIL - GTIN Mismatch"),"SKIP")</f>
        <v>PASS</v>
      </c>
      <c r="O332" s="20" t="str">
        <f aca="false">IF(I332="","FAIL - No Title",IF(LEN(I332)&lt;=126,"PASS","FAIL - Title &gt;"&amp;126&amp;" chars"))</f>
        <v>PASS</v>
      </c>
      <c r="P332" s="20" t="str">
        <f aca="false">IF(J332&gt;0,IF(J332&lt;5000,"PASS","FLAG - Review Price"),"FAIL - Zero Price")</f>
        <v>PASS</v>
      </c>
      <c r="Q332" s="20" t="str">
        <f aca="false">IF('Raw Catalog'!P330&lt;&gt;"","PASS","FAIL - No Image")</f>
        <v>PASS</v>
      </c>
      <c r="R332" s="20" t="str">
        <f aca="false">IF(F332&lt;&gt;"","PASS","FAIL - No Brand")</f>
        <v>PASS</v>
      </c>
      <c r="S332" s="20" t="str">
        <f aca="true">IF(K332="","FAIL - No Date",IF(TODAY()-DATEVALUE(K332)&lt;=180,"PASS","FLAG - Stale &gt;180d"))</f>
        <v>FLAG - Stale &gt;180d</v>
      </c>
      <c r="T332" s="20" t="n">
        <f aca="false">COUNTIF(M332:S332,"FAIL*")+COUNTIF(M332:S332,"FLAG*")</f>
        <v>1</v>
      </c>
      <c r="U332" s="20" t="str">
        <f aca="false">IF(T332=0,"CLEAN",IF(T332=1,"MINOR",IF(T332&lt;=3,"MODERATE","CRITICAL")))</f>
        <v>MINOR</v>
      </c>
      <c r="V332" s="20" t="str">
        <f aca="false">IF(U332="CLEAN","None",IF(U332="MINOR","Seller Notify",IF(U332="MODERATE","Listing Suspended","Immediate Removal")))</f>
        <v>Seller Notify</v>
      </c>
    </row>
    <row r="333" customFormat="false" ht="18" hidden="false" customHeight="true" outlineLevel="0" collapsed="false">
      <c r="A333" s="19" t="s">
        <v>6410</v>
      </c>
      <c r="B333" s="19" t="s">
        <v>620</v>
      </c>
      <c r="C333" s="19" t="s">
        <v>173</v>
      </c>
      <c r="D333" s="19" t="s">
        <v>174</v>
      </c>
      <c r="E333" s="19" t="s">
        <v>91</v>
      </c>
      <c r="F333" s="19" t="s">
        <v>419</v>
      </c>
      <c r="G333" s="19" t="s">
        <v>2504</v>
      </c>
      <c r="H333" s="19" t="s">
        <v>622</v>
      </c>
      <c r="I333" s="19" t="s">
        <v>623</v>
      </c>
      <c r="J333" s="19" t="n">
        <v>3378.48</v>
      </c>
      <c r="K333" s="19" t="s">
        <v>627</v>
      </c>
      <c r="L333" s="21" t="s">
        <v>283</v>
      </c>
      <c r="M333" s="20" t="str">
        <f aca="false">IF(G333&lt;&gt;"","PASS","FAIL - Missing UPC")</f>
        <v>PASS</v>
      </c>
      <c r="N333" s="20" t="str">
        <f aca="false">IF(AND(G333&lt;&gt;"",H333&lt;&gt;""),IF("0"&amp;G333=H333,"PASS","FAIL - GTIN Mismatch"),"SKIP")</f>
        <v>PASS</v>
      </c>
      <c r="O333" s="20" t="str">
        <f aca="false">IF(I333="","FAIL - No Title",IF(LEN(I333)&lt;=126,"PASS","FAIL - Title &gt;"&amp;126&amp;" chars"))</f>
        <v>PASS</v>
      </c>
      <c r="P333" s="20" t="str">
        <f aca="false">IF(J333&gt;0,IF(J333&lt;5000,"PASS","FLAG - Review Price"),"FAIL - Zero Price")</f>
        <v>PASS</v>
      </c>
      <c r="Q333" s="20" t="str">
        <f aca="false">IF('Raw Catalog'!P331&lt;&gt;"","PASS","FAIL - No Image")</f>
        <v>PASS</v>
      </c>
      <c r="R333" s="20" t="str">
        <f aca="false">IF(F333&lt;&gt;"","PASS","FAIL - No Brand")</f>
        <v>PASS</v>
      </c>
      <c r="S333" s="20" t="str">
        <f aca="true">IF(K333="","FAIL - No Date",IF(TODAY()-DATEVALUE(K333)&lt;=180,"PASS","FLAG - Stale &gt;180d"))</f>
        <v>FLAG - Stale &gt;180d</v>
      </c>
      <c r="T333" s="20" t="n">
        <f aca="false">COUNTIF(M333:S333,"FAIL*")+COUNTIF(M333:S333,"FLAG*")</f>
        <v>1</v>
      </c>
      <c r="U333" s="20" t="str">
        <f aca="false">IF(T333=0,"CLEAN",IF(T333=1,"MINOR",IF(T333&lt;=3,"MODERATE","CRITICAL")))</f>
        <v>MINOR</v>
      </c>
      <c r="V333" s="20" t="str">
        <f aca="false">IF(U333="CLEAN","None",IF(U333="MINOR","Seller Notify",IF(U333="MODERATE","Listing Suspended","Immediate Removal")))</f>
        <v>Seller Notify</v>
      </c>
    </row>
    <row r="334" customFormat="false" ht="18" hidden="false" customHeight="true" outlineLevel="0" collapsed="false">
      <c r="A334" s="19" t="s">
        <v>6411</v>
      </c>
      <c r="B334" s="19" t="s">
        <v>2505</v>
      </c>
      <c r="C334" s="19" t="s">
        <v>77</v>
      </c>
      <c r="D334" s="19" t="s">
        <v>78</v>
      </c>
      <c r="E334" s="19" t="s">
        <v>79</v>
      </c>
      <c r="F334" s="19" t="s">
        <v>196</v>
      </c>
      <c r="G334" s="19" t="s">
        <v>2507</v>
      </c>
      <c r="H334" s="19" t="s">
        <v>2508</v>
      </c>
      <c r="I334" s="19" t="s">
        <v>2509</v>
      </c>
      <c r="J334" s="19" t="n">
        <v>1493.39</v>
      </c>
      <c r="K334" s="19" t="s">
        <v>531</v>
      </c>
      <c r="L334" s="19"/>
      <c r="M334" s="20" t="str">
        <f aca="false">IF(G334&lt;&gt;"","PASS","FAIL - Missing UPC")</f>
        <v>PASS</v>
      </c>
      <c r="N334" s="20" t="str">
        <f aca="false">IF(AND(G334&lt;&gt;"",H334&lt;&gt;""),IF("0"&amp;G334=H334,"PASS","FAIL - GTIN Mismatch"),"SKIP")</f>
        <v>PASS</v>
      </c>
      <c r="O334" s="20" t="str">
        <f aca="false">IF(I334="","FAIL - No Title",IF(LEN(I334)&lt;=126,"PASS","FAIL - Title &gt;"&amp;126&amp;" chars"))</f>
        <v>PASS</v>
      </c>
      <c r="P334" s="20" t="str">
        <f aca="false">IF(J334&gt;0,IF(J334&lt;5000,"PASS","FLAG - Review Price"),"FAIL - Zero Price")</f>
        <v>PASS</v>
      </c>
      <c r="Q334" s="20" t="str">
        <f aca="false">IF('Raw Catalog'!P332&lt;&gt;"","PASS","FAIL - No Image")</f>
        <v>PASS</v>
      </c>
      <c r="R334" s="20" t="str">
        <f aca="false">IF(F334&lt;&gt;"","PASS","FAIL - No Brand")</f>
        <v>PASS</v>
      </c>
      <c r="S334" s="20" t="str">
        <f aca="true">IF(K334="","FAIL - No Date",IF(TODAY()-DATEVALUE(K334)&lt;=180,"PASS","FLAG - Stale &gt;180d"))</f>
        <v>FLAG - Stale &gt;180d</v>
      </c>
      <c r="T334" s="20" t="n">
        <f aca="false">COUNTIF(M334:S334,"FAIL*")+COUNTIF(M334:S334,"FLAG*")</f>
        <v>1</v>
      </c>
      <c r="U334" s="20" t="str">
        <f aca="false">IF(T334=0,"CLEAN",IF(T334=1,"MINOR",IF(T334&lt;=3,"MODERATE","CRITICAL")))</f>
        <v>MINOR</v>
      </c>
      <c r="V334" s="20" t="str">
        <f aca="false">IF(U334="CLEAN","None",IF(U334="MINOR","Seller Notify",IF(U334="MODERATE","Listing Suspended","Immediate Removal")))</f>
        <v>Seller Notify</v>
      </c>
    </row>
    <row r="335" customFormat="false" ht="18" hidden="false" customHeight="true" outlineLevel="0" collapsed="false">
      <c r="A335" s="19" t="s">
        <v>6412</v>
      </c>
      <c r="B335" s="19" t="s">
        <v>2511</v>
      </c>
      <c r="C335" s="19" t="s">
        <v>125</v>
      </c>
      <c r="D335" s="19" t="s">
        <v>126</v>
      </c>
      <c r="E335" s="19" t="s">
        <v>161</v>
      </c>
      <c r="F335" s="19" t="s">
        <v>185</v>
      </c>
      <c r="G335" s="19"/>
      <c r="H335" s="19" t="s">
        <v>2513</v>
      </c>
      <c r="I335" s="19" t="s">
        <v>2514</v>
      </c>
      <c r="J335" s="19" t="n">
        <v>282.5</v>
      </c>
      <c r="K335" s="19" t="s">
        <v>1894</v>
      </c>
      <c r="L335" s="21" t="s">
        <v>272</v>
      </c>
      <c r="M335" s="20" t="str">
        <f aca="false">IF(G335&lt;&gt;"","PASS","FAIL - Missing UPC")</f>
        <v>FAIL - Missing UPC</v>
      </c>
      <c r="N335" s="20" t="str">
        <f aca="false">IF(AND(G335&lt;&gt;"",H335&lt;&gt;""),IF("0"&amp;G335=H335,"PASS","FAIL - GTIN Mismatch"),"SKIP")</f>
        <v>SKIP</v>
      </c>
      <c r="O335" s="20" t="str">
        <f aca="false">IF(I335="","FAIL - No Title",IF(LEN(I335)&lt;=126,"PASS","FAIL - Title &gt;"&amp;126&amp;" chars"))</f>
        <v>PASS</v>
      </c>
      <c r="P335" s="20" t="str">
        <f aca="false">IF(J335&gt;0,IF(J335&lt;5000,"PASS","FLAG - Review Price"),"FAIL - Zero Price")</f>
        <v>PASS</v>
      </c>
      <c r="Q335" s="20" t="str">
        <f aca="false">IF('Raw Catalog'!P333&lt;&gt;"","PASS","FAIL - No Image")</f>
        <v>PASS</v>
      </c>
      <c r="R335" s="20" t="str">
        <f aca="false">IF(F335&lt;&gt;"","PASS","FAIL - No Brand")</f>
        <v>PASS</v>
      </c>
      <c r="S335" s="20" t="str">
        <f aca="true">IF(K335="","FAIL - No Date",IF(TODAY()-DATEVALUE(K335)&lt;=180,"PASS","FLAG - Stale &gt;180d"))</f>
        <v>FLAG - Stale &gt;180d</v>
      </c>
      <c r="T335" s="20" t="n">
        <f aca="false">COUNTIF(M335:S335,"FAIL*")+COUNTIF(M335:S335,"FLAG*")</f>
        <v>2</v>
      </c>
      <c r="U335" s="20" t="str">
        <f aca="false">IF(T335=0,"CLEAN",IF(T335=1,"MINOR",IF(T335&lt;=3,"MODERATE","CRITICAL")))</f>
        <v>MODERATE</v>
      </c>
      <c r="V335" s="20" t="str">
        <f aca="false">IF(U335="CLEAN","None",IF(U335="MINOR","Seller Notify",IF(U335="MODERATE","Listing Suspended","Immediate Removal")))</f>
        <v>Listing Suspended</v>
      </c>
    </row>
    <row r="336" customFormat="false" ht="18" hidden="false" customHeight="true" outlineLevel="0" collapsed="false">
      <c r="A336" s="19" t="s">
        <v>6413</v>
      </c>
      <c r="B336" s="19" t="s">
        <v>2516</v>
      </c>
      <c r="C336" s="19" t="s">
        <v>113</v>
      </c>
      <c r="D336" s="19" t="s">
        <v>114</v>
      </c>
      <c r="E336" s="19" t="s">
        <v>50</v>
      </c>
      <c r="F336" s="19" t="s">
        <v>503</v>
      </c>
      <c r="G336" s="19" t="s">
        <v>2518</v>
      </c>
      <c r="H336" s="19" t="s">
        <v>2519</v>
      </c>
      <c r="I336" s="19" t="s">
        <v>2520</v>
      </c>
      <c r="J336" s="19" t="n">
        <v>373.34</v>
      </c>
      <c r="K336" s="19" t="s">
        <v>2305</v>
      </c>
      <c r="L336" s="21" t="s">
        <v>283</v>
      </c>
      <c r="M336" s="20" t="str">
        <f aca="false">IF(G336&lt;&gt;"","PASS","FAIL - Missing UPC")</f>
        <v>PASS</v>
      </c>
      <c r="N336" s="20" t="str">
        <f aca="false">IF(AND(G336&lt;&gt;"",H336&lt;&gt;""),IF("0"&amp;G336=H336,"PASS","FAIL - GTIN Mismatch"),"SKIP")</f>
        <v>PASS</v>
      </c>
      <c r="O336" s="20" t="str">
        <f aca="false">IF(I336="","FAIL - No Title",IF(LEN(I336)&lt;=126,"PASS","FAIL - Title &gt;"&amp;126&amp;" chars"))</f>
        <v>PASS</v>
      </c>
      <c r="P336" s="20" t="str">
        <f aca="false">IF(J336&gt;0,IF(J336&lt;5000,"PASS","FLAG - Review Price"),"FAIL - Zero Price")</f>
        <v>PASS</v>
      </c>
      <c r="Q336" s="20" t="str">
        <f aca="false">IF('Raw Catalog'!P334&lt;&gt;"","PASS","FAIL - No Image")</f>
        <v>PASS</v>
      </c>
      <c r="R336" s="20" t="str">
        <f aca="false">IF(F336&lt;&gt;"","PASS","FAIL - No Brand")</f>
        <v>PASS</v>
      </c>
      <c r="S336" s="20" t="str">
        <f aca="true">IF(K336="","FAIL - No Date",IF(TODAY()-DATEVALUE(K336)&lt;=180,"PASS","FLAG - Stale &gt;180d"))</f>
        <v>FLAG - Stale &gt;180d</v>
      </c>
      <c r="T336" s="20" t="n">
        <f aca="false">COUNTIF(M336:S336,"FAIL*")+COUNTIF(M336:S336,"FLAG*")</f>
        <v>1</v>
      </c>
      <c r="U336" s="20" t="str">
        <f aca="false">IF(T336=0,"CLEAN",IF(T336=1,"MINOR",IF(T336&lt;=3,"MODERATE","CRITICAL")))</f>
        <v>MINOR</v>
      </c>
      <c r="V336" s="20" t="str">
        <f aca="false">IF(U336="CLEAN","None",IF(U336="MINOR","Seller Notify",IF(U336="MODERATE","Listing Suspended","Immediate Removal")))</f>
        <v>Seller Notify</v>
      </c>
    </row>
    <row r="337" customFormat="false" ht="18" hidden="false" customHeight="true" outlineLevel="0" collapsed="false">
      <c r="A337" s="19" t="s">
        <v>6414</v>
      </c>
      <c r="B337" s="19" t="s">
        <v>2522</v>
      </c>
      <c r="C337" s="19" t="s">
        <v>255</v>
      </c>
      <c r="D337" s="19" t="s">
        <v>256</v>
      </c>
      <c r="E337" s="19" t="s">
        <v>50</v>
      </c>
      <c r="F337" s="19" t="s">
        <v>503</v>
      </c>
      <c r="G337" s="19" t="s">
        <v>2524</v>
      </c>
      <c r="H337" s="19" t="s">
        <v>2525</v>
      </c>
      <c r="I337" s="19" t="s">
        <v>2526</v>
      </c>
      <c r="J337" s="19" t="n">
        <v>7503.44</v>
      </c>
      <c r="K337" s="19" t="s">
        <v>2527</v>
      </c>
      <c r="L337" s="21" t="s">
        <v>343</v>
      </c>
      <c r="M337" s="20" t="str">
        <f aca="false">IF(G337&lt;&gt;"","PASS","FAIL - Missing UPC")</f>
        <v>PASS</v>
      </c>
      <c r="N337" s="20" t="str">
        <f aca="false">IF(AND(G337&lt;&gt;"",H337&lt;&gt;""),IF("0"&amp;G337=H337,"PASS","FAIL - GTIN Mismatch"),"SKIP")</f>
        <v>PASS</v>
      </c>
      <c r="O337" s="20" t="str">
        <f aca="false">IF(I337="","FAIL - No Title",IF(LEN(I337)&lt;=126,"PASS","FAIL - Title &gt;"&amp;126&amp;" chars"))</f>
        <v>PASS</v>
      </c>
      <c r="P337" s="20" t="str">
        <f aca="false">IF(J337&gt;0,IF(J337&lt;5000,"PASS","FLAG - Review Price"),"FAIL - Zero Price")</f>
        <v>FLAG - Review Price</v>
      </c>
      <c r="Q337" s="20" t="str">
        <f aca="false">IF('Raw Catalog'!P335&lt;&gt;"","PASS","FAIL - No Image")</f>
        <v>PASS</v>
      </c>
      <c r="R337" s="20" t="str">
        <f aca="false">IF(F337&lt;&gt;"","PASS","FAIL - No Brand")</f>
        <v>PASS</v>
      </c>
      <c r="S337" s="20" t="str">
        <f aca="true">IF(K337="","FAIL - No Date",IF(TODAY()-DATEVALUE(K337)&lt;=180,"PASS","FLAG - Stale &gt;180d"))</f>
        <v>FLAG - Stale &gt;180d</v>
      </c>
      <c r="T337" s="20" t="n">
        <f aca="false">COUNTIF(M337:S337,"FAIL*")+COUNTIF(M337:S337,"FLAG*")</f>
        <v>2</v>
      </c>
      <c r="U337" s="20" t="str">
        <f aca="false">IF(T337=0,"CLEAN",IF(T337=1,"MINOR",IF(T337&lt;=3,"MODERATE","CRITICAL")))</f>
        <v>MODERATE</v>
      </c>
      <c r="V337" s="20" t="str">
        <f aca="false">IF(U337="CLEAN","None",IF(U337="MINOR","Seller Notify",IF(U337="MODERATE","Listing Suspended","Immediate Removal")))</f>
        <v>Listing Suspended</v>
      </c>
    </row>
    <row r="338" customFormat="false" ht="18" hidden="false" customHeight="true" outlineLevel="0" collapsed="false">
      <c r="A338" s="19" t="s">
        <v>6415</v>
      </c>
      <c r="B338" s="19" t="s">
        <v>2528</v>
      </c>
      <c r="C338" s="19" t="s">
        <v>125</v>
      </c>
      <c r="D338" s="19" t="s">
        <v>126</v>
      </c>
      <c r="E338" s="19" t="s">
        <v>91</v>
      </c>
      <c r="F338" s="19" t="s">
        <v>185</v>
      </c>
      <c r="G338" s="19" t="s">
        <v>2530</v>
      </c>
      <c r="H338" s="19" t="s">
        <v>2531</v>
      </c>
      <c r="I338" s="19" t="s">
        <v>2532</v>
      </c>
      <c r="J338" s="19" t="n">
        <v>2317.84</v>
      </c>
      <c r="K338" s="19" t="s">
        <v>1529</v>
      </c>
      <c r="L338" s="19"/>
      <c r="M338" s="20" t="str">
        <f aca="false">IF(G338&lt;&gt;"","PASS","FAIL - Missing UPC")</f>
        <v>PASS</v>
      </c>
      <c r="N338" s="20" t="str">
        <f aca="false">IF(AND(G338&lt;&gt;"",H338&lt;&gt;""),IF("0"&amp;G338=H338,"PASS","FAIL - GTIN Mismatch"),"SKIP")</f>
        <v>PASS</v>
      </c>
      <c r="O338" s="20" t="str">
        <f aca="false">IF(I338="","FAIL - No Title",IF(LEN(I338)&lt;=126,"PASS","FAIL - Title &gt;"&amp;126&amp;" chars"))</f>
        <v>PASS</v>
      </c>
      <c r="P338" s="20" t="str">
        <f aca="false">IF(J338&gt;0,IF(J338&lt;5000,"PASS","FLAG - Review Price"),"FAIL - Zero Price")</f>
        <v>PASS</v>
      </c>
      <c r="Q338" s="20" t="str">
        <f aca="false">IF('Raw Catalog'!P336&lt;&gt;"","PASS","FAIL - No Image")</f>
        <v>PASS</v>
      </c>
      <c r="R338" s="20" t="str">
        <f aca="false">IF(F338&lt;&gt;"","PASS","FAIL - No Brand")</f>
        <v>PASS</v>
      </c>
      <c r="S338" s="20" t="str">
        <f aca="true">IF(K338="","FAIL - No Date",IF(TODAY()-DATEVALUE(K338)&lt;=180,"PASS","FLAG - Stale &gt;180d"))</f>
        <v>FLAG - Stale &gt;180d</v>
      </c>
      <c r="T338" s="20" t="n">
        <f aca="false">COUNTIF(M338:S338,"FAIL*")+COUNTIF(M338:S338,"FLAG*")</f>
        <v>1</v>
      </c>
      <c r="U338" s="20" t="str">
        <f aca="false">IF(T338=0,"CLEAN",IF(T338=1,"MINOR",IF(T338&lt;=3,"MODERATE","CRITICAL")))</f>
        <v>MINOR</v>
      </c>
      <c r="V338" s="20" t="str">
        <f aca="false">IF(U338="CLEAN","None",IF(U338="MINOR","Seller Notify",IF(U338="MODERATE","Listing Suspended","Immediate Removal")))</f>
        <v>Seller Notify</v>
      </c>
    </row>
    <row r="339" customFormat="false" ht="18" hidden="false" customHeight="true" outlineLevel="0" collapsed="false">
      <c r="A339" s="19" t="s">
        <v>6416</v>
      </c>
      <c r="B339" s="19" t="s">
        <v>2533</v>
      </c>
      <c r="C339" s="19" t="s">
        <v>159</v>
      </c>
      <c r="D339" s="19" t="s">
        <v>160</v>
      </c>
      <c r="E339" s="19" t="s">
        <v>50</v>
      </c>
      <c r="F339" s="19" t="s">
        <v>503</v>
      </c>
      <c r="G339" s="19" t="s">
        <v>2535</v>
      </c>
      <c r="H339" s="19" t="s">
        <v>2536</v>
      </c>
      <c r="I339" s="19" t="s">
        <v>2537</v>
      </c>
      <c r="J339" s="19" t="n">
        <v>965.49</v>
      </c>
      <c r="K339" s="19" t="s">
        <v>2305</v>
      </c>
      <c r="L339" s="19"/>
      <c r="M339" s="20" t="str">
        <f aca="false">IF(G339&lt;&gt;"","PASS","FAIL - Missing UPC")</f>
        <v>PASS</v>
      </c>
      <c r="N339" s="20" t="str">
        <f aca="false">IF(AND(G339&lt;&gt;"",H339&lt;&gt;""),IF("0"&amp;G339=H339,"PASS","FAIL - GTIN Mismatch"),"SKIP")</f>
        <v>PASS</v>
      </c>
      <c r="O339" s="20" t="str">
        <f aca="false">IF(I339="","FAIL - No Title",IF(LEN(I339)&lt;=126,"PASS","FAIL - Title &gt;"&amp;126&amp;" chars"))</f>
        <v>PASS</v>
      </c>
      <c r="P339" s="20" t="str">
        <f aca="false">IF(J339&gt;0,IF(J339&lt;5000,"PASS","FLAG - Review Price"),"FAIL - Zero Price")</f>
        <v>PASS</v>
      </c>
      <c r="Q339" s="20" t="str">
        <f aca="false">IF('Raw Catalog'!P337&lt;&gt;"","PASS","FAIL - No Image")</f>
        <v>PASS</v>
      </c>
      <c r="R339" s="20" t="str">
        <f aca="false">IF(F339&lt;&gt;"","PASS","FAIL - No Brand")</f>
        <v>PASS</v>
      </c>
      <c r="S339" s="20" t="str">
        <f aca="true">IF(K339="","FAIL - No Date",IF(TODAY()-DATEVALUE(K339)&lt;=180,"PASS","FLAG - Stale &gt;180d"))</f>
        <v>FLAG - Stale &gt;180d</v>
      </c>
      <c r="T339" s="20" t="n">
        <f aca="false">COUNTIF(M339:S339,"FAIL*")+COUNTIF(M339:S339,"FLAG*")</f>
        <v>1</v>
      </c>
      <c r="U339" s="20" t="str">
        <f aca="false">IF(T339=0,"CLEAN",IF(T339=1,"MINOR",IF(T339&lt;=3,"MODERATE","CRITICAL")))</f>
        <v>MINOR</v>
      </c>
      <c r="V339" s="20" t="str">
        <f aca="false">IF(U339="CLEAN","None",IF(U339="MINOR","Seller Notify",IF(U339="MODERATE","Listing Suspended","Immediate Removal")))</f>
        <v>Seller Notify</v>
      </c>
    </row>
    <row r="340" customFormat="false" ht="18" hidden="false" customHeight="true" outlineLevel="0" collapsed="false">
      <c r="A340" s="19" t="s">
        <v>6417</v>
      </c>
      <c r="B340" s="19" t="s">
        <v>2539</v>
      </c>
      <c r="C340" s="19" t="s">
        <v>77</v>
      </c>
      <c r="D340" s="19" t="s">
        <v>78</v>
      </c>
      <c r="E340" s="19" t="s">
        <v>91</v>
      </c>
      <c r="F340" s="19" t="s">
        <v>92</v>
      </c>
      <c r="G340" s="19" t="s">
        <v>2541</v>
      </c>
      <c r="H340" s="19" t="s">
        <v>2542</v>
      </c>
      <c r="I340" s="19" t="s">
        <v>2543</v>
      </c>
      <c r="J340" s="19" t="n">
        <v>14567.07</v>
      </c>
      <c r="K340" s="19" t="s">
        <v>1973</v>
      </c>
      <c r="L340" s="21" t="s">
        <v>343</v>
      </c>
      <c r="M340" s="20" t="str">
        <f aca="false">IF(G340&lt;&gt;"","PASS","FAIL - Missing UPC")</f>
        <v>PASS</v>
      </c>
      <c r="N340" s="20" t="str">
        <f aca="false">IF(AND(G340&lt;&gt;"",H340&lt;&gt;""),IF("0"&amp;G340=H340,"PASS","FAIL - GTIN Mismatch"),"SKIP")</f>
        <v>PASS</v>
      </c>
      <c r="O340" s="20" t="str">
        <f aca="false">IF(I340="","FAIL - No Title",IF(LEN(I340)&lt;=126,"PASS","FAIL - Title &gt;"&amp;126&amp;" chars"))</f>
        <v>PASS</v>
      </c>
      <c r="P340" s="20" t="str">
        <f aca="false">IF(J340&gt;0,IF(J340&lt;5000,"PASS","FLAG - Review Price"),"FAIL - Zero Price")</f>
        <v>FLAG - Review Price</v>
      </c>
      <c r="Q340" s="20" t="str">
        <f aca="false">IF('Raw Catalog'!P338&lt;&gt;"","PASS","FAIL - No Image")</f>
        <v>PASS</v>
      </c>
      <c r="R340" s="20" t="str">
        <f aca="false">IF(F340&lt;&gt;"","PASS","FAIL - No Brand")</f>
        <v>PASS</v>
      </c>
      <c r="S340" s="20" t="str">
        <f aca="true">IF(K340="","FAIL - No Date",IF(TODAY()-DATEVALUE(K340)&lt;=180,"PASS","FLAG - Stale &gt;180d"))</f>
        <v>FLAG - Stale &gt;180d</v>
      </c>
      <c r="T340" s="20" t="n">
        <f aca="false">COUNTIF(M340:S340,"FAIL*")+COUNTIF(M340:S340,"FLAG*")</f>
        <v>2</v>
      </c>
      <c r="U340" s="20" t="str">
        <f aca="false">IF(T340=0,"CLEAN",IF(T340=1,"MINOR",IF(T340&lt;=3,"MODERATE","CRITICAL")))</f>
        <v>MODERATE</v>
      </c>
      <c r="V340" s="20" t="str">
        <f aca="false">IF(U340="CLEAN","None",IF(U340="MINOR","Seller Notify",IF(U340="MODERATE","Listing Suspended","Immediate Removal")))</f>
        <v>Listing Suspended</v>
      </c>
    </row>
    <row r="341" customFormat="false" ht="18" hidden="false" customHeight="true" outlineLevel="0" collapsed="false">
      <c r="A341" s="19" t="s">
        <v>6418</v>
      </c>
      <c r="B341" s="19" t="s">
        <v>2545</v>
      </c>
      <c r="C341" s="19" t="s">
        <v>173</v>
      </c>
      <c r="D341" s="19" t="s">
        <v>174</v>
      </c>
      <c r="E341" s="19" t="s">
        <v>91</v>
      </c>
      <c r="F341" s="19" t="s">
        <v>780</v>
      </c>
      <c r="G341" s="19" t="s">
        <v>2547</v>
      </c>
      <c r="H341" s="19" t="s">
        <v>2548</v>
      </c>
      <c r="I341" s="19" t="s">
        <v>2549</v>
      </c>
      <c r="J341" s="19" t="n">
        <v>733.45</v>
      </c>
      <c r="K341" s="19" t="s">
        <v>2550</v>
      </c>
      <c r="L341" s="19"/>
      <c r="M341" s="20" t="str">
        <f aca="false">IF(G341&lt;&gt;"","PASS","FAIL - Missing UPC")</f>
        <v>PASS</v>
      </c>
      <c r="N341" s="20" t="str">
        <f aca="false">IF(AND(G341&lt;&gt;"",H341&lt;&gt;""),IF("0"&amp;G341=H341,"PASS","FAIL - GTIN Mismatch"),"SKIP")</f>
        <v>PASS</v>
      </c>
      <c r="O341" s="20" t="str">
        <f aca="false">IF(I341="","FAIL - No Title",IF(LEN(I341)&lt;=126,"PASS","FAIL - Title &gt;"&amp;126&amp;" chars"))</f>
        <v>PASS</v>
      </c>
      <c r="P341" s="20" t="str">
        <f aca="false">IF(J341&gt;0,IF(J341&lt;5000,"PASS","FLAG - Review Price"),"FAIL - Zero Price")</f>
        <v>PASS</v>
      </c>
      <c r="Q341" s="20" t="str">
        <f aca="false">IF('Raw Catalog'!P339&lt;&gt;"","PASS","FAIL - No Image")</f>
        <v>PASS</v>
      </c>
      <c r="R341" s="20" t="str">
        <f aca="false">IF(F341&lt;&gt;"","PASS","FAIL - No Brand")</f>
        <v>PASS</v>
      </c>
      <c r="S341" s="20" t="str">
        <f aca="true">IF(K341="","FAIL - No Date",IF(TODAY()-DATEVALUE(K341)&lt;=180,"PASS","FLAG - Stale &gt;180d"))</f>
        <v>FLAG - Stale &gt;180d</v>
      </c>
      <c r="T341" s="20" t="n">
        <f aca="false">COUNTIF(M341:S341,"FAIL*")+COUNTIF(M341:S341,"FLAG*")</f>
        <v>1</v>
      </c>
      <c r="U341" s="20" t="str">
        <f aca="false">IF(T341=0,"CLEAN",IF(T341=1,"MINOR",IF(T341&lt;=3,"MODERATE","CRITICAL")))</f>
        <v>MINOR</v>
      </c>
      <c r="V341" s="20" t="str">
        <f aca="false">IF(U341="CLEAN","None",IF(U341="MINOR","Seller Notify",IF(U341="MODERATE","Listing Suspended","Immediate Removal")))</f>
        <v>Seller Notify</v>
      </c>
    </row>
    <row r="342" customFormat="false" ht="18" hidden="false" customHeight="true" outlineLevel="0" collapsed="false">
      <c r="A342" s="19" t="s">
        <v>6419</v>
      </c>
      <c r="B342" s="19" t="s">
        <v>2551</v>
      </c>
      <c r="C342" s="19" t="s">
        <v>113</v>
      </c>
      <c r="D342" s="19" t="s">
        <v>114</v>
      </c>
      <c r="E342" s="19" t="s">
        <v>161</v>
      </c>
      <c r="F342" s="19" t="s">
        <v>429</v>
      </c>
      <c r="G342" s="19" t="s">
        <v>2553</v>
      </c>
      <c r="H342" s="19" t="s">
        <v>2554</v>
      </c>
      <c r="I342" s="19" t="s">
        <v>2555</v>
      </c>
      <c r="J342" s="19" t="n">
        <v>542.66</v>
      </c>
      <c r="K342" s="19" t="s">
        <v>1075</v>
      </c>
      <c r="L342" s="19"/>
      <c r="M342" s="20" t="str">
        <f aca="false">IF(G342&lt;&gt;"","PASS","FAIL - Missing UPC")</f>
        <v>PASS</v>
      </c>
      <c r="N342" s="20" t="str">
        <f aca="false">IF(AND(G342&lt;&gt;"",H342&lt;&gt;""),IF("0"&amp;G342=H342,"PASS","FAIL - GTIN Mismatch"),"SKIP")</f>
        <v>PASS</v>
      </c>
      <c r="O342" s="20" t="str">
        <f aca="false">IF(I342="","FAIL - No Title",IF(LEN(I342)&lt;=126,"PASS","FAIL - Title &gt;"&amp;126&amp;" chars"))</f>
        <v>PASS</v>
      </c>
      <c r="P342" s="20" t="str">
        <f aca="false">IF(J342&gt;0,IF(J342&lt;5000,"PASS","FLAG - Review Price"),"FAIL - Zero Price")</f>
        <v>PASS</v>
      </c>
      <c r="Q342" s="20" t="str">
        <f aca="false">IF('Raw Catalog'!P340&lt;&gt;"","PASS","FAIL - No Image")</f>
        <v>PASS</v>
      </c>
      <c r="R342" s="20" t="str">
        <f aca="false">IF(F342&lt;&gt;"","PASS","FAIL - No Brand")</f>
        <v>PASS</v>
      </c>
      <c r="S342" s="20" t="str">
        <f aca="true">IF(K342="","FAIL - No Date",IF(TODAY()-DATEVALUE(K342)&lt;=180,"PASS","FLAG - Stale &gt;180d"))</f>
        <v>FLAG - Stale &gt;180d</v>
      </c>
      <c r="T342" s="20" t="n">
        <f aca="false">COUNTIF(M342:S342,"FAIL*")+COUNTIF(M342:S342,"FLAG*")</f>
        <v>1</v>
      </c>
      <c r="U342" s="20" t="str">
        <f aca="false">IF(T342=0,"CLEAN",IF(T342=1,"MINOR",IF(T342&lt;=3,"MODERATE","CRITICAL")))</f>
        <v>MINOR</v>
      </c>
      <c r="V342" s="20" t="str">
        <f aca="false">IF(U342="CLEAN","None",IF(U342="MINOR","Seller Notify",IF(U342="MODERATE","Listing Suspended","Immediate Removal")))</f>
        <v>Seller Notify</v>
      </c>
    </row>
    <row r="343" customFormat="false" ht="18" hidden="false" customHeight="true" outlineLevel="0" collapsed="false">
      <c r="A343" s="19" t="s">
        <v>6420</v>
      </c>
      <c r="B343" s="19" t="s">
        <v>2557</v>
      </c>
      <c r="C343" s="19" t="s">
        <v>77</v>
      </c>
      <c r="D343" s="19" t="s">
        <v>78</v>
      </c>
      <c r="E343" s="19" t="s">
        <v>161</v>
      </c>
      <c r="F343" s="19" t="s">
        <v>51</v>
      </c>
      <c r="G343" s="19" t="s">
        <v>2559</v>
      </c>
      <c r="H343" s="19" t="s">
        <v>2560</v>
      </c>
      <c r="I343" s="19" t="s">
        <v>2561</v>
      </c>
      <c r="J343" s="19" t="n">
        <v>138.76</v>
      </c>
      <c r="K343" s="19" t="s">
        <v>1055</v>
      </c>
      <c r="L343" s="19"/>
      <c r="M343" s="20" t="str">
        <f aca="false">IF(G343&lt;&gt;"","PASS","FAIL - Missing UPC")</f>
        <v>PASS</v>
      </c>
      <c r="N343" s="20" t="str">
        <f aca="false">IF(AND(G343&lt;&gt;"",H343&lt;&gt;""),IF("0"&amp;G343=H343,"PASS","FAIL - GTIN Mismatch"),"SKIP")</f>
        <v>PASS</v>
      </c>
      <c r="O343" s="20" t="str">
        <f aca="false">IF(I343="","FAIL - No Title",IF(LEN(I343)&lt;=126,"PASS","FAIL - Title &gt;"&amp;126&amp;" chars"))</f>
        <v>PASS</v>
      </c>
      <c r="P343" s="20" t="str">
        <f aca="false">IF(J343&gt;0,IF(J343&lt;5000,"PASS","FLAG - Review Price"),"FAIL - Zero Price")</f>
        <v>PASS</v>
      </c>
      <c r="Q343" s="20" t="str">
        <f aca="false">IF('Raw Catalog'!P341&lt;&gt;"","PASS","FAIL - No Image")</f>
        <v>PASS</v>
      </c>
      <c r="R343" s="20" t="str">
        <f aca="false">IF(F343&lt;&gt;"","PASS","FAIL - No Brand")</f>
        <v>PASS</v>
      </c>
      <c r="S343" s="20" t="str">
        <f aca="true">IF(K343="","FAIL - No Date",IF(TODAY()-DATEVALUE(K343)&lt;=180,"PASS","FLAG - Stale &gt;180d"))</f>
        <v>FLAG - Stale &gt;180d</v>
      </c>
      <c r="T343" s="20" t="n">
        <f aca="false">COUNTIF(M343:S343,"FAIL*")+COUNTIF(M343:S343,"FLAG*")</f>
        <v>1</v>
      </c>
      <c r="U343" s="20" t="str">
        <f aca="false">IF(T343=0,"CLEAN",IF(T343=1,"MINOR",IF(T343&lt;=3,"MODERATE","CRITICAL")))</f>
        <v>MINOR</v>
      </c>
      <c r="V343" s="20" t="str">
        <f aca="false">IF(U343="CLEAN","None",IF(U343="MINOR","Seller Notify",IF(U343="MODERATE","Listing Suspended","Immediate Removal")))</f>
        <v>Seller Notify</v>
      </c>
    </row>
    <row r="344" customFormat="false" ht="18" hidden="false" customHeight="true" outlineLevel="0" collapsed="false">
      <c r="A344" s="19" t="s">
        <v>6421</v>
      </c>
      <c r="B344" s="19" t="s">
        <v>2565</v>
      </c>
      <c r="C344" s="19" t="s">
        <v>159</v>
      </c>
      <c r="D344" s="19" t="s">
        <v>160</v>
      </c>
      <c r="E344" s="19" t="s">
        <v>161</v>
      </c>
      <c r="F344" s="19" t="s">
        <v>51</v>
      </c>
      <c r="G344" s="19" t="s">
        <v>2567</v>
      </c>
      <c r="H344" s="19" t="s">
        <v>2568</v>
      </c>
      <c r="I344" s="19" t="s">
        <v>1031</v>
      </c>
      <c r="J344" s="19" t="n">
        <v>430.63</v>
      </c>
      <c r="K344" s="19" t="s">
        <v>2569</v>
      </c>
      <c r="L344" s="19"/>
      <c r="M344" s="20" t="str">
        <f aca="false">IF(G344&lt;&gt;"","PASS","FAIL - Missing UPC")</f>
        <v>PASS</v>
      </c>
      <c r="N344" s="20" t="str">
        <f aca="false">IF(AND(G344&lt;&gt;"",H344&lt;&gt;""),IF("0"&amp;G344=H344,"PASS","FAIL - GTIN Mismatch"),"SKIP")</f>
        <v>PASS</v>
      </c>
      <c r="O344" s="20" t="str">
        <f aca="false">IF(I344="","FAIL - No Title",IF(LEN(I344)&lt;=126,"PASS","FAIL - Title &gt;"&amp;126&amp;" chars"))</f>
        <v>PASS</v>
      </c>
      <c r="P344" s="20" t="str">
        <f aca="false">IF(J344&gt;0,IF(J344&lt;5000,"PASS","FLAG - Review Price"),"FAIL - Zero Price")</f>
        <v>PASS</v>
      </c>
      <c r="Q344" s="20" t="str">
        <f aca="false">IF('Raw Catalog'!P342&lt;&gt;"","PASS","FAIL - No Image")</f>
        <v>PASS</v>
      </c>
      <c r="R344" s="20" t="str">
        <f aca="false">IF(F344&lt;&gt;"","PASS","FAIL - No Brand")</f>
        <v>PASS</v>
      </c>
      <c r="S344" s="20" t="str">
        <f aca="true">IF(K344="","FAIL - No Date",IF(TODAY()-DATEVALUE(K344)&lt;=180,"PASS","FLAG - Stale &gt;180d"))</f>
        <v>FLAG - Stale &gt;180d</v>
      </c>
      <c r="T344" s="20" t="n">
        <f aca="false">COUNTIF(M344:S344,"FAIL*")+COUNTIF(M344:S344,"FLAG*")</f>
        <v>1</v>
      </c>
      <c r="U344" s="20" t="str">
        <f aca="false">IF(T344=0,"CLEAN",IF(T344=1,"MINOR",IF(T344&lt;=3,"MODERATE","CRITICAL")))</f>
        <v>MINOR</v>
      </c>
      <c r="V344" s="20" t="str">
        <f aca="false">IF(U344="CLEAN","None",IF(U344="MINOR","Seller Notify",IF(U344="MODERATE","Listing Suspended","Immediate Removal")))</f>
        <v>Seller Notify</v>
      </c>
    </row>
    <row r="345" customFormat="false" ht="18" hidden="false" customHeight="true" outlineLevel="0" collapsed="false">
      <c r="A345" s="19" t="s">
        <v>6422</v>
      </c>
      <c r="B345" s="19" t="s">
        <v>2570</v>
      </c>
      <c r="C345" s="19" t="s">
        <v>125</v>
      </c>
      <c r="D345" s="19" t="s">
        <v>126</v>
      </c>
      <c r="E345" s="19" t="s">
        <v>79</v>
      </c>
      <c r="F345" s="19" t="s">
        <v>513</v>
      </c>
      <c r="G345" s="19" t="s">
        <v>2572</v>
      </c>
      <c r="H345" s="19" t="s">
        <v>2573</v>
      </c>
      <c r="I345" s="19" t="s">
        <v>2574</v>
      </c>
      <c r="J345" s="19" t="n">
        <v>595.01</v>
      </c>
      <c r="K345" s="19" t="s">
        <v>2576</v>
      </c>
      <c r="L345" s="19"/>
      <c r="M345" s="20" t="str">
        <f aca="false">IF(G345&lt;&gt;"","PASS","FAIL - Missing UPC")</f>
        <v>PASS</v>
      </c>
      <c r="N345" s="20" t="str">
        <f aca="false">IF(AND(G345&lt;&gt;"",H345&lt;&gt;""),IF("0"&amp;G345=H345,"PASS","FAIL - GTIN Mismatch"),"SKIP")</f>
        <v>PASS</v>
      </c>
      <c r="O345" s="20" t="str">
        <f aca="false">IF(I345="","FAIL - No Title",IF(LEN(I345)&lt;=126,"PASS","FAIL - Title &gt;"&amp;126&amp;" chars"))</f>
        <v>PASS</v>
      </c>
      <c r="P345" s="20" t="str">
        <f aca="false">IF(J345&gt;0,IF(J345&lt;5000,"PASS","FLAG - Review Price"),"FAIL - Zero Price")</f>
        <v>PASS</v>
      </c>
      <c r="Q345" s="20" t="str">
        <f aca="false">IF('Raw Catalog'!P343&lt;&gt;"","PASS","FAIL - No Image")</f>
        <v>PASS</v>
      </c>
      <c r="R345" s="20" t="str">
        <f aca="false">IF(F345&lt;&gt;"","PASS","FAIL - No Brand")</f>
        <v>PASS</v>
      </c>
      <c r="S345" s="20" t="str">
        <f aca="true">IF(K345="","FAIL - No Date",IF(TODAY()-DATEVALUE(K345)&lt;=180,"PASS","FLAG - Stale &gt;180d"))</f>
        <v>FLAG - Stale &gt;180d</v>
      </c>
      <c r="T345" s="20" t="n">
        <f aca="false">COUNTIF(M345:S345,"FAIL*")+COUNTIF(M345:S345,"FLAG*")</f>
        <v>1</v>
      </c>
      <c r="U345" s="20" t="str">
        <f aca="false">IF(T345=0,"CLEAN",IF(T345=1,"MINOR",IF(T345&lt;=3,"MODERATE","CRITICAL")))</f>
        <v>MINOR</v>
      </c>
      <c r="V345" s="20" t="str">
        <f aca="false">IF(U345="CLEAN","None",IF(U345="MINOR","Seller Notify",IF(U345="MODERATE","Listing Suspended","Immediate Removal")))</f>
        <v>Seller Notify</v>
      </c>
    </row>
    <row r="346" customFormat="false" ht="18" hidden="false" customHeight="true" outlineLevel="0" collapsed="false">
      <c r="A346" s="19" t="s">
        <v>6423</v>
      </c>
      <c r="B346" s="19" t="s">
        <v>2577</v>
      </c>
      <c r="C346" s="19" t="s">
        <v>255</v>
      </c>
      <c r="D346" s="19" t="s">
        <v>256</v>
      </c>
      <c r="E346" s="19" t="s">
        <v>65</v>
      </c>
      <c r="F346" s="19" t="s">
        <v>390</v>
      </c>
      <c r="G346" s="19" t="s">
        <v>2579</v>
      </c>
      <c r="H346" s="19" t="s">
        <v>2580</v>
      </c>
      <c r="I346" s="19" t="s">
        <v>2114</v>
      </c>
      <c r="J346" s="19" t="n">
        <v>190.7</v>
      </c>
      <c r="K346" s="19" t="s">
        <v>2581</v>
      </c>
      <c r="L346" s="19"/>
      <c r="M346" s="20" t="str">
        <f aca="false">IF(G346&lt;&gt;"","PASS","FAIL - Missing UPC")</f>
        <v>PASS</v>
      </c>
      <c r="N346" s="20" t="str">
        <f aca="false">IF(AND(G346&lt;&gt;"",H346&lt;&gt;""),IF("0"&amp;G346=H346,"PASS","FAIL - GTIN Mismatch"),"SKIP")</f>
        <v>PASS</v>
      </c>
      <c r="O346" s="20" t="str">
        <f aca="false">IF(I346="","FAIL - No Title",IF(LEN(I346)&lt;=126,"PASS","FAIL - Title &gt;"&amp;126&amp;" chars"))</f>
        <v>PASS</v>
      </c>
      <c r="P346" s="20" t="str">
        <f aca="false">IF(J346&gt;0,IF(J346&lt;5000,"PASS","FLAG - Review Price"),"FAIL - Zero Price")</f>
        <v>PASS</v>
      </c>
      <c r="Q346" s="20" t="str">
        <f aca="false">IF('Raw Catalog'!P344&lt;&gt;"","PASS","FAIL - No Image")</f>
        <v>PASS</v>
      </c>
      <c r="R346" s="20" t="str">
        <f aca="false">IF(F346&lt;&gt;"","PASS","FAIL - No Brand")</f>
        <v>PASS</v>
      </c>
      <c r="S346" s="20" t="str">
        <f aca="true">IF(K346="","FAIL - No Date",IF(TODAY()-DATEVALUE(K346)&lt;=180,"PASS","FLAG - Stale &gt;180d"))</f>
        <v>FLAG - Stale &gt;180d</v>
      </c>
      <c r="T346" s="20" t="n">
        <f aca="false">COUNTIF(M346:S346,"FAIL*")+COUNTIF(M346:S346,"FLAG*")</f>
        <v>1</v>
      </c>
      <c r="U346" s="20" t="str">
        <f aca="false">IF(T346=0,"CLEAN",IF(T346=1,"MINOR",IF(T346&lt;=3,"MODERATE","CRITICAL")))</f>
        <v>MINOR</v>
      </c>
      <c r="V346" s="20" t="str">
        <f aca="false">IF(U346="CLEAN","None",IF(U346="MINOR","Seller Notify",IF(U346="MODERATE","Listing Suspended","Immediate Removal")))</f>
        <v>Seller Notify</v>
      </c>
    </row>
    <row r="347" customFormat="false" ht="18" hidden="false" customHeight="true" outlineLevel="0" collapsed="false">
      <c r="A347" s="19" t="s">
        <v>6424</v>
      </c>
      <c r="B347" s="19" t="s">
        <v>2582</v>
      </c>
      <c r="C347" s="19" t="s">
        <v>173</v>
      </c>
      <c r="D347" s="19" t="s">
        <v>174</v>
      </c>
      <c r="E347" s="19" t="s">
        <v>50</v>
      </c>
      <c r="F347" s="19" t="s">
        <v>127</v>
      </c>
      <c r="G347" s="19" t="s">
        <v>2584</v>
      </c>
      <c r="H347" s="19" t="s">
        <v>2585</v>
      </c>
      <c r="I347" s="19" t="s">
        <v>2586</v>
      </c>
      <c r="J347" s="19" t="n">
        <v>604.16</v>
      </c>
      <c r="K347" s="19" t="s">
        <v>585</v>
      </c>
      <c r="L347" s="19"/>
      <c r="M347" s="20" t="str">
        <f aca="false">IF(G347&lt;&gt;"","PASS","FAIL - Missing UPC")</f>
        <v>PASS</v>
      </c>
      <c r="N347" s="20" t="str">
        <f aca="false">IF(AND(G347&lt;&gt;"",H347&lt;&gt;""),IF("0"&amp;G347=H347,"PASS","FAIL - GTIN Mismatch"),"SKIP")</f>
        <v>PASS</v>
      </c>
      <c r="O347" s="20" t="str">
        <f aca="false">IF(I347="","FAIL - No Title",IF(LEN(I347)&lt;=126,"PASS","FAIL - Title &gt;"&amp;126&amp;" chars"))</f>
        <v>PASS</v>
      </c>
      <c r="P347" s="20" t="str">
        <f aca="false">IF(J347&gt;0,IF(J347&lt;5000,"PASS","FLAG - Review Price"),"FAIL - Zero Price")</f>
        <v>PASS</v>
      </c>
      <c r="Q347" s="20" t="str">
        <f aca="false">IF('Raw Catalog'!P345&lt;&gt;"","PASS","FAIL - No Image")</f>
        <v>PASS</v>
      </c>
      <c r="R347" s="20" t="str">
        <f aca="false">IF(F347&lt;&gt;"","PASS","FAIL - No Brand")</f>
        <v>PASS</v>
      </c>
      <c r="S347" s="20" t="str">
        <f aca="true">IF(K347="","FAIL - No Date",IF(TODAY()-DATEVALUE(K347)&lt;=180,"PASS","FLAG - Stale &gt;180d"))</f>
        <v>FLAG - Stale &gt;180d</v>
      </c>
      <c r="T347" s="20" t="n">
        <f aca="false">COUNTIF(M347:S347,"FAIL*")+COUNTIF(M347:S347,"FLAG*")</f>
        <v>1</v>
      </c>
      <c r="U347" s="20" t="str">
        <f aca="false">IF(T347=0,"CLEAN",IF(T347=1,"MINOR",IF(T347&lt;=3,"MODERATE","CRITICAL")))</f>
        <v>MINOR</v>
      </c>
      <c r="V347" s="20" t="str">
        <f aca="false">IF(U347="CLEAN","None",IF(U347="MINOR","Seller Notify",IF(U347="MODERATE","Listing Suspended","Immediate Removal")))</f>
        <v>Seller Notify</v>
      </c>
    </row>
    <row r="348" customFormat="false" ht="18" hidden="false" customHeight="true" outlineLevel="0" collapsed="false">
      <c r="A348" s="19" t="s">
        <v>6425</v>
      </c>
      <c r="B348" s="19" t="s">
        <v>2587</v>
      </c>
      <c r="C348" s="19" t="s">
        <v>255</v>
      </c>
      <c r="D348" s="19" t="s">
        <v>256</v>
      </c>
      <c r="E348" s="19" t="s">
        <v>50</v>
      </c>
      <c r="F348" s="19" t="s">
        <v>51</v>
      </c>
      <c r="G348" s="19" t="s">
        <v>2589</v>
      </c>
      <c r="H348" s="19" t="s">
        <v>2590</v>
      </c>
      <c r="I348" s="19" t="s">
        <v>1522</v>
      </c>
      <c r="J348" s="19" t="n">
        <v>833.3</v>
      </c>
      <c r="K348" s="19" t="s">
        <v>101</v>
      </c>
      <c r="L348" s="19"/>
      <c r="M348" s="20" t="str">
        <f aca="false">IF(G348&lt;&gt;"","PASS","FAIL - Missing UPC")</f>
        <v>PASS</v>
      </c>
      <c r="N348" s="20" t="str">
        <f aca="false">IF(AND(G348&lt;&gt;"",H348&lt;&gt;""),IF("0"&amp;G348=H348,"PASS","FAIL - GTIN Mismatch"),"SKIP")</f>
        <v>PASS</v>
      </c>
      <c r="O348" s="20" t="str">
        <f aca="false">IF(I348="","FAIL - No Title",IF(LEN(I348)&lt;=126,"PASS","FAIL - Title &gt;"&amp;126&amp;" chars"))</f>
        <v>PASS</v>
      </c>
      <c r="P348" s="20" t="str">
        <f aca="false">IF(J348&gt;0,IF(J348&lt;5000,"PASS","FLAG - Review Price"),"FAIL - Zero Price")</f>
        <v>PASS</v>
      </c>
      <c r="Q348" s="20" t="str">
        <f aca="false">IF('Raw Catalog'!P346&lt;&gt;"","PASS","FAIL - No Image")</f>
        <v>PASS</v>
      </c>
      <c r="R348" s="20" t="str">
        <f aca="false">IF(F348&lt;&gt;"","PASS","FAIL - No Brand")</f>
        <v>PASS</v>
      </c>
      <c r="S348" s="20" t="str">
        <f aca="true">IF(K348="","FAIL - No Date",IF(TODAY()-DATEVALUE(K348)&lt;=180,"PASS","FLAG - Stale &gt;180d"))</f>
        <v>FLAG - Stale &gt;180d</v>
      </c>
      <c r="T348" s="20" t="n">
        <f aca="false">COUNTIF(M348:S348,"FAIL*")+COUNTIF(M348:S348,"FLAG*")</f>
        <v>1</v>
      </c>
      <c r="U348" s="20" t="str">
        <f aca="false">IF(T348=0,"CLEAN",IF(T348=1,"MINOR",IF(T348&lt;=3,"MODERATE","CRITICAL")))</f>
        <v>MINOR</v>
      </c>
      <c r="V348" s="20" t="str">
        <f aca="false">IF(U348="CLEAN","None",IF(U348="MINOR","Seller Notify",IF(U348="MODERATE","Listing Suspended","Immediate Removal")))</f>
        <v>Seller Notify</v>
      </c>
    </row>
    <row r="349" customFormat="false" ht="18" hidden="false" customHeight="true" outlineLevel="0" collapsed="false">
      <c r="A349" s="19" t="s">
        <v>6426</v>
      </c>
      <c r="B349" s="19" t="s">
        <v>2592</v>
      </c>
      <c r="C349" s="19" t="s">
        <v>159</v>
      </c>
      <c r="D349" s="19" t="s">
        <v>160</v>
      </c>
      <c r="E349" s="19" t="s">
        <v>50</v>
      </c>
      <c r="F349" s="19" t="s">
        <v>115</v>
      </c>
      <c r="G349" s="19" t="s">
        <v>2594</v>
      </c>
      <c r="H349" s="19" t="s">
        <v>2595</v>
      </c>
      <c r="I349" s="19"/>
      <c r="J349" s="19" t="n">
        <v>1283.59</v>
      </c>
      <c r="K349" s="19" t="s">
        <v>1075</v>
      </c>
      <c r="L349" s="21" t="s">
        <v>1048</v>
      </c>
      <c r="M349" s="20" t="str">
        <f aca="false">IF(G349&lt;&gt;"","PASS","FAIL - Missing UPC")</f>
        <v>PASS</v>
      </c>
      <c r="N349" s="20" t="str">
        <f aca="false">IF(AND(G349&lt;&gt;"",H349&lt;&gt;""),IF("0"&amp;G349=H349,"PASS","FAIL - GTIN Mismatch"),"SKIP")</f>
        <v>PASS</v>
      </c>
      <c r="O349" s="20" t="str">
        <f aca="false">IF(I349="","FAIL - No Title",IF(LEN(I349)&lt;=126,"PASS","FAIL - Title &gt;"&amp;126&amp;" chars"))</f>
        <v>FAIL - No Title</v>
      </c>
      <c r="P349" s="20" t="str">
        <f aca="false">IF(J349&gt;0,IF(J349&lt;5000,"PASS","FLAG - Review Price"),"FAIL - Zero Price")</f>
        <v>PASS</v>
      </c>
      <c r="Q349" s="20" t="str">
        <f aca="false">IF('Raw Catalog'!P347&lt;&gt;"","PASS","FAIL - No Image")</f>
        <v>PASS</v>
      </c>
      <c r="R349" s="20" t="str">
        <f aca="false">IF(F349&lt;&gt;"","PASS","FAIL - No Brand")</f>
        <v>PASS</v>
      </c>
      <c r="S349" s="20" t="str">
        <f aca="true">IF(K349="","FAIL - No Date",IF(TODAY()-DATEVALUE(K349)&lt;=180,"PASS","FLAG - Stale &gt;180d"))</f>
        <v>FLAG - Stale &gt;180d</v>
      </c>
      <c r="T349" s="20" t="n">
        <f aca="false">COUNTIF(M349:S349,"FAIL*")+COUNTIF(M349:S349,"FLAG*")</f>
        <v>2</v>
      </c>
      <c r="U349" s="20" t="str">
        <f aca="false">IF(T349=0,"CLEAN",IF(T349=1,"MINOR",IF(T349&lt;=3,"MODERATE","CRITICAL")))</f>
        <v>MODERATE</v>
      </c>
      <c r="V349" s="20" t="str">
        <f aca="false">IF(U349="CLEAN","None",IF(U349="MINOR","Seller Notify",IF(U349="MODERATE","Listing Suspended","Immediate Removal")))</f>
        <v>Listing Suspended</v>
      </c>
    </row>
    <row r="350" customFormat="false" ht="18" hidden="false" customHeight="true" outlineLevel="0" collapsed="false">
      <c r="A350" s="19" t="s">
        <v>6427</v>
      </c>
      <c r="B350" s="19" t="s">
        <v>2597</v>
      </c>
      <c r="C350" s="19" t="s">
        <v>63</v>
      </c>
      <c r="D350" s="19" t="s">
        <v>64</v>
      </c>
      <c r="E350" s="19" t="s">
        <v>161</v>
      </c>
      <c r="F350" s="19" t="s">
        <v>162</v>
      </c>
      <c r="G350" s="19" t="s">
        <v>2599</v>
      </c>
      <c r="H350" s="19" t="s">
        <v>2600</v>
      </c>
      <c r="I350" s="19" t="s">
        <v>2601</v>
      </c>
      <c r="J350" s="19" t="n">
        <v>539.25</v>
      </c>
      <c r="K350" s="19" t="s">
        <v>1352</v>
      </c>
      <c r="L350" s="19"/>
      <c r="M350" s="20" t="str">
        <f aca="false">IF(G350&lt;&gt;"","PASS","FAIL - Missing UPC")</f>
        <v>PASS</v>
      </c>
      <c r="N350" s="20" t="str">
        <f aca="false">IF(AND(G350&lt;&gt;"",H350&lt;&gt;""),IF("0"&amp;G350=H350,"PASS","FAIL - GTIN Mismatch"),"SKIP")</f>
        <v>PASS</v>
      </c>
      <c r="O350" s="20" t="str">
        <f aca="false">IF(I350="","FAIL - No Title",IF(LEN(I350)&lt;=126,"PASS","FAIL - Title &gt;"&amp;126&amp;" chars"))</f>
        <v>PASS</v>
      </c>
      <c r="P350" s="20" t="str">
        <f aca="false">IF(J350&gt;0,IF(J350&lt;5000,"PASS","FLAG - Review Price"),"FAIL - Zero Price")</f>
        <v>PASS</v>
      </c>
      <c r="Q350" s="20" t="str">
        <f aca="false">IF('Raw Catalog'!P348&lt;&gt;"","PASS","FAIL - No Image")</f>
        <v>PASS</v>
      </c>
      <c r="R350" s="20" t="str">
        <f aca="false">IF(F350&lt;&gt;"","PASS","FAIL - No Brand")</f>
        <v>PASS</v>
      </c>
      <c r="S350" s="20" t="str">
        <f aca="true">IF(K350="","FAIL - No Date",IF(TODAY()-DATEVALUE(K350)&lt;=180,"PASS","FLAG - Stale &gt;180d"))</f>
        <v>FLAG - Stale &gt;180d</v>
      </c>
      <c r="T350" s="20" t="n">
        <f aca="false">COUNTIF(M350:S350,"FAIL*")+COUNTIF(M350:S350,"FLAG*")</f>
        <v>1</v>
      </c>
      <c r="U350" s="20" t="str">
        <f aca="false">IF(T350=0,"CLEAN",IF(T350=1,"MINOR",IF(T350&lt;=3,"MODERATE","CRITICAL")))</f>
        <v>MINOR</v>
      </c>
      <c r="V350" s="20" t="str">
        <f aca="false">IF(U350="CLEAN","None",IF(U350="MINOR","Seller Notify",IF(U350="MODERATE","Listing Suspended","Immediate Removal")))</f>
        <v>Seller Notify</v>
      </c>
    </row>
    <row r="351" customFormat="false" ht="18" hidden="false" customHeight="true" outlineLevel="0" collapsed="false">
      <c r="A351" s="19" t="s">
        <v>6428</v>
      </c>
      <c r="B351" s="19" t="s">
        <v>2602</v>
      </c>
      <c r="C351" s="19" t="s">
        <v>113</v>
      </c>
      <c r="D351" s="19" t="s">
        <v>114</v>
      </c>
      <c r="E351" s="19" t="s">
        <v>65</v>
      </c>
      <c r="F351" s="19" t="s">
        <v>245</v>
      </c>
      <c r="G351" s="19" t="s">
        <v>2604</v>
      </c>
      <c r="H351" s="19" t="s">
        <v>2605</v>
      </c>
      <c r="I351" s="19" t="s">
        <v>2606</v>
      </c>
      <c r="J351" s="19" t="n">
        <v>3399.12</v>
      </c>
      <c r="K351" s="19" t="s">
        <v>1867</v>
      </c>
      <c r="L351" s="21" t="s">
        <v>343</v>
      </c>
      <c r="M351" s="20" t="str">
        <f aca="false">IF(G351&lt;&gt;"","PASS","FAIL - Missing UPC")</f>
        <v>PASS</v>
      </c>
      <c r="N351" s="20" t="str">
        <f aca="false">IF(AND(G351&lt;&gt;"",H351&lt;&gt;""),IF("0"&amp;G351=H351,"PASS","FAIL - GTIN Mismatch"),"SKIP")</f>
        <v>PASS</v>
      </c>
      <c r="O351" s="20" t="str">
        <f aca="false">IF(I351="","FAIL - No Title",IF(LEN(I351)&lt;=126,"PASS","FAIL - Title &gt;"&amp;126&amp;" chars"))</f>
        <v>PASS</v>
      </c>
      <c r="P351" s="20" t="str">
        <f aca="false">IF(J351&gt;0,IF(J351&lt;5000,"PASS","FLAG - Review Price"),"FAIL - Zero Price")</f>
        <v>PASS</v>
      </c>
      <c r="Q351" s="20" t="str">
        <f aca="false">IF('Raw Catalog'!P349&lt;&gt;"","PASS","FAIL - No Image")</f>
        <v>PASS</v>
      </c>
      <c r="R351" s="20" t="str">
        <f aca="false">IF(F351&lt;&gt;"","PASS","FAIL - No Brand")</f>
        <v>PASS</v>
      </c>
      <c r="S351" s="20" t="str">
        <f aca="true">IF(K351="","FAIL - No Date",IF(TODAY()-DATEVALUE(K351)&lt;=180,"PASS","FLAG - Stale &gt;180d"))</f>
        <v>FLAG - Stale &gt;180d</v>
      </c>
      <c r="T351" s="20" t="n">
        <f aca="false">COUNTIF(M351:S351,"FAIL*")+COUNTIF(M351:S351,"FLAG*")</f>
        <v>1</v>
      </c>
      <c r="U351" s="20" t="str">
        <f aca="false">IF(T351=0,"CLEAN",IF(T351=1,"MINOR",IF(T351&lt;=3,"MODERATE","CRITICAL")))</f>
        <v>MINOR</v>
      </c>
      <c r="V351" s="20" t="str">
        <f aca="false">IF(U351="CLEAN","None",IF(U351="MINOR","Seller Notify",IF(U351="MODERATE","Listing Suspended","Immediate Removal")))</f>
        <v>Seller Notify</v>
      </c>
    </row>
    <row r="352" customFormat="false" ht="18" hidden="false" customHeight="true" outlineLevel="0" collapsed="false">
      <c r="A352" s="19" t="s">
        <v>6429</v>
      </c>
      <c r="B352" s="19" t="s">
        <v>2609</v>
      </c>
      <c r="C352" s="19" t="s">
        <v>63</v>
      </c>
      <c r="D352" s="19" t="s">
        <v>64</v>
      </c>
      <c r="E352" s="19" t="s">
        <v>50</v>
      </c>
      <c r="F352" s="19" t="s">
        <v>503</v>
      </c>
      <c r="G352" s="19" t="s">
        <v>2611</v>
      </c>
      <c r="H352" s="19" t="s">
        <v>2612</v>
      </c>
      <c r="I352" s="19" t="s">
        <v>2613</v>
      </c>
      <c r="J352" s="19" t="n">
        <v>1018.23</v>
      </c>
      <c r="K352" s="19" t="s">
        <v>1867</v>
      </c>
      <c r="L352" s="19"/>
      <c r="M352" s="20" t="str">
        <f aca="false">IF(G352&lt;&gt;"","PASS","FAIL - Missing UPC")</f>
        <v>PASS</v>
      </c>
      <c r="N352" s="20" t="str">
        <f aca="false">IF(AND(G352&lt;&gt;"",H352&lt;&gt;""),IF("0"&amp;G352=H352,"PASS","FAIL - GTIN Mismatch"),"SKIP")</f>
        <v>PASS</v>
      </c>
      <c r="O352" s="20" t="str">
        <f aca="false">IF(I352="","FAIL - No Title",IF(LEN(I352)&lt;=126,"PASS","FAIL - Title &gt;"&amp;126&amp;" chars"))</f>
        <v>PASS</v>
      </c>
      <c r="P352" s="20" t="str">
        <f aca="false">IF(J352&gt;0,IF(J352&lt;5000,"PASS","FLAG - Review Price"),"FAIL - Zero Price")</f>
        <v>PASS</v>
      </c>
      <c r="Q352" s="20" t="str">
        <f aca="false">IF('Raw Catalog'!P350&lt;&gt;"","PASS","FAIL - No Image")</f>
        <v>PASS</v>
      </c>
      <c r="R352" s="20" t="str">
        <f aca="false">IF(F352&lt;&gt;"","PASS","FAIL - No Brand")</f>
        <v>PASS</v>
      </c>
      <c r="S352" s="20" t="str">
        <f aca="true">IF(K352="","FAIL - No Date",IF(TODAY()-DATEVALUE(K352)&lt;=180,"PASS","FLAG - Stale &gt;180d"))</f>
        <v>FLAG - Stale &gt;180d</v>
      </c>
      <c r="T352" s="20" t="n">
        <f aca="false">COUNTIF(M352:S352,"FAIL*")+COUNTIF(M352:S352,"FLAG*")</f>
        <v>1</v>
      </c>
      <c r="U352" s="20" t="str">
        <f aca="false">IF(T352=0,"CLEAN",IF(T352=1,"MINOR",IF(T352&lt;=3,"MODERATE","CRITICAL")))</f>
        <v>MINOR</v>
      </c>
      <c r="V352" s="20" t="str">
        <f aca="false">IF(U352="CLEAN","None",IF(U352="MINOR","Seller Notify",IF(U352="MODERATE","Listing Suspended","Immediate Removal")))</f>
        <v>Seller Notify</v>
      </c>
    </row>
    <row r="353" customFormat="false" ht="18" hidden="false" customHeight="true" outlineLevel="0" collapsed="false">
      <c r="A353" s="19" t="s">
        <v>6430</v>
      </c>
      <c r="B353" s="19" t="s">
        <v>2615</v>
      </c>
      <c r="C353" s="19" t="s">
        <v>255</v>
      </c>
      <c r="D353" s="19" t="s">
        <v>256</v>
      </c>
      <c r="E353" s="19" t="s">
        <v>79</v>
      </c>
      <c r="F353" s="19" t="s">
        <v>162</v>
      </c>
      <c r="G353" s="19" t="s">
        <v>2617</v>
      </c>
      <c r="H353" s="19" t="s">
        <v>2618</v>
      </c>
      <c r="I353" s="19" t="s">
        <v>2619</v>
      </c>
      <c r="J353" s="19" t="n">
        <v>453.63</v>
      </c>
      <c r="K353" s="19" t="s">
        <v>2622</v>
      </c>
      <c r="L353" s="21" t="s">
        <v>453</v>
      </c>
      <c r="M353" s="20" t="str">
        <f aca="false">IF(G353&lt;&gt;"","PASS","FAIL - Missing UPC")</f>
        <v>PASS</v>
      </c>
      <c r="N353" s="20" t="str">
        <f aca="false">IF(AND(G353&lt;&gt;"",H353&lt;&gt;""),IF("0"&amp;G353=H353,"PASS","FAIL - GTIN Mismatch"),"SKIP")</f>
        <v>PASS</v>
      </c>
      <c r="O353" s="20" t="str">
        <f aca="false">IF(I353="","FAIL - No Title",IF(LEN(I353)&lt;=126,"PASS","FAIL - Title &gt;"&amp;126&amp;" chars"))</f>
        <v>PASS</v>
      </c>
      <c r="P353" s="20" t="str">
        <f aca="false">IF(J353&gt;0,IF(J353&lt;5000,"PASS","FLAG - Review Price"),"FAIL - Zero Price")</f>
        <v>PASS</v>
      </c>
      <c r="Q353" s="20" t="str">
        <f aca="false">IF('Raw Catalog'!P351&lt;&gt;"","PASS","FAIL - No Image")</f>
        <v>PASS</v>
      </c>
      <c r="R353" s="20" t="str">
        <f aca="false">IF(F353&lt;&gt;"","PASS","FAIL - No Brand")</f>
        <v>PASS</v>
      </c>
      <c r="S353" s="20" t="str">
        <f aca="true">IF(K353="","FAIL - No Date",IF(TODAY()-DATEVALUE(K353)&lt;=180,"PASS","FLAG - Stale &gt;180d"))</f>
        <v>FLAG - Stale &gt;180d</v>
      </c>
      <c r="T353" s="20" t="n">
        <f aca="false">COUNTIF(M353:S353,"FAIL*")+COUNTIF(M353:S353,"FLAG*")</f>
        <v>1</v>
      </c>
      <c r="U353" s="20" t="str">
        <f aca="false">IF(T353=0,"CLEAN",IF(T353=1,"MINOR",IF(T353&lt;=3,"MODERATE","CRITICAL")))</f>
        <v>MINOR</v>
      </c>
      <c r="V353" s="20" t="str">
        <f aca="false">IF(U353="CLEAN","None",IF(U353="MINOR","Seller Notify",IF(U353="MODERATE","Listing Suspended","Immediate Removal")))</f>
        <v>Seller Notify</v>
      </c>
    </row>
    <row r="354" customFormat="false" ht="18" hidden="false" customHeight="true" outlineLevel="0" collapsed="false">
      <c r="A354" s="19" t="s">
        <v>6431</v>
      </c>
      <c r="B354" s="19" t="s">
        <v>2623</v>
      </c>
      <c r="C354" s="19" t="s">
        <v>63</v>
      </c>
      <c r="D354" s="19" t="s">
        <v>64</v>
      </c>
      <c r="E354" s="19" t="s">
        <v>91</v>
      </c>
      <c r="F354" s="19" t="s">
        <v>138</v>
      </c>
      <c r="G354" s="19" t="s">
        <v>2625</v>
      </c>
      <c r="H354" s="19" t="s">
        <v>2626</v>
      </c>
      <c r="I354" s="19" t="s">
        <v>2627</v>
      </c>
      <c r="J354" s="19" t="n">
        <v>1301.84</v>
      </c>
      <c r="K354" s="19" t="s">
        <v>1274</v>
      </c>
      <c r="L354" s="19"/>
      <c r="M354" s="20" t="str">
        <f aca="false">IF(G354&lt;&gt;"","PASS","FAIL - Missing UPC")</f>
        <v>PASS</v>
      </c>
      <c r="N354" s="20" t="str">
        <f aca="false">IF(AND(G354&lt;&gt;"",H354&lt;&gt;""),IF("0"&amp;G354=H354,"PASS","FAIL - GTIN Mismatch"),"SKIP")</f>
        <v>PASS</v>
      </c>
      <c r="O354" s="20" t="str">
        <f aca="false">IF(I354="","FAIL - No Title",IF(LEN(I354)&lt;=126,"PASS","FAIL - Title &gt;"&amp;126&amp;" chars"))</f>
        <v>PASS</v>
      </c>
      <c r="P354" s="20" t="str">
        <f aca="false">IF(J354&gt;0,IF(J354&lt;5000,"PASS","FLAG - Review Price"),"FAIL - Zero Price")</f>
        <v>PASS</v>
      </c>
      <c r="Q354" s="20" t="str">
        <f aca="false">IF('Raw Catalog'!P352&lt;&gt;"","PASS","FAIL - No Image")</f>
        <v>PASS</v>
      </c>
      <c r="R354" s="20" t="str">
        <f aca="false">IF(F354&lt;&gt;"","PASS","FAIL - No Brand")</f>
        <v>PASS</v>
      </c>
      <c r="S354" s="20" t="str">
        <f aca="true">IF(K354="","FAIL - No Date",IF(TODAY()-DATEVALUE(K354)&lt;=180,"PASS","FLAG - Stale &gt;180d"))</f>
        <v>FLAG - Stale &gt;180d</v>
      </c>
      <c r="T354" s="20" t="n">
        <f aca="false">COUNTIF(M354:S354,"FAIL*")+COUNTIF(M354:S354,"FLAG*")</f>
        <v>1</v>
      </c>
      <c r="U354" s="20" t="str">
        <f aca="false">IF(T354=0,"CLEAN",IF(T354=1,"MINOR",IF(T354&lt;=3,"MODERATE","CRITICAL")))</f>
        <v>MINOR</v>
      </c>
      <c r="V354" s="20" t="str">
        <f aca="false">IF(U354="CLEAN","None",IF(U354="MINOR","Seller Notify",IF(U354="MODERATE","Listing Suspended","Immediate Removal")))</f>
        <v>Seller Notify</v>
      </c>
    </row>
    <row r="355" customFormat="false" ht="18" hidden="false" customHeight="true" outlineLevel="0" collapsed="false">
      <c r="A355" s="19" t="s">
        <v>6432</v>
      </c>
      <c r="B355" s="19" t="s">
        <v>2628</v>
      </c>
      <c r="C355" s="19" t="s">
        <v>125</v>
      </c>
      <c r="D355" s="19" t="s">
        <v>126</v>
      </c>
      <c r="E355" s="19" t="s">
        <v>79</v>
      </c>
      <c r="F355" s="19" t="s">
        <v>513</v>
      </c>
      <c r="G355" s="19" t="s">
        <v>2630</v>
      </c>
      <c r="H355" s="19" t="s">
        <v>2631</v>
      </c>
      <c r="I355" s="19" t="s">
        <v>2632</v>
      </c>
      <c r="J355" s="19" t="n">
        <v>2166.33</v>
      </c>
      <c r="K355" s="19" t="s">
        <v>2634</v>
      </c>
      <c r="L355" s="19"/>
      <c r="M355" s="20" t="str">
        <f aca="false">IF(G355&lt;&gt;"","PASS","FAIL - Missing UPC")</f>
        <v>PASS</v>
      </c>
      <c r="N355" s="20" t="str">
        <f aca="false">IF(AND(G355&lt;&gt;"",H355&lt;&gt;""),IF("0"&amp;G355=H355,"PASS","FAIL - GTIN Mismatch"),"SKIP")</f>
        <v>PASS</v>
      </c>
      <c r="O355" s="20" t="str">
        <f aca="false">IF(I355="","FAIL - No Title",IF(LEN(I355)&lt;=126,"PASS","FAIL - Title &gt;"&amp;126&amp;" chars"))</f>
        <v>PASS</v>
      </c>
      <c r="P355" s="20" t="str">
        <f aca="false">IF(J355&gt;0,IF(J355&lt;5000,"PASS","FLAG - Review Price"),"FAIL - Zero Price")</f>
        <v>PASS</v>
      </c>
      <c r="Q355" s="20" t="str">
        <f aca="false">IF('Raw Catalog'!P353&lt;&gt;"","PASS","FAIL - No Image")</f>
        <v>PASS</v>
      </c>
      <c r="R355" s="20" t="str">
        <f aca="false">IF(F355&lt;&gt;"","PASS","FAIL - No Brand")</f>
        <v>PASS</v>
      </c>
      <c r="S355" s="20" t="str">
        <f aca="true">IF(K355="","FAIL - No Date",IF(TODAY()-DATEVALUE(K355)&lt;=180,"PASS","FLAG - Stale &gt;180d"))</f>
        <v>FLAG - Stale &gt;180d</v>
      </c>
      <c r="T355" s="20" t="n">
        <f aca="false">COUNTIF(M355:S355,"FAIL*")+COUNTIF(M355:S355,"FLAG*")</f>
        <v>1</v>
      </c>
      <c r="U355" s="20" t="str">
        <f aca="false">IF(T355=0,"CLEAN",IF(T355=1,"MINOR",IF(T355&lt;=3,"MODERATE","CRITICAL")))</f>
        <v>MINOR</v>
      </c>
      <c r="V355" s="20" t="str">
        <f aca="false">IF(U355="CLEAN","None",IF(U355="MINOR","Seller Notify",IF(U355="MODERATE","Listing Suspended","Immediate Removal")))</f>
        <v>Seller Notify</v>
      </c>
    </row>
    <row r="356" customFormat="false" ht="18" hidden="false" customHeight="true" outlineLevel="0" collapsed="false">
      <c r="A356" s="19" t="s">
        <v>6433</v>
      </c>
      <c r="B356" s="19" t="s">
        <v>2635</v>
      </c>
      <c r="C356" s="19" t="s">
        <v>113</v>
      </c>
      <c r="D356" s="19" t="s">
        <v>114</v>
      </c>
      <c r="E356" s="19" t="s">
        <v>79</v>
      </c>
      <c r="F356" s="19" t="s">
        <v>465</v>
      </c>
      <c r="G356" s="19" t="s">
        <v>2637</v>
      </c>
      <c r="H356" s="19" t="s">
        <v>2638</v>
      </c>
      <c r="I356" s="19" t="s">
        <v>2639</v>
      </c>
      <c r="J356" s="19" t="n">
        <v>1460.4</v>
      </c>
      <c r="K356" s="19" t="s">
        <v>2640</v>
      </c>
      <c r="L356" s="19"/>
      <c r="M356" s="20" t="str">
        <f aca="false">IF(G356&lt;&gt;"","PASS","FAIL - Missing UPC")</f>
        <v>PASS</v>
      </c>
      <c r="N356" s="20" t="str">
        <f aca="false">IF(AND(G356&lt;&gt;"",H356&lt;&gt;""),IF("0"&amp;G356=H356,"PASS","FAIL - GTIN Mismatch"),"SKIP")</f>
        <v>PASS</v>
      </c>
      <c r="O356" s="20" t="str">
        <f aca="false">IF(I356="","FAIL - No Title",IF(LEN(I356)&lt;=126,"PASS","FAIL - Title &gt;"&amp;126&amp;" chars"))</f>
        <v>PASS</v>
      </c>
      <c r="P356" s="20" t="str">
        <f aca="false">IF(J356&gt;0,IF(J356&lt;5000,"PASS","FLAG - Review Price"),"FAIL - Zero Price")</f>
        <v>PASS</v>
      </c>
      <c r="Q356" s="20" t="str">
        <f aca="false">IF('Raw Catalog'!P354&lt;&gt;"","PASS","FAIL - No Image")</f>
        <v>PASS</v>
      </c>
      <c r="R356" s="20" t="str">
        <f aca="false">IF(F356&lt;&gt;"","PASS","FAIL - No Brand")</f>
        <v>PASS</v>
      </c>
      <c r="S356" s="20" t="str">
        <f aca="true">IF(K356="","FAIL - No Date",IF(TODAY()-DATEVALUE(K356)&lt;=180,"PASS","FLAG - Stale &gt;180d"))</f>
        <v>FLAG - Stale &gt;180d</v>
      </c>
      <c r="T356" s="20" t="n">
        <f aca="false">COUNTIF(M356:S356,"FAIL*")+COUNTIF(M356:S356,"FLAG*")</f>
        <v>1</v>
      </c>
      <c r="U356" s="20" t="str">
        <f aca="false">IF(T356=0,"CLEAN",IF(T356=1,"MINOR",IF(T356&lt;=3,"MODERATE","CRITICAL")))</f>
        <v>MINOR</v>
      </c>
      <c r="V356" s="20" t="str">
        <f aca="false">IF(U356="CLEAN","None",IF(U356="MINOR","Seller Notify",IF(U356="MODERATE","Listing Suspended","Immediate Removal")))</f>
        <v>Seller Notify</v>
      </c>
    </row>
    <row r="357" customFormat="false" ht="18" hidden="false" customHeight="true" outlineLevel="0" collapsed="false">
      <c r="A357" s="19" t="s">
        <v>6434</v>
      </c>
      <c r="B357" s="19" t="s">
        <v>2641</v>
      </c>
      <c r="C357" s="19" t="s">
        <v>63</v>
      </c>
      <c r="D357" s="19" t="s">
        <v>64</v>
      </c>
      <c r="E357" s="19" t="s">
        <v>91</v>
      </c>
      <c r="F357" s="19" t="s">
        <v>185</v>
      </c>
      <c r="G357" s="19" t="s">
        <v>2643</v>
      </c>
      <c r="H357" s="19" t="s">
        <v>2644</v>
      </c>
      <c r="I357" s="19" t="s">
        <v>2645</v>
      </c>
      <c r="J357" s="19" t="n">
        <v>3236.83</v>
      </c>
      <c r="K357" s="19" t="s">
        <v>1195</v>
      </c>
      <c r="L357" s="19"/>
      <c r="M357" s="20" t="str">
        <f aca="false">IF(G357&lt;&gt;"","PASS","FAIL - Missing UPC")</f>
        <v>PASS</v>
      </c>
      <c r="N357" s="20" t="str">
        <f aca="false">IF(AND(G357&lt;&gt;"",H357&lt;&gt;""),IF("0"&amp;G357=H357,"PASS","FAIL - GTIN Mismatch"),"SKIP")</f>
        <v>PASS</v>
      </c>
      <c r="O357" s="20" t="str">
        <f aca="false">IF(I357="","FAIL - No Title",IF(LEN(I357)&lt;=126,"PASS","FAIL - Title &gt;"&amp;126&amp;" chars"))</f>
        <v>PASS</v>
      </c>
      <c r="P357" s="20" t="str">
        <f aca="false">IF(J357&gt;0,IF(J357&lt;5000,"PASS","FLAG - Review Price"),"FAIL - Zero Price")</f>
        <v>PASS</v>
      </c>
      <c r="Q357" s="20" t="str">
        <f aca="false">IF('Raw Catalog'!P355&lt;&gt;"","PASS","FAIL - No Image")</f>
        <v>PASS</v>
      </c>
      <c r="R357" s="20" t="str">
        <f aca="false">IF(F357&lt;&gt;"","PASS","FAIL - No Brand")</f>
        <v>PASS</v>
      </c>
      <c r="S357" s="20" t="str">
        <f aca="true">IF(K357="","FAIL - No Date",IF(TODAY()-DATEVALUE(K357)&lt;=180,"PASS","FLAG - Stale &gt;180d"))</f>
        <v>FLAG - Stale &gt;180d</v>
      </c>
      <c r="T357" s="20" t="n">
        <f aca="false">COUNTIF(M357:S357,"FAIL*")+COUNTIF(M357:S357,"FLAG*")</f>
        <v>1</v>
      </c>
      <c r="U357" s="20" t="str">
        <f aca="false">IF(T357=0,"CLEAN",IF(T357=1,"MINOR",IF(T357&lt;=3,"MODERATE","CRITICAL")))</f>
        <v>MINOR</v>
      </c>
      <c r="V357" s="20" t="str">
        <f aca="false">IF(U357="CLEAN","None",IF(U357="MINOR","Seller Notify",IF(U357="MODERATE","Listing Suspended","Immediate Removal")))</f>
        <v>Seller Notify</v>
      </c>
    </row>
    <row r="358" customFormat="false" ht="18" hidden="false" customHeight="true" outlineLevel="0" collapsed="false">
      <c r="A358" s="19" t="s">
        <v>6435</v>
      </c>
      <c r="B358" s="19" t="s">
        <v>2646</v>
      </c>
      <c r="C358" s="19" t="s">
        <v>113</v>
      </c>
      <c r="D358" s="19" t="s">
        <v>114</v>
      </c>
      <c r="E358" s="19" t="s">
        <v>91</v>
      </c>
      <c r="F358" s="19" t="s">
        <v>780</v>
      </c>
      <c r="G358" s="19" t="s">
        <v>2648</v>
      </c>
      <c r="H358" s="19" t="s">
        <v>2649</v>
      </c>
      <c r="I358" s="19" t="s">
        <v>2650</v>
      </c>
      <c r="J358" s="19" t="n">
        <v>2047.19</v>
      </c>
      <c r="K358" s="19" t="s">
        <v>1661</v>
      </c>
      <c r="L358" s="19"/>
      <c r="M358" s="20" t="str">
        <f aca="false">IF(G358&lt;&gt;"","PASS","FAIL - Missing UPC")</f>
        <v>PASS</v>
      </c>
      <c r="N358" s="20" t="str">
        <f aca="false">IF(AND(G358&lt;&gt;"",H358&lt;&gt;""),IF("0"&amp;G358=H358,"PASS","FAIL - GTIN Mismatch"),"SKIP")</f>
        <v>PASS</v>
      </c>
      <c r="O358" s="20" t="str">
        <f aca="false">IF(I358="","FAIL - No Title",IF(LEN(I358)&lt;=126,"PASS","FAIL - Title &gt;"&amp;126&amp;" chars"))</f>
        <v>PASS</v>
      </c>
      <c r="P358" s="20" t="str">
        <f aca="false">IF(J358&gt;0,IF(J358&lt;5000,"PASS","FLAG - Review Price"),"FAIL - Zero Price")</f>
        <v>PASS</v>
      </c>
      <c r="Q358" s="20" t="str">
        <f aca="false">IF('Raw Catalog'!P356&lt;&gt;"","PASS","FAIL - No Image")</f>
        <v>PASS</v>
      </c>
      <c r="R358" s="20" t="str">
        <f aca="false">IF(F358&lt;&gt;"","PASS","FAIL - No Brand")</f>
        <v>PASS</v>
      </c>
      <c r="S358" s="20" t="str">
        <f aca="true">IF(K358="","FAIL - No Date",IF(TODAY()-DATEVALUE(K358)&lt;=180,"PASS","FLAG - Stale &gt;180d"))</f>
        <v>FLAG - Stale &gt;180d</v>
      </c>
      <c r="T358" s="20" t="n">
        <f aca="false">COUNTIF(M358:S358,"FAIL*")+COUNTIF(M358:S358,"FLAG*")</f>
        <v>1</v>
      </c>
      <c r="U358" s="20" t="str">
        <f aca="false">IF(T358=0,"CLEAN",IF(T358=1,"MINOR",IF(T358&lt;=3,"MODERATE","CRITICAL")))</f>
        <v>MINOR</v>
      </c>
      <c r="V358" s="20" t="str">
        <f aca="false">IF(U358="CLEAN","None",IF(U358="MINOR","Seller Notify",IF(U358="MODERATE","Listing Suspended","Immediate Removal")))</f>
        <v>Seller Notify</v>
      </c>
    </row>
    <row r="359" customFormat="false" ht="18" hidden="false" customHeight="true" outlineLevel="0" collapsed="false">
      <c r="A359" s="19" t="s">
        <v>6436</v>
      </c>
      <c r="B359" s="19" t="s">
        <v>2652</v>
      </c>
      <c r="C359" s="19" t="s">
        <v>255</v>
      </c>
      <c r="D359" s="19" t="s">
        <v>256</v>
      </c>
      <c r="E359" s="19" t="s">
        <v>91</v>
      </c>
      <c r="F359" s="19" t="s">
        <v>92</v>
      </c>
      <c r="G359" s="19" t="s">
        <v>2654</v>
      </c>
      <c r="H359" s="19" t="s">
        <v>2655</v>
      </c>
      <c r="I359" s="19" t="s">
        <v>2656</v>
      </c>
      <c r="J359" s="19" t="n">
        <v>439.37</v>
      </c>
      <c r="K359" s="19" t="s">
        <v>2136</v>
      </c>
      <c r="L359" s="19"/>
      <c r="M359" s="20" t="str">
        <f aca="false">IF(G359&lt;&gt;"","PASS","FAIL - Missing UPC")</f>
        <v>PASS</v>
      </c>
      <c r="N359" s="20" t="str">
        <f aca="false">IF(AND(G359&lt;&gt;"",H359&lt;&gt;""),IF("0"&amp;G359=H359,"PASS","FAIL - GTIN Mismatch"),"SKIP")</f>
        <v>PASS</v>
      </c>
      <c r="O359" s="20" t="str">
        <f aca="false">IF(I359="","FAIL - No Title",IF(LEN(I359)&lt;=126,"PASS","FAIL - Title &gt;"&amp;126&amp;" chars"))</f>
        <v>PASS</v>
      </c>
      <c r="P359" s="20" t="str">
        <f aca="false">IF(J359&gt;0,IF(J359&lt;5000,"PASS","FLAG - Review Price"),"FAIL - Zero Price")</f>
        <v>PASS</v>
      </c>
      <c r="Q359" s="20" t="str">
        <f aca="false">IF('Raw Catalog'!P357&lt;&gt;"","PASS","FAIL - No Image")</f>
        <v>PASS</v>
      </c>
      <c r="R359" s="20" t="str">
        <f aca="false">IF(F359&lt;&gt;"","PASS","FAIL - No Brand")</f>
        <v>PASS</v>
      </c>
      <c r="S359" s="20" t="str">
        <f aca="true">IF(K359="","FAIL - No Date",IF(TODAY()-DATEVALUE(K359)&lt;=180,"PASS","FLAG - Stale &gt;180d"))</f>
        <v>FLAG - Stale &gt;180d</v>
      </c>
      <c r="T359" s="20" t="n">
        <f aca="false">COUNTIF(M359:S359,"FAIL*")+COUNTIF(M359:S359,"FLAG*")</f>
        <v>1</v>
      </c>
      <c r="U359" s="20" t="str">
        <f aca="false">IF(T359=0,"CLEAN",IF(T359=1,"MINOR",IF(T359&lt;=3,"MODERATE","CRITICAL")))</f>
        <v>MINOR</v>
      </c>
      <c r="V359" s="20" t="str">
        <f aca="false">IF(U359="CLEAN","None",IF(U359="MINOR","Seller Notify",IF(U359="MODERATE","Listing Suspended","Immediate Removal")))</f>
        <v>Seller Notify</v>
      </c>
    </row>
    <row r="360" customFormat="false" ht="18" hidden="false" customHeight="true" outlineLevel="0" collapsed="false">
      <c r="A360" s="19" t="s">
        <v>6437</v>
      </c>
      <c r="B360" s="19" t="s">
        <v>2658</v>
      </c>
      <c r="C360" s="19" t="s">
        <v>48</v>
      </c>
      <c r="D360" s="19" t="s">
        <v>49</v>
      </c>
      <c r="E360" s="19" t="s">
        <v>50</v>
      </c>
      <c r="F360" s="19" t="s">
        <v>503</v>
      </c>
      <c r="G360" s="19" t="s">
        <v>2660</v>
      </c>
      <c r="H360" s="19" t="s">
        <v>2661</v>
      </c>
      <c r="I360" s="19" t="s">
        <v>2266</v>
      </c>
      <c r="J360" s="19" t="n">
        <v>342.94</v>
      </c>
      <c r="K360" s="19" t="s">
        <v>2663</v>
      </c>
      <c r="L360" s="19"/>
      <c r="M360" s="20" t="str">
        <f aca="false">IF(G360&lt;&gt;"","PASS","FAIL - Missing UPC")</f>
        <v>PASS</v>
      </c>
      <c r="N360" s="20" t="str">
        <f aca="false">IF(AND(G360&lt;&gt;"",H360&lt;&gt;""),IF("0"&amp;G360=H360,"PASS","FAIL - GTIN Mismatch"),"SKIP")</f>
        <v>PASS</v>
      </c>
      <c r="O360" s="20" t="str">
        <f aca="false">IF(I360="","FAIL - No Title",IF(LEN(I360)&lt;=126,"PASS","FAIL - Title &gt;"&amp;126&amp;" chars"))</f>
        <v>PASS</v>
      </c>
      <c r="P360" s="20" t="str">
        <f aca="false">IF(J360&gt;0,IF(J360&lt;5000,"PASS","FLAG - Review Price"),"FAIL - Zero Price")</f>
        <v>PASS</v>
      </c>
      <c r="Q360" s="20" t="str">
        <f aca="false">IF('Raw Catalog'!P358&lt;&gt;"","PASS","FAIL - No Image")</f>
        <v>PASS</v>
      </c>
      <c r="R360" s="20" t="str">
        <f aca="false">IF(F360&lt;&gt;"","PASS","FAIL - No Brand")</f>
        <v>PASS</v>
      </c>
      <c r="S360" s="20" t="str">
        <f aca="true">IF(K360="","FAIL - No Date",IF(TODAY()-DATEVALUE(K360)&lt;=180,"PASS","FLAG - Stale &gt;180d"))</f>
        <v>FLAG - Stale &gt;180d</v>
      </c>
      <c r="T360" s="20" t="n">
        <f aca="false">COUNTIF(M360:S360,"FAIL*")+COUNTIF(M360:S360,"FLAG*")</f>
        <v>1</v>
      </c>
      <c r="U360" s="20" t="str">
        <f aca="false">IF(T360=0,"CLEAN",IF(T360=1,"MINOR",IF(T360&lt;=3,"MODERATE","CRITICAL")))</f>
        <v>MINOR</v>
      </c>
      <c r="V360" s="20" t="str">
        <f aca="false">IF(U360="CLEAN","None",IF(U360="MINOR","Seller Notify",IF(U360="MODERATE","Listing Suspended","Immediate Removal")))</f>
        <v>Seller Notify</v>
      </c>
    </row>
    <row r="361" customFormat="false" ht="18" hidden="false" customHeight="true" outlineLevel="0" collapsed="false">
      <c r="A361" s="19" t="s">
        <v>6438</v>
      </c>
      <c r="B361" s="19" t="s">
        <v>2664</v>
      </c>
      <c r="C361" s="19" t="s">
        <v>113</v>
      </c>
      <c r="D361" s="19" t="s">
        <v>114</v>
      </c>
      <c r="E361" s="19" t="s">
        <v>79</v>
      </c>
      <c r="F361" s="19" t="s">
        <v>51</v>
      </c>
      <c r="G361" s="19" t="s">
        <v>2666</v>
      </c>
      <c r="H361" s="19" t="s">
        <v>2667</v>
      </c>
      <c r="I361" s="19" t="s">
        <v>2668</v>
      </c>
      <c r="J361" s="19" t="n">
        <v>754.44</v>
      </c>
      <c r="K361" s="19" t="s">
        <v>2434</v>
      </c>
      <c r="L361" s="19"/>
      <c r="M361" s="20" t="str">
        <f aca="false">IF(G361&lt;&gt;"","PASS","FAIL - Missing UPC")</f>
        <v>PASS</v>
      </c>
      <c r="N361" s="20" t="str">
        <f aca="false">IF(AND(G361&lt;&gt;"",H361&lt;&gt;""),IF("0"&amp;G361=H361,"PASS","FAIL - GTIN Mismatch"),"SKIP")</f>
        <v>PASS</v>
      </c>
      <c r="O361" s="20" t="str">
        <f aca="false">IF(I361="","FAIL - No Title",IF(LEN(I361)&lt;=126,"PASS","FAIL - Title &gt;"&amp;126&amp;" chars"))</f>
        <v>PASS</v>
      </c>
      <c r="P361" s="20" t="str">
        <f aca="false">IF(J361&gt;0,IF(J361&lt;5000,"PASS","FLAG - Review Price"),"FAIL - Zero Price")</f>
        <v>PASS</v>
      </c>
      <c r="Q361" s="20" t="str">
        <f aca="false">IF('Raw Catalog'!P359&lt;&gt;"","PASS","FAIL - No Image")</f>
        <v>PASS</v>
      </c>
      <c r="R361" s="20" t="str">
        <f aca="false">IF(F361&lt;&gt;"","PASS","FAIL - No Brand")</f>
        <v>PASS</v>
      </c>
      <c r="S361" s="20" t="str">
        <f aca="true">IF(K361="","FAIL - No Date",IF(TODAY()-DATEVALUE(K361)&lt;=180,"PASS","FLAG - Stale &gt;180d"))</f>
        <v>FLAG - Stale &gt;180d</v>
      </c>
      <c r="T361" s="20" t="n">
        <f aca="false">COUNTIF(M361:S361,"FAIL*")+COUNTIF(M361:S361,"FLAG*")</f>
        <v>1</v>
      </c>
      <c r="U361" s="20" t="str">
        <f aca="false">IF(T361=0,"CLEAN",IF(T361=1,"MINOR",IF(T361&lt;=3,"MODERATE","CRITICAL")))</f>
        <v>MINOR</v>
      </c>
      <c r="V361" s="20" t="str">
        <f aca="false">IF(U361="CLEAN","None",IF(U361="MINOR","Seller Notify",IF(U361="MODERATE","Listing Suspended","Immediate Removal")))</f>
        <v>Seller Notify</v>
      </c>
    </row>
    <row r="362" customFormat="false" ht="18" hidden="false" customHeight="true" outlineLevel="0" collapsed="false">
      <c r="A362" s="19" t="s">
        <v>6439</v>
      </c>
      <c r="B362" s="19" t="s">
        <v>2670</v>
      </c>
      <c r="C362" s="19" t="s">
        <v>63</v>
      </c>
      <c r="D362" s="19" t="s">
        <v>64</v>
      </c>
      <c r="E362" s="19" t="s">
        <v>50</v>
      </c>
      <c r="F362" s="19" t="s">
        <v>503</v>
      </c>
      <c r="G362" s="19" t="s">
        <v>2672</v>
      </c>
      <c r="H362" s="19" t="s">
        <v>2673</v>
      </c>
      <c r="I362" s="19" t="s">
        <v>2674</v>
      </c>
      <c r="J362" s="19" t="n">
        <v>3967.89</v>
      </c>
      <c r="K362" s="19" t="s">
        <v>2676</v>
      </c>
      <c r="L362" s="21" t="s">
        <v>343</v>
      </c>
      <c r="M362" s="20" t="str">
        <f aca="false">IF(G362&lt;&gt;"","PASS","FAIL - Missing UPC")</f>
        <v>PASS</v>
      </c>
      <c r="N362" s="20" t="str">
        <f aca="false">IF(AND(G362&lt;&gt;"",H362&lt;&gt;""),IF("0"&amp;G362=H362,"PASS","FAIL - GTIN Mismatch"),"SKIP")</f>
        <v>PASS</v>
      </c>
      <c r="O362" s="20" t="str">
        <f aca="false">IF(I362="","FAIL - No Title",IF(LEN(I362)&lt;=126,"PASS","FAIL - Title &gt;"&amp;126&amp;" chars"))</f>
        <v>PASS</v>
      </c>
      <c r="P362" s="20" t="str">
        <f aca="false">IF(J362&gt;0,IF(J362&lt;5000,"PASS","FLAG - Review Price"),"FAIL - Zero Price")</f>
        <v>PASS</v>
      </c>
      <c r="Q362" s="20" t="str">
        <f aca="false">IF('Raw Catalog'!P360&lt;&gt;"","PASS","FAIL - No Image")</f>
        <v>PASS</v>
      </c>
      <c r="R362" s="20" t="str">
        <f aca="false">IF(F362&lt;&gt;"","PASS","FAIL - No Brand")</f>
        <v>PASS</v>
      </c>
      <c r="S362" s="20" t="str">
        <f aca="true">IF(K362="","FAIL - No Date",IF(TODAY()-DATEVALUE(K362)&lt;=180,"PASS","FLAG - Stale &gt;180d"))</f>
        <v>FLAG - Stale &gt;180d</v>
      </c>
      <c r="T362" s="20" t="n">
        <f aca="false">COUNTIF(M362:S362,"FAIL*")+COUNTIF(M362:S362,"FLAG*")</f>
        <v>1</v>
      </c>
      <c r="U362" s="20" t="str">
        <f aca="false">IF(T362=0,"CLEAN",IF(T362=1,"MINOR",IF(T362&lt;=3,"MODERATE","CRITICAL")))</f>
        <v>MINOR</v>
      </c>
      <c r="V362" s="20" t="str">
        <f aca="false">IF(U362="CLEAN","None",IF(U362="MINOR","Seller Notify",IF(U362="MODERATE","Listing Suspended","Immediate Removal")))</f>
        <v>Seller Notify</v>
      </c>
    </row>
    <row r="363" customFormat="false" ht="18" hidden="false" customHeight="true" outlineLevel="0" collapsed="false">
      <c r="A363" s="19" t="s">
        <v>6440</v>
      </c>
      <c r="B363" s="19" t="s">
        <v>2677</v>
      </c>
      <c r="C363" s="19" t="s">
        <v>77</v>
      </c>
      <c r="D363" s="19" t="s">
        <v>78</v>
      </c>
      <c r="E363" s="19" t="s">
        <v>50</v>
      </c>
      <c r="F363" s="19" t="s">
        <v>51</v>
      </c>
      <c r="G363" s="19" t="s">
        <v>2679</v>
      </c>
      <c r="H363" s="19" t="s">
        <v>2680</v>
      </c>
      <c r="I363" s="19" t="s">
        <v>2681</v>
      </c>
      <c r="J363" s="19" t="n">
        <v>732.41</v>
      </c>
      <c r="K363" s="19" t="s">
        <v>1343</v>
      </c>
      <c r="L363" s="19"/>
      <c r="M363" s="20" t="str">
        <f aca="false">IF(G363&lt;&gt;"","PASS","FAIL - Missing UPC")</f>
        <v>PASS</v>
      </c>
      <c r="N363" s="20" t="str">
        <f aca="false">IF(AND(G363&lt;&gt;"",H363&lt;&gt;""),IF("0"&amp;G363=H363,"PASS","FAIL - GTIN Mismatch"),"SKIP")</f>
        <v>PASS</v>
      </c>
      <c r="O363" s="20" t="str">
        <f aca="false">IF(I363="","FAIL - No Title",IF(LEN(I363)&lt;=126,"PASS","FAIL - Title &gt;"&amp;126&amp;" chars"))</f>
        <v>PASS</v>
      </c>
      <c r="P363" s="20" t="str">
        <f aca="false">IF(J363&gt;0,IF(J363&lt;5000,"PASS","FLAG - Review Price"),"FAIL - Zero Price")</f>
        <v>PASS</v>
      </c>
      <c r="Q363" s="20" t="str">
        <f aca="false">IF('Raw Catalog'!P361&lt;&gt;"","PASS","FAIL - No Image")</f>
        <v>PASS</v>
      </c>
      <c r="R363" s="20" t="str">
        <f aca="false">IF(F363&lt;&gt;"","PASS","FAIL - No Brand")</f>
        <v>PASS</v>
      </c>
      <c r="S363" s="20" t="str">
        <f aca="true">IF(K363="","FAIL - No Date",IF(TODAY()-DATEVALUE(K363)&lt;=180,"PASS","FLAG - Stale &gt;180d"))</f>
        <v>FLAG - Stale &gt;180d</v>
      </c>
      <c r="T363" s="20" t="n">
        <f aca="false">COUNTIF(M363:S363,"FAIL*")+COUNTIF(M363:S363,"FLAG*")</f>
        <v>1</v>
      </c>
      <c r="U363" s="20" t="str">
        <f aca="false">IF(T363=0,"CLEAN",IF(T363=1,"MINOR",IF(T363&lt;=3,"MODERATE","CRITICAL")))</f>
        <v>MINOR</v>
      </c>
      <c r="V363" s="20" t="str">
        <f aca="false">IF(U363="CLEAN","None",IF(U363="MINOR","Seller Notify",IF(U363="MODERATE","Listing Suspended","Immediate Removal")))</f>
        <v>Seller Notify</v>
      </c>
    </row>
    <row r="364" customFormat="false" ht="18" hidden="false" customHeight="true" outlineLevel="0" collapsed="false">
      <c r="A364" s="19" t="s">
        <v>6441</v>
      </c>
      <c r="B364" s="19" t="s">
        <v>2683</v>
      </c>
      <c r="C364" s="19" t="s">
        <v>77</v>
      </c>
      <c r="D364" s="19" t="s">
        <v>78</v>
      </c>
      <c r="E364" s="19" t="s">
        <v>91</v>
      </c>
      <c r="F364" s="19" t="s">
        <v>138</v>
      </c>
      <c r="G364" s="19" t="s">
        <v>2685</v>
      </c>
      <c r="H364" s="19" t="s">
        <v>2686</v>
      </c>
      <c r="I364" s="19" t="s">
        <v>2687</v>
      </c>
      <c r="J364" s="19" t="n">
        <v>3293.6</v>
      </c>
      <c r="K364" s="19" t="s">
        <v>2581</v>
      </c>
      <c r="L364" s="19"/>
      <c r="M364" s="20" t="str">
        <f aca="false">IF(G364&lt;&gt;"","PASS","FAIL - Missing UPC")</f>
        <v>PASS</v>
      </c>
      <c r="N364" s="20" t="str">
        <f aca="false">IF(AND(G364&lt;&gt;"",H364&lt;&gt;""),IF("0"&amp;G364=H364,"PASS","FAIL - GTIN Mismatch"),"SKIP")</f>
        <v>PASS</v>
      </c>
      <c r="O364" s="20" t="str">
        <f aca="false">IF(I364="","FAIL - No Title",IF(LEN(I364)&lt;=126,"PASS","FAIL - Title &gt;"&amp;126&amp;" chars"))</f>
        <v>PASS</v>
      </c>
      <c r="P364" s="20" t="str">
        <f aca="false">IF(J364&gt;0,IF(J364&lt;5000,"PASS","FLAG - Review Price"),"FAIL - Zero Price")</f>
        <v>PASS</v>
      </c>
      <c r="Q364" s="20" t="str">
        <f aca="false">IF('Raw Catalog'!P362&lt;&gt;"","PASS","FAIL - No Image")</f>
        <v>PASS</v>
      </c>
      <c r="R364" s="20" t="str">
        <f aca="false">IF(F364&lt;&gt;"","PASS","FAIL - No Brand")</f>
        <v>PASS</v>
      </c>
      <c r="S364" s="20" t="str">
        <f aca="true">IF(K364="","FAIL - No Date",IF(TODAY()-DATEVALUE(K364)&lt;=180,"PASS","FLAG - Stale &gt;180d"))</f>
        <v>FLAG - Stale &gt;180d</v>
      </c>
      <c r="T364" s="20" t="n">
        <f aca="false">COUNTIF(M364:S364,"FAIL*")+COUNTIF(M364:S364,"FLAG*")</f>
        <v>1</v>
      </c>
      <c r="U364" s="20" t="str">
        <f aca="false">IF(T364=0,"CLEAN",IF(T364=1,"MINOR",IF(T364&lt;=3,"MODERATE","CRITICAL")))</f>
        <v>MINOR</v>
      </c>
      <c r="V364" s="20" t="str">
        <f aca="false">IF(U364="CLEAN","None",IF(U364="MINOR","Seller Notify",IF(U364="MODERATE","Listing Suspended","Immediate Removal")))</f>
        <v>Seller Notify</v>
      </c>
    </row>
    <row r="365" customFormat="false" ht="18" hidden="false" customHeight="true" outlineLevel="0" collapsed="false">
      <c r="A365" s="19" t="s">
        <v>6442</v>
      </c>
      <c r="B365" s="19" t="s">
        <v>2689</v>
      </c>
      <c r="C365" s="19" t="s">
        <v>125</v>
      </c>
      <c r="D365" s="19" t="s">
        <v>126</v>
      </c>
      <c r="E365" s="19" t="s">
        <v>161</v>
      </c>
      <c r="F365" s="19" t="s">
        <v>429</v>
      </c>
      <c r="G365" s="19" t="s">
        <v>2691</v>
      </c>
      <c r="H365" s="19" t="s">
        <v>2692</v>
      </c>
      <c r="I365" s="19" t="s">
        <v>2693</v>
      </c>
      <c r="J365" s="19" t="n">
        <v>151.52</v>
      </c>
      <c r="K365" s="19" t="s">
        <v>2694</v>
      </c>
      <c r="L365" s="19"/>
      <c r="M365" s="20" t="str">
        <f aca="false">IF(G365&lt;&gt;"","PASS","FAIL - Missing UPC")</f>
        <v>PASS</v>
      </c>
      <c r="N365" s="20" t="str">
        <f aca="false">IF(AND(G365&lt;&gt;"",H365&lt;&gt;""),IF("0"&amp;G365=H365,"PASS","FAIL - GTIN Mismatch"),"SKIP")</f>
        <v>PASS</v>
      </c>
      <c r="O365" s="20" t="str">
        <f aca="false">IF(I365="","FAIL - No Title",IF(LEN(I365)&lt;=126,"PASS","FAIL - Title &gt;"&amp;126&amp;" chars"))</f>
        <v>PASS</v>
      </c>
      <c r="P365" s="20" t="str">
        <f aca="false">IF(J365&gt;0,IF(J365&lt;5000,"PASS","FLAG - Review Price"),"FAIL - Zero Price")</f>
        <v>PASS</v>
      </c>
      <c r="Q365" s="20" t="str">
        <f aca="false">IF('Raw Catalog'!P363&lt;&gt;"","PASS","FAIL - No Image")</f>
        <v>PASS</v>
      </c>
      <c r="R365" s="20" t="str">
        <f aca="false">IF(F365&lt;&gt;"","PASS","FAIL - No Brand")</f>
        <v>PASS</v>
      </c>
      <c r="S365" s="20" t="str">
        <f aca="true">IF(K365="","FAIL - No Date",IF(TODAY()-DATEVALUE(K365)&lt;=180,"PASS","FLAG - Stale &gt;180d"))</f>
        <v>FLAG - Stale &gt;180d</v>
      </c>
      <c r="T365" s="20" t="n">
        <f aca="false">COUNTIF(M365:S365,"FAIL*")+COUNTIF(M365:S365,"FLAG*")</f>
        <v>1</v>
      </c>
      <c r="U365" s="20" t="str">
        <f aca="false">IF(T365=0,"CLEAN",IF(T365=1,"MINOR",IF(T365&lt;=3,"MODERATE","CRITICAL")))</f>
        <v>MINOR</v>
      </c>
      <c r="V365" s="20" t="str">
        <f aca="false">IF(U365="CLEAN","None",IF(U365="MINOR","Seller Notify",IF(U365="MODERATE","Listing Suspended","Immediate Removal")))</f>
        <v>Seller Notify</v>
      </c>
    </row>
    <row r="366" customFormat="false" ht="18" hidden="false" customHeight="true" outlineLevel="0" collapsed="false">
      <c r="A366" s="19" t="s">
        <v>6443</v>
      </c>
      <c r="B366" s="19" t="s">
        <v>2695</v>
      </c>
      <c r="C366" s="19" t="s">
        <v>113</v>
      </c>
      <c r="D366" s="19" t="s">
        <v>114</v>
      </c>
      <c r="E366" s="19" t="s">
        <v>65</v>
      </c>
      <c r="F366" s="19" t="s">
        <v>438</v>
      </c>
      <c r="G366" s="19" t="s">
        <v>2697</v>
      </c>
      <c r="H366" s="19" t="s">
        <v>2698</v>
      </c>
      <c r="I366" s="19" t="s">
        <v>442</v>
      </c>
      <c r="J366" s="19" t="n">
        <v>423.09</v>
      </c>
      <c r="K366" s="19" t="s">
        <v>2699</v>
      </c>
      <c r="L366" s="19"/>
      <c r="M366" s="20" t="str">
        <f aca="false">IF(G366&lt;&gt;"","PASS","FAIL - Missing UPC")</f>
        <v>PASS</v>
      </c>
      <c r="N366" s="20" t="str">
        <f aca="false">IF(AND(G366&lt;&gt;"",H366&lt;&gt;""),IF("0"&amp;G366=H366,"PASS","FAIL - GTIN Mismatch"),"SKIP")</f>
        <v>PASS</v>
      </c>
      <c r="O366" s="20" t="str">
        <f aca="false">IF(I366="","FAIL - No Title",IF(LEN(I366)&lt;=126,"PASS","FAIL - Title &gt;"&amp;126&amp;" chars"))</f>
        <v>PASS</v>
      </c>
      <c r="P366" s="20" t="str">
        <f aca="false">IF(J366&gt;0,IF(J366&lt;5000,"PASS","FLAG - Review Price"),"FAIL - Zero Price")</f>
        <v>PASS</v>
      </c>
      <c r="Q366" s="20" t="str">
        <f aca="false">IF('Raw Catalog'!P364&lt;&gt;"","PASS","FAIL - No Image")</f>
        <v>PASS</v>
      </c>
      <c r="R366" s="20" t="str">
        <f aca="false">IF(F366&lt;&gt;"","PASS","FAIL - No Brand")</f>
        <v>PASS</v>
      </c>
      <c r="S366" s="20" t="str">
        <f aca="true">IF(K366="","FAIL - No Date",IF(TODAY()-DATEVALUE(K366)&lt;=180,"PASS","FLAG - Stale &gt;180d"))</f>
        <v>FLAG - Stale &gt;180d</v>
      </c>
      <c r="T366" s="20" t="n">
        <f aca="false">COUNTIF(M366:S366,"FAIL*")+COUNTIF(M366:S366,"FLAG*")</f>
        <v>1</v>
      </c>
      <c r="U366" s="20" t="str">
        <f aca="false">IF(T366=0,"CLEAN",IF(T366=1,"MINOR",IF(T366&lt;=3,"MODERATE","CRITICAL")))</f>
        <v>MINOR</v>
      </c>
      <c r="V366" s="20" t="str">
        <f aca="false">IF(U366="CLEAN","None",IF(U366="MINOR","Seller Notify",IF(U366="MODERATE","Listing Suspended","Immediate Removal")))</f>
        <v>Seller Notify</v>
      </c>
    </row>
    <row r="367" customFormat="false" ht="18" hidden="false" customHeight="true" outlineLevel="0" collapsed="false">
      <c r="A367" s="19" t="s">
        <v>6444</v>
      </c>
      <c r="B367" s="19" t="s">
        <v>2700</v>
      </c>
      <c r="C367" s="19" t="s">
        <v>125</v>
      </c>
      <c r="D367" s="19" t="s">
        <v>126</v>
      </c>
      <c r="E367" s="19" t="s">
        <v>161</v>
      </c>
      <c r="F367" s="19" t="s">
        <v>429</v>
      </c>
      <c r="G367" s="19" t="s">
        <v>2702</v>
      </c>
      <c r="H367" s="19" t="s">
        <v>2703</v>
      </c>
      <c r="I367" s="19" t="s">
        <v>2704</v>
      </c>
      <c r="J367" s="19" t="n">
        <v>84.55</v>
      </c>
      <c r="K367" s="19" t="s">
        <v>2300</v>
      </c>
      <c r="L367" s="21" t="s">
        <v>778</v>
      </c>
      <c r="M367" s="20" t="str">
        <f aca="false">IF(G367&lt;&gt;"","PASS","FAIL - Missing UPC")</f>
        <v>PASS</v>
      </c>
      <c r="N367" s="20" t="str">
        <f aca="false">IF(AND(G367&lt;&gt;"",H367&lt;&gt;""),IF("0"&amp;G367=H367,"PASS","FAIL - GTIN Mismatch"),"SKIP")</f>
        <v>PASS</v>
      </c>
      <c r="O367" s="20" t="str">
        <f aca="false">IF(I367="","FAIL - No Title",IF(LEN(I367)&lt;=126,"PASS","FAIL - Title &gt;"&amp;126&amp;" chars"))</f>
        <v>FAIL - Title &gt;126 chars</v>
      </c>
      <c r="P367" s="20" t="str">
        <f aca="false">IF(J367&gt;0,IF(J367&lt;5000,"PASS","FLAG - Review Price"),"FAIL - Zero Price")</f>
        <v>PASS</v>
      </c>
      <c r="Q367" s="20" t="str">
        <f aca="false">IF('Raw Catalog'!P365&lt;&gt;"","PASS","FAIL - No Image")</f>
        <v>PASS</v>
      </c>
      <c r="R367" s="20" t="str">
        <f aca="false">IF(F367&lt;&gt;"","PASS","FAIL - No Brand")</f>
        <v>PASS</v>
      </c>
      <c r="S367" s="20" t="str">
        <f aca="true">IF(K367="","FAIL - No Date",IF(TODAY()-DATEVALUE(K367)&lt;=180,"PASS","FLAG - Stale &gt;180d"))</f>
        <v>FLAG - Stale &gt;180d</v>
      </c>
      <c r="T367" s="20" t="n">
        <f aca="false">COUNTIF(M367:S367,"FAIL*")+COUNTIF(M367:S367,"FLAG*")</f>
        <v>2</v>
      </c>
      <c r="U367" s="20" t="str">
        <f aca="false">IF(T367=0,"CLEAN",IF(T367=1,"MINOR",IF(T367&lt;=3,"MODERATE","CRITICAL")))</f>
        <v>MODERATE</v>
      </c>
      <c r="V367" s="20" t="str">
        <f aca="false">IF(U367="CLEAN","None",IF(U367="MINOR","Seller Notify",IF(U367="MODERATE","Listing Suspended","Immediate Removal")))</f>
        <v>Listing Suspended</v>
      </c>
    </row>
    <row r="368" customFormat="false" ht="18" hidden="false" customHeight="true" outlineLevel="0" collapsed="false">
      <c r="A368" s="19" t="s">
        <v>6445</v>
      </c>
      <c r="B368" s="19" t="s">
        <v>2706</v>
      </c>
      <c r="C368" s="19" t="s">
        <v>173</v>
      </c>
      <c r="D368" s="19" t="s">
        <v>174</v>
      </c>
      <c r="E368" s="19" t="s">
        <v>161</v>
      </c>
      <c r="F368" s="19" t="s">
        <v>185</v>
      </c>
      <c r="G368" s="19" t="s">
        <v>2708</v>
      </c>
      <c r="H368" s="19" t="s">
        <v>2709</v>
      </c>
      <c r="I368" s="19"/>
      <c r="J368" s="19" t="n">
        <v>226.9</v>
      </c>
      <c r="K368" s="19" t="s">
        <v>1236</v>
      </c>
      <c r="L368" s="21" t="s">
        <v>1048</v>
      </c>
      <c r="M368" s="20" t="str">
        <f aca="false">IF(G368&lt;&gt;"","PASS","FAIL - Missing UPC")</f>
        <v>PASS</v>
      </c>
      <c r="N368" s="20" t="str">
        <f aca="false">IF(AND(G368&lt;&gt;"",H368&lt;&gt;""),IF("0"&amp;G368=H368,"PASS","FAIL - GTIN Mismatch"),"SKIP")</f>
        <v>PASS</v>
      </c>
      <c r="O368" s="20" t="str">
        <f aca="false">IF(I368="","FAIL - No Title",IF(LEN(I368)&lt;=126,"PASS","FAIL - Title &gt;"&amp;126&amp;" chars"))</f>
        <v>FAIL - No Title</v>
      </c>
      <c r="P368" s="20" t="str">
        <f aca="false">IF(J368&gt;0,IF(J368&lt;5000,"PASS","FLAG - Review Price"),"FAIL - Zero Price")</f>
        <v>PASS</v>
      </c>
      <c r="Q368" s="20" t="str">
        <f aca="false">IF('Raw Catalog'!P366&lt;&gt;"","PASS","FAIL - No Image")</f>
        <v>PASS</v>
      </c>
      <c r="R368" s="20" t="str">
        <f aca="false">IF(F368&lt;&gt;"","PASS","FAIL - No Brand")</f>
        <v>PASS</v>
      </c>
      <c r="S368" s="20" t="str">
        <f aca="true">IF(K368="","FAIL - No Date",IF(TODAY()-DATEVALUE(K368)&lt;=180,"PASS","FLAG - Stale &gt;180d"))</f>
        <v>FLAG - Stale &gt;180d</v>
      </c>
      <c r="T368" s="20" t="n">
        <f aca="false">COUNTIF(M368:S368,"FAIL*")+COUNTIF(M368:S368,"FLAG*")</f>
        <v>2</v>
      </c>
      <c r="U368" s="20" t="str">
        <f aca="false">IF(T368=0,"CLEAN",IF(T368=1,"MINOR",IF(T368&lt;=3,"MODERATE","CRITICAL")))</f>
        <v>MODERATE</v>
      </c>
      <c r="V368" s="20" t="str">
        <f aca="false">IF(U368="CLEAN","None",IF(U368="MINOR","Seller Notify",IF(U368="MODERATE","Listing Suspended","Immediate Removal")))</f>
        <v>Listing Suspended</v>
      </c>
    </row>
    <row r="369" customFormat="false" ht="18" hidden="false" customHeight="true" outlineLevel="0" collapsed="false">
      <c r="A369" s="19" t="s">
        <v>6446</v>
      </c>
      <c r="B369" s="19" t="s">
        <v>2711</v>
      </c>
      <c r="C369" s="19" t="s">
        <v>125</v>
      </c>
      <c r="D369" s="19" t="s">
        <v>126</v>
      </c>
      <c r="E369" s="19" t="s">
        <v>65</v>
      </c>
      <c r="F369" s="19" t="s">
        <v>227</v>
      </c>
      <c r="G369" s="19" t="s">
        <v>2713</v>
      </c>
      <c r="H369" s="19" t="s">
        <v>2714</v>
      </c>
      <c r="I369" s="19" t="s">
        <v>278</v>
      </c>
      <c r="J369" s="19" t="n">
        <v>196.2</v>
      </c>
      <c r="K369" s="19" t="s">
        <v>2715</v>
      </c>
      <c r="L369" s="19"/>
      <c r="M369" s="20" t="str">
        <f aca="false">IF(G369&lt;&gt;"","PASS","FAIL - Missing UPC")</f>
        <v>PASS</v>
      </c>
      <c r="N369" s="20" t="str">
        <f aca="false">IF(AND(G369&lt;&gt;"",H369&lt;&gt;""),IF("0"&amp;G369=H369,"PASS","FAIL - GTIN Mismatch"),"SKIP")</f>
        <v>PASS</v>
      </c>
      <c r="O369" s="20" t="str">
        <f aca="false">IF(I369="","FAIL - No Title",IF(LEN(I369)&lt;=126,"PASS","FAIL - Title &gt;"&amp;126&amp;" chars"))</f>
        <v>PASS</v>
      </c>
      <c r="P369" s="20" t="str">
        <f aca="false">IF(J369&gt;0,IF(J369&lt;5000,"PASS","FLAG - Review Price"),"FAIL - Zero Price")</f>
        <v>PASS</v>
      </c>
      <c r="Q369" s="20" t="str">
        <f aca="false">IF('Raw Catalog'!P367&lt;&gt;"","PASS","FAIL - No Image")</f>
        <v>PASS</v>
      </c>
      <c r="R369" s="20" t="str">
        <f aca="false">IF(F369&lt;&gt;"","PASS","FAIL - No Brand")</f>
        <v>PASS</v>
      </c>
      <c r="S369" s="20" t="str">
        <f aca="true">IF(K369="","FAIL - No Date",IF(TODAY()-DATEVALUE(K369)&lt;=180,"PASS","FLAG - Stale &gt;180d"))</f>
        <v>FLAG - Stale &gt;180d</v>
      </c>
      <c r="T369" s="20" t="n">
        <f aca="false">COUNTIF(M369:S369,"FAIL*")+COUNTIF(M369:S369,"FLAG*")</f>
        <v>1</v>
      </c>
      <c r="U369" s="20" t="str">
        <f aca="false">IF(T369=0,"CLEAN",IF(T369=1,"MINOR",IF(T369&lt;=3,"MODERATE","CRITICAL")))</f>
        <v>MINOR</v>
      </c>
      <c r="V369" s="20" t="str">
        <f aca="false">IF(U369="CLEAN","None",IF(U369="MINOR","Seller Notify",IF(U369="MODERATE","Listing Suspended","Immediate Removal")))</f>
        <v>Seller Notify</v>
      </c>
    </row>
    <row r="370" customFormat="false" ht="18" hidden="false" customHeight="true" outlineLevel="0" collapsed="false">
      <c r="A370" s="19" t="s">
        <v>6447</v>
      </c>
      <c r="B370" s="19" t="s">
        <v>2716</v>
      </c>
      <c r="C370" s="19" t="s">
        <v>125</v>
      </c>
      <c r="D370" s="19" t="s">
        <v>126</v>
      </c>
      <c r="E370" s="19" t="s">
        <v>65</v>
      </c>
      <c r="F370" s="19" t="s">
        <v>245</v>
      </c>
      <c r="G370" s="19" t="s">
        <v>2718</v>
      </c>
      <c r="H370" s="19" t="s">
        <v>2719</v>
      </c>
      <c r="I370" s="19" t="s">
        <v>1414</v>
      </c>
      <c r="J370" s="19" t="n">
        <v>159.14</v>
      </c>
      <c r="K370" s="19" t="s">
        <v>2550</v>
      </c>
      <c r="L370" s="19"/>
      <c r="M370" s="20" t="str">
        <f aca="false">IF(G370&lt;&gt;"","PASS","FAIL - Missing UPC")</f>
        <v>PASS</v>
      </c>
      <c r="N370" s="20" t="str">
        <f aca="false">IF(AND(G370&lt;&gt;"",H370&lt;&gt;""),IF("0"&amp;G370=H370,"PASS","FAIL - GTIN Mismatch"),"SKIP")</f>
        <v>PASS</v>
      </c>
      <c r="O370" s="20" t="str">
        <f aca="false">IF(I370="","FAIL - No Title",IF(LEN(I370)&lt;=126,"PASS","FAIL - Title &gt;"&amp;126&amp;" chars"))</f>
        <v>PASS</v>
      </c>
      <c r="P370" s="20" t="str">
        <f aca="false">IF(J370&gt;0,IF(J370&lt;5000,"PASS","FLAG - Review Price"),"FAIL - Zero Price")</f>
        <v>PASS</v>
      </c>
      <c r="Q370" s="20" t="str">
        <f aca="false">IF('Raw Catalog'!P368&lt;&gt;"","PASS","FAIL - No Image")</f>
        <v>PASS</v>
      </c>
      <c r="R370" s="20" t="str">
        <f aca="false">IF(F370&lt;&gt;"","PASS","FAIL - No Brand")</f>
        <v>PASS</v>
      </c>
      <c r="S370" s="20" t="str">
        <f aca="true">IF(K370="","FAIL - No Date",IF(TODAY()-DATEVALUE(K370)&lt;=180,"PASS","FLAG - Stale &gt;180d"))</f>
        <v>FLAG - Stale &gt;180d</v>
      </c>
      <c r="T370" s="20" t="n">
        <f aca="false">COUNTIF(M370:S370,"FAIL*")+COUNTIF(M370:S370,"FLAG*")</f>
        <v>1</v>
      </c>
      <c r="U370" s="20" t="str">
        <f aca="false">IF(T370=0,"CLEAN",IF(T370=1,"MINOR",IF(T370&lt;=3,"MODERATE","CRITICAL")))</f>
        <v>MINOR</v>
      </c>
      <c r="V370" s="20" t="str">
        <f aca="false">IF(U370="CLEAN","None",IF(U370="MINOR","Seller Notify",IF(U370="MODERATE","Listing Suspended","Immediate Removal")))</f>
        <v>Seller Notify</v>
      </c>
    </row>
    <row r="371" customFormat="false" ht="18" hidden="false" customHeight="true" outlineLevel="0" collapsed="false">
      <c r="A371" s="19" t="s">
        <v>6448</v>
      </c>
      <c r="B371" s="19" t="s">
        <v>2721</v>
      </c>
      <c r="C371" s="19" t="s">
        <v>125</v>
      </c>
      <c r="D371" s="19" t="s">
        <v>126</v>
      </c>
      <c r="E371" s="19" t="s">
        <v>161</v>
      </c>
      <c r="F371" s="19" t="s">
        <v>51</v>
      </c>
      <c r="G371" s="19" t="s">
        <v>2723</v>
      </c>
      <c r="H371" s="19" t="s">
        <v>2724</v>
      </c>
      <c r="I371" s="19" t="s">
        <v>1561</v>
      </c>
      <c r="J371" s="19" t="n">
        <v>378.91</v>
      </c>
      <c r="K371" s="19" t="s">
        <v>304</v>
      </c>
      <c r="L371" s="21" t="s">
        <v>283</v>
      </c>
      <c r="M371" s="20" t="str">
        <f aca="false">IF(G371&lt;&gt;"","PASS","FAIL - Missing UPC")</f>
        <v>PASS</v>
      </c>
      <c r="N371" s="20" t="str">
        <f aca="false">IF(AND(G371&lt;&gt;"",H371&lt;&gt;""),IF("0"&amp;G371=H371,"PASS","FAIL - GTIN Mismatch"),"SKIP")</f>
        <v>PASS</v>
      </c>
      <c r="O371" s="20" t="str">
        <f aca="false">IF(I371="","FAIL - No Title",IF(LEN(I371)&lt;=126,"PASS","FAIL - Title &gt;"&amp;126&amp;" chars"))</f>
        <v>PASS</v>
      </c>
      <c r="P371" s="20" t="str">
        <f aca="false">IF(J371&gt;0,IF(J371&lt;5000,"PASS","FLAG - Review Price"),"FAIL - Zero Price")</f>
        <v>PASS</v>
      </c>
      <c r="Q371" s="20" t="str">
        <f aca="false">IF('Raw Catalog'!P369&lt;&gt;"","PASS","FAIL - No Image")</f>
        <v>PASS</v>
      </c>
      <c r="R371" s="20" t="str">
        <f aca="false">IF(F371&lt;&gt;"","PASS","FAIL - No Brand")</f>
        <v>PASS</v>
      </c>
      <c r="S371" s="20" t="str">
        <f aca="true">IF(K371="","FAIL - No Date",IF(TODAY()-DATEVALUE(K371)&lt;=180,"PASS","FLAG - Stale &gt;180d"))</f>
        <v>FLAG - Stale &gt;180d</v>
      </c>
      <c r="T371" s="20" t="n">
        <f aca="false">COUNTIF(M371:S371,"FAIL*")+COUNTIF(M371:S371,"FLAG*")</f>
        <v>1</v>
      </c>
      <c r="U371" s="20" t="str">
        <f aca="false">IF(T371=0,"CLEAN",IF(T371=1,"MINOR",IF(T371&lt;=3,"MODERATE","CRITICAL")))</f>
        <v>MINOR</v>
      </c>
      <c r="V371" s="20" t="str">
        <f aca="false">IF(U371="CLEAN","None",IF(U371="MINOR","Seller Notify",IF(U371="MODERATE","Listing Suspended","Immediate Removal")))</f>
        <v>Seller Notify</v>
      </c>
    </row>
    <row r="372" customFormat="false" ht="18" hidden="false" customHeight="true" outlineLevel="0" collapsed="false">
      <c r="A372" s="19" t="s">
        <v>6449</v>
      </c>
      <c r="B372" s="19" t="s">
        <v>2726</v>
      </c>
      <c r="C372" s="19" t="s">
        <v>77</v>
      </c>
      <c r="D372" s="19" t="s">
        <v>78</v>
      </c>
      <c r="E372" s="19" t="s">
        <v>91</v>
      </c>
      <c r="F372" s="19" t="s">
        <v>185</v>
      </c>
      <c r="G372" s="19" t="s">
        <v>2728</v>
      </c>
      <c r="H372" s="19" t="s">
        <v>2729</v>
      </c>
      <c r="I372" s="19" t="s">
        <v>2730</v>
      </c>
      <c r="J372" s="19" t="n">
        <v>1178.7</v>
      </c>
      <c r="K372" s="19" t="s">
        <v>1930</v>
      </c>
      <c r="L372" s="19"/>
      <c r="M372" s="20" t="str">
        <f aca="false">IF(G372&lt;&gt;"","PASS","FAIL - Missing UPC")</f>
        <v>PASS</v>
      </c>
      <c r="N372" s="20" t="str">
        <f aca="false">IF(AND(G372&lt;&gt;"",H372&lt;&gt;""),IF("0"&amp;G372=H372,"PASS","FAIL - GTIN Mismatch"),"SKIP")</f>
        <v>PASS</v>
      </c>
      <c r="O372" s="20" t="str">
        <f aca="false">IF(I372="","FAIL - No Title",IF(LEN(I372)&lt;=126,"PASS","FAIL - Title &gt;"&amp;126&amp;" chars"))</f>
        <v>PASS</v>
      </c>
      <c r="P372" s="20" t="str">
        <f aca="false">IF(J372&gt;0,IF(J372&lt;5000,"PASS","FLAG - Review Price"),"FAIL - Zero Price")</f>
        <v>PASS</v>
      </c>
      <c r="Q372" s="20" t="str">
        <f aca="false">IF('Raw Catalog'!P370&lt;&gt;"","PASS","FAIL - No Image")</f>
        <v>PASS</v>
      </c>
      <c r="R372" s="20" t="str">
        <f aca="false">IF(F372&lt;&gt;"","PASS","FAIL - No Brand")</f>
        <v>PASS</v>
      </c>
      <c r="S372" s="20" t="str">
        <f aca="true">IF(K372="","FAIL - No Date",IF(TODAY()-DATEVALUE(K372)&lt;=180,"PASS","FLAG - Stale &gt;180d"))</f>
        <v>FLAG - Stale &gt;180d</v>
      </c>
      <c r="T372" s="20" t="n">
        <f aca="false">COUNTIF(M372:S372,"FAIL*")+COUNTIF(M372:S372,"FLAG*")</f>
        <v>1</v>
      </c>
      <c r="U372" s="20" t="str">
        <f aca="false">IF(T372=0,"CLEAN",IF(T372=1,"MINOR",IF(T372&lt;=3,"MODERATE","CRITICAL")))</f>
        <v>MINOR</v>
      </c>
      <c r="V372" s="20" t="str">
        <f aca="false">IF(U372="CLEAN","None",IF(U372="MINOR","Seller Notify",IF(U372="MODERATE","Listing Suspended","Immediate Removal")))</f>
        <v>Seller Notify</v>
      </c>
    </row>
    <row r="373" customFormat="false" ht="18" hidden="false" customHeight="true" outlineLevel="0" collapsed="false">
      <c r="A373" s="19" t="s">
        <v>6450</v>
      </c>
      <c r="B373" s="19" t="s">
        <v>2733</v>
      </c>
      <c r="C373" s="19" t="s">
        <v>255</v>
      </c>
      <c r="D373" s="19" t="s">
        <v>256</v>
      </c>
      <c r="E373" s="19" t="s">
        <v>161</v>
      </c>
      <c r="F373" s="19" t="s">
        <v>51</v>
      </c>
      <c r="G373" s="19" t="s">
        <v>2735</v>
      </c>
      <c r="H373" s="19" t="s">
        <v>2736</v>
      </c>
      <c r="I373" s="19" t="s">
        <v>2737</v>
      </c>
      <c r="J373" s="19" t="n">
        <v>62.4</v>
      </c>
      <c r="K373" s="19" t="s">
        <v>2738</v>
      </c>
      <c r="L373" s="19"/>
      <c r="M373" s="20" t="str">
        <f aca="false">IF(G373&lt;&gt;"","PASS","FAIL - Missing UPC")</f>
        <v>PASS</v>
      </c>
      <c r="N373" s="20" t="str">
        <f aca="false">IF(AND(G373&lt;&gt;"",H373&lt;&gt;""),IF("0"&amp;G373=H373,"PASS","FAIL - GTIN Mismatch"),"SKIP")</f>
        <v>PASS</v>
      </c>
      <c r="O373" s="20" t="str">
        <f aca="false">IF(I373="","FAIL - No Title",IF(LEN(I373)&lt;=126,"PASS","FAIL - Title &gt;"&amp;126&amp;" chars"))</f>
        <v>PASS</v>
      </c>
      <c r="P373" s="20" t="str">
        <f aca="false">IF(J373&gt;0,IF(J373&lt;5000,"PASS","FLAG - Review Price"),"FAIL - Zero Price")</f>
        <v>PASS</v>
      </c>
      <c r="Q373" s="20" t="str">
        <f aca="false">IF('Raw Catalog'!P371&lt;&gt;"","PASS","FAIL - No Image")</f>
        <v>PASS</v>
      </c>
      <c r="R373" s="20" t="str">
        <f aca="false">IF(F373&lt;&gt;"","PASS","FAIL - No Brand")</f>
        <v>PASS</v>
      </c>
      <c r="S373" s="20" t="str">
        <f aca="true">IF(K373="","FAIL - No Date",IF(TODAY()-DATEVALUE(K373)&lt;=180,"PASS","FLAG - Stale &gt;180d"))</f>
        <v>FLAG - Stale &gt;180d</v>
      </c>
      <c r="T373" s="20" t="n">
        <f aca="false">COUNTIF(M373:S373,"FAIL*")+COUNTIF(M373:S373,"FLAG*")</f>
        <v>1</v>
      </c>
      <c r="U373" s="20" t="str">
        <f aca="false">IF(T373=0,"CLEAN",IF(T373=1,"MINOR",IF(T373&lt;=3,"MODERATE","CRITICAL")))</f>
        <v>MINOR</v>
      </c>
      <c r="V373" s="20" t="str">
        <f aca="false">IF(U373="CLEAN","None",IF(U373="MINOR","Seller Notify",IF(U373="MODERATE","Listing Suspended","Immediate Removal")))</f>
        <v>Seller Notify</v>
      </c>
    </row>
    <row r="374" customFormat="false" ht="18" hidden="false" customHeight="true" outlineLevel="0" collapsed="false">
      <c r="A374" s="19" t="s">
        <v>6451</v>
      </c>
      <c r="B374" s="19" t="s">
        <v>2739</v>
      </c>
      <c r="C374" s="19" t="s">
        <v>159</v>
      </c>
      <c r="D374" s="19" t="s">
        <v>160</v>
      </c>
      <c r="E374" s="19" t="s">
        <v>79</v>
      </c>
      <c r="F374" s="19" t="s">
        <v>956</v>
      </c>
      <c r="G374" s="19" t="s">
        <v>2741</v>
      </c>
      <c r="H374" s="19" t="s">
        <v>2742</v>
      </c>
      <c r="I374" s="19" t="s">
        <v>2743</v>
      </c>
      <c r="J374" s="19" t="n">
        <v>2370.74</v>
      </c>
      <c r="K374" s="19" t="s">
        <v>644</v>
      </c>
      <c r="L374" s="19"/>
      <c r="M374" s="20" t="str">
        <f aca="false">IF(G374&lt;&gt;"","PASS","FAIL - Missing UPC")</f>
        <v>PASS</v>
      </c>
      <c r="N374" s="20" t="str">
        <f aca="false">IF(AND(G374&lt;&gt;"",H374&lt;&gt;""),IF("0"&amp;G374=H374,"PASS","FAIL - GTIN Mismatch"),"SKIP")</f>
        <v>PASS</v>
      </c>
      <c r="O374" s="20" t="str">
        <f aca="false">IF(I374="","FAIL - No Title",IF(LEN(I374)&lt;=126,"PASS","FAIL - Title &gt;"&amp;126&amp;" chars"))</f>
        <v>PASS</v>
      </c>
      <c r="P374" s="20" t="str">
        <f aca="false">IF(J374&gt;0,IF(J374&lt;5000,"PASS","FLAG - Review Price"),"FAIL - Zero Price")</f>
        <v>PASS</v>
      </c>
      <c r="Q374" s="20" t="str">
        <f aca="false">IF('Raw Catalog'!P372&lt;&gt;"","PASS","FAIL - No Image")</f>
        <v>PASS</v>
      </c>
      <c r="R374" s="20" t="str">
        <f aca="false">IF(F374&lt;&gt;"","PASS","FAIL - No Brand")</f>
        <v>PASS</v>
      </c>
      <c r="S374" s="20" t="str">
        <f aca="true">IF(K374="","FAIL - No Date",IF(TODAY()-DATEVALUE(K374)&lt;=180,"PASS","FLAG - Stale &gt;180d"))</f>
        <v>FLAG - Stale &gt;180d</v>
      </c>
      <c r="T374" s="20" t="n">
        <f aca="false">COUNTIF(M374:S374,"FAIL*")+COUNTIF(M374:S374,"FLAG*")</f>
        <v>1</v>
      </c>
      <c r="U374" s="20" t="str">
        <f aca="false">IF(T374=0,"CLEAN",IF(T374=1,"MINOR",IF(T374&lt;=3,"MODERATE","CRITICAL")))</f>
        <v>MINOR</v>
      </c>
      <c r="V374" s="20" t="str">
        <f aca="false">IF(U374="CLEAN","None",IF(U374="MINOR","Seller Notify",IF(U374="MODERATE","Listing Suspended","Immediate Removal")))</f>
        <v>Seller Notify</v>
      </c>
    </row>
    <row r="375" customFormat="false" ht="18" hidden="false" customHeight="true" outlineLevel="0" collapsed="false">
      <c r="A375" s="19" t="s">
        <v>6452</v>
      </c>
      <c r="B375" s="19" t="s">
        <v>2744</v>
      </c>
      <c r="C375" s="19" t="s">
        <v>125</v>
      </c>
      <c r="D375" s="19" t="s">
        <v>126</v>
      </c>
      <c r="E375" s="19" t="s">
        <v>91</v>
      </c>
      <c r="F375" s="19" t="s">
        <v>780</v>
      </c>
      <c r="G375" s="19" t="s">
        <v>2746</v>
      </c>
      <c r="H375" s="19" t="s">
        <v>2747</v>
      </c>
      <c r="I375" s="19" t="s">
        <v>2748</v>
      </c>
      <c r="J375" s="19" t="n">
        <v>684.09</v>
      </c>
      <c r="K375" s="19" t="s">
        <v>1899</v>
      </c>
      <c r="L375" s="19"/>
      <c r="M375" s="20" t="str">
        <f aca="false">IF(G375&lt;&gt;"","PASS","FAIL - Missing UPC")</f>
        <v>PASS</v>
      </c>
      <c r="N375" s="20" t="str">
        <f aca="false">IF(AND(G375&lt;&gt;"",H375&lt;&gt;""),IF("0"&amp;G375=H375,"PASS","FAIL - GTIN Mismatch"),"SKIP")</f>
        <v>PASS</v>
      </c>
      <c r="O375" s="20" t="str">
        <f aca="false">IF(I375="","FAIL - No Title",IF(LEN(I375)&lt;=126,"PASS","FAIL - Title &gt;"&amp;126&amp;" chars"))</f>
        <v>PASS</v>
      </c>
      <c r="P375" s="20" t="str">
        <f aca="false">IF(J375&gt;0,IF(J375&lt;5000,"PASS","FLAG - Review Price"),"FAIL - Zero Price")</f>
        <v>PASS</v>
      </c>
      <c r="Q375" s="20" t="str">
        <f aca="false">IF('Raw Catalog'!P373&lt;&gt;"","PASS","FAIL - No Image")</f>
        <v>PASS</v>
      </c>
      <c r="R375" s="20" t="str">
        <f aca="false">IF(F375&lt;&gt;"","PASS","FAIL - No Brand")</f>
        <v>PASS</v>
      </c>
      <c r="S375" s="20" t="str">
        <f aca="true">IF(K375="","FAIL - No Date",IF(TODAY()-DATEVALUE(K375)&lt;=180,"PASS","FLAG - Stale &gt;180d"))</f>
        <v>FLAG - Stale &gt;180d</v>
      </c>
      <c r="T375" s="20" t="n">
        <f aca="false">COUNTIF(M375:S375,"FAIL*")+COUNTIF(M375:S375,"FLAG*")</f>
        <v>1</v>
      </c>
      <c r="U375" s="20" t="str">
        <f aca="false">IF(T375=0,"CLEAN",IF(T375=1,"MINOR",IF(T375&lt;=3,"MODERATE","CRITICAL")))</f>
        <v>MINOR</v>
      </c>
      <c r="V375" s="20" t="str">
        <f aca="false">IF(U375="CLEAN","None",IF(U375="MINOR","Seller Notify",IF(U375="MODERATE","Listing Suspended","Immediate Removal")))</f>
        <v>Seller Notify</v>
      </c>
    </row>
    <row r="376" customFormat="false" ht="18" hidden="false" customHeight="true" outlineLevel="0" collapsed="false">
      <c r="A376" s="19" t="s">
        <v>6453</v>
      </c>
      <c r="B376" s="19" t="s">
        <v>2749</v>
      </c>
      <c r="C376" s="19" t="s">
        <v>159</v>
      </c>
      <c r="D376" s="19" t="s">
        <v>160</v>
      </c>
      <c r="E376" s="19" t="s">
        <v>79</v>
      </c>
      <c r="F376" s="19" t="s">
        <v>51</v>
      </c>
      <c r="G376" s="19" t="s">
        <v>2751</v>
      </c>
      <c r="H376" s="19" t="s">
        <v>2752</v>
      </c>
      <c r="I376" s="19" t="s">
        <v>2753</v>
      </c>
      <c r="J376" s="19" t="n">
        <v>17376.91</v>
      </c>
      <c r="K376" s="19" t="s">
        <v>2757</v>
      </c>
      <c r="L376" s="21" t="s">
        <v>343</v>
      </c>
      <c r="M376" s="20" t="str">
        <f aca="false">IF(G376&lt;&gt;"","PASS","FAIL - Missing UPC")</f>
        <v>PASS</v>
      </c>
      <c r="N376" s="20" t="str">
        <f aca="false">IF(AND(G376&lt;&gt;"",H376&lt;&gt;""),IF("0"&amp;G376=H376,"PASS","FAIL - GTIN Mismatch"),"SKIP")</f>
        <v>PASS</v>
      </c>
      <c r="O376" s="20" t="str">
        <f aca="false">IF(I376="","FAIL - No Title",IF(LEN(I376)&lt;=126,"PASS","FAIL - Title &gt;"&amp;126&amp;" chars"))</f>
        <v>PASS</v>
      </c>
      <c r="P376" s="20" t="str">
        <f aca="false">IF(J376&gt;0,IF(J376&lt;5000,"PASS","FLAG - Review Price"),"FAIL - Zero Price")</f>
        <v>FLAG - Review Price</v>
      </c>
      <c r="Q376" s="20" t="str">
        <f aca="false">IF('Raw Catalog'!P374&lt;&gt;"","PASS","FAIL - No Image")</f>
        <v>PASS</v>
      </c>
      <c r="R376" s="20" t="str">
        <f aca="false">IF(F376&lt;&gt;"","PASS","FAIL - No Brand")</f>
        <v>PASS</v>
      </c>
      <c r="S376" s="20" t="str">
        <f aca="true">IF(K376="","FAIL - No Date",IF(TODAY()-DATEVALUE(K376)&lt;=180,"PASS","FLAG - Stale &gt;180d"))</f>
        <v>FLAG - Stale &gt;180d</v>
      </c>
      <c r="T376" s="20" t="n">
        <f aca="false">COUNTIF(M376:S376,"FAIL*")+COUNTIF(M376:S376,"FLAG*")</f>
        <v>2</v>
      </c>
      <c r="U376" s="20" t="str">
        <f aca="false">IF(T376=0,"CLEAN",IF(T376=1,"MINOR",IF(T376&lt;=3,"MODERATE","CRITICAL")))</f>
        <v>MODERATE</v>
      </c>
      <c r="V376" s="20" t="str">
        <f aca="false">IF(U376="CLEAN","None",IF(U376="MINOR","Seller Notify",IF(U376="MODERATE","Listing Suspended","Immediate Removal")))</f>
        <v>Listing Suspended</v>
      </c>
    </row>
    <row r="377" customFormat="false" ht="18" hidden="false" customHeight="true" outlineLevel="0" collapsed="false">
      <c r="A377" s="19" t="s">
        <v>6454</v>
      </c>
      <c r="B377" s="19" t="s">
        <v>2758</v>
      </c>
      <c r="C377" s="19" t="s">
        <v>77</v>
      </c>
      <c r="D377" s="19" t="s">
        <v>78</v>
      </c>
      <c r="E377" s="19" t="s">
        <v>79</v>
      </c>
      <c r="F377" s="19" t="s">
        <v>465</v>
      </c>
      <c r="G377" s="19" t="s">
        <v>2760</v>
      </c>
      <c r="H377" s="19" t="s">
        <v>2761</v>
      </c>
      <c r="I377" s="19" t="s">
        <v>2762</v>
      </c>
      <c r="J377" s="19" t="n">
        <v>1146.8</v>
      </c>
      <c r="K377" s="19" t="s">
        <v>304</v>
      </c>
      <c r="L377" s="19"/>
      <c r="M377" s="20" t="str">
        <f aca="false">IF(G377&lt;&gt;"","PASS","FAIL - Missing UPC")</f>
        <v>PASS</v>
      </c>
      <c r="N377" s="20" t="str">
        <f aca="false">IF(AND(G377&lt;&gt;"",H377&lt;&gt;""),IF("0"&amp;G377=H377,"PASS","FAIL - GTIN Mismatch"),"SKIP")</f>
        <v>PASS</v>
      </c>
      <c r="O377" s="20" t="str">
        <f aca="false">IF(I377="","FAIL - No Title",IF(LEN(I377)&lt;=126,"PASS","FAIL - Title &gt;"&amp;126&amp;" chars"))</f>
        <v>PASS</v>
      </c>
      <c r="P377" s="20" t="str">
        <f aca="false">IF(J377&gt;0,IF(J377&lt;5000,"PASS","FLAG - Review Price"),"FAIL - Zero Price")</f>
        <v>PASS</v>
      </c>
      <c r="Q377" s="20" t="str">
        <f aca="false">IF('Raw Catalog'!P375&lt;&gt;"","PASS","FAIL - No Image")</f>
        <v>PASS</v>
      </c>
      <c r="R377" s="20" t="str">
        <f aca="false">IF(F377&lt;&gt;"","PASS","FAIL - No Brand")</f>
        <v>PASS</v>
      </c>
      <c r="S377" s="20" t="str">
        <f aca="true">IF(K377="","FAIL - No Date",IF(TODAY()-DATEVALUE(K377)&lt;=180,"PASS","FLAG - Stale &gt;180d"))</f>
        <v>FLAG - Stale &gt;180d</v>
      </c>
      <c r="T377" s="20" t="n">
        <f aca="false">COUNTIF(M377:S377,"FAIL*")+COUNTIF(M377:S377,"FLAG*")</f>
        <v>1</v>
      </c>
      <c r="U377" s="20" t="str">
        <f aca="false">IF(T377=0,"CLEAN",IF(T377=1,"MINOR",IF(T377&lt;=3,"MODERATE","CRITICAL")))</f>
        <v>MINOR</v>
      </c>
      <c r="V377" s="20" t="str">
        <f aca="false">IF(U377="CLEAN","None",IF(U377="MINOR","Seller Notify",IF(U377="MODERATE","Listing Suspended","Immediate Removal")))</f>
        <v>Seller Notify</v>
      </c>
    </row>
    <row r="378" customFormat="false" ht="18" hidden="false" customHeight="true" outlineLevel="0" collapsed="false">
      <c r="A378" s="19" t="s">
        <v>6455</v>
      </c>
      <c r="B378" s="19" t="s">
        <v>2763</v>
      </c>
      <c r="C378" s="19" t="s">
        <v>63</v>
      </c>
      <c r="D378" s="19" t="s">
        <v>64</v>
      </c>
      <c r="E378" s="19" t="s">
        <v>161</v>
      </c>
      <c r="F378" s="19" t="s">
        <v>306</v>
      </c>
      <c r="G378" s="19" t="s">
        <v>2765</v>
      </c>
      <c r="H378" s="19" t="s">
        <v>2766</v>
      </c>
      <c r="I378" s="19" t="s">
        <v>2767</v>
      </c>
      <c r="J378" s="19" t="n">
        <v>456.36</v>
      </c>
      <c r="K378" s="19" t="s">
        <v>644</v>
      </c>
      <c r="L378" s="19"/>
      <c r="M378" s="20" t="str">
        <f aca="false">IF(G378&lt;&gt;"","PASS","FAIL - Missing UPC")</f>
        <v>PASS</v>
      </c>
      <c r="N378" s="20" t="str">
        <f aca="false">IF(AND(G378&lt;&gt;"",H378&lt;&gt;""),IF("0"&amp;G378=H378,"PASS","FAIL - GTIN Mismatch"),"SKIP")</f>
        <v>PASS</v>
      </c>
      <c r="O378" s="20" t="str">
        <f aca="false">IF(I378="","FAIL - No Title",IF(LEN(I378)&lt;=126,"PASS","FAIL - Title &gt;"&amp;126&amp;" chars"))</f>
        <v>PASS</v>
      </c>
      <c r="P378" s="20" t="str">
        <f aca="false">IF(J378&gt;0,IF(J378&lt;5000,"PASS","FLAG - Review Price"),"FAIL - Zero Price")</f>
        <v>PASS</v>
      </c>
      <c r="Q378" s="20" t="str">
        <f aca="false">IF('Raw Catalog'!P376&lt;&gt;"","PASS","FAIL - No Image")</f>
        <v>PASS</v>
      </c>
      <c r="R378" s="20" t="str">
        <f aca="false">IF(F378&lt;&gt;"","PASS","FAIL - No Brand")</f>
        <v>PASS</v>
      </c>
      <c r="S378" s="20" t="str">
        <f aca="true">IF(K378="","FAIL - No Date",IF(TODAY()-DATEVALUE(K378)&lt;=180,"PASS","FLAG - Stale &gt;180d"))</f>
        <v>FLAG - Stale &gt;180d</v>
      </c>
      <c r="T378" s="20" t="n">
        <f aca="false">COUNTIF(M378:S378,"FAIL*")+COUNTIF(M378:S378,"FLAG*")</f>
        <v>1</v>
      </c>
      <c r="U378" s="20" t="str">
        <f aca="false">IF(T378=0,"CLEAN",IF(T378=1,"MINOR",IF(T378&lt;=3,"MODERATE","CRITICAL")))</f>
        <v>MINOR</v>
      </c>
      <c r="V378" s="20" t="str">
        <f aca="false">IF(U378="CLEAN","None",IF(U378="MINOR","Seller Notify",IF(U378="MODERATE","Listing Suspended","Immediate Removal")))</f>
        <v>Seller Notify</v>
      </c>
    </row>
    <row r="379" customFormat="false" ht="18" hidden="false" customHeight="true" outlineLevel="0" collapsed="false">
      <c r="A379" s="19" t="s">
        <v>6456</v>
      </c>
      <c r="B379" s="19" t="s">
        <v>2768</v>
      </c>
      <c r="C379" s="19" t="s">
        <v>77</v>
      </c>
      <c r="D379" s="19" t="s">
        <v>78</v>
      </c>
      <c r="E379" s="19" t="s">
        <v>65</v>
      </c>
      <c r="F379" s="19" t="s">
        <v>438</v>
      </c>
      <c r="G379" s="19" t="s">
        <v>2770</v>
      </c>
      <c r="H379" s="19" t="s">
        <v>2771</v>
      </c>
      <c r="I379" s="19" t="s">
        <v>2772</v>
      </c>
      <c r="J379" s="19" t="n">
        <v>297.73</v>
      </c>
      <c r="K379" s="19" t="s">
        <v>452</v>
      </c>
      <c r="L379" s="21" t="s">
        <v>778</v>
      </c>
      <c r="M379" s="20" t="str">
        <f aca="false">IF(G379&lt;&gt;"","PASS","FAIL - Missing UPC")</f>
        <v>PASS</v>
      </c>
      <c r="N379" s="20" t="str">
        <f aca="false">IF(AND(G379&lt;&gt;"",H379&lt;&gt;""),IF("0"&amp;G379=H379,"PASS","FAIL - GTIN Mismatch"),"SKIP")</f>
        <v>PASS</v>
      </c>
      <c r="O379" s="20" t="str">
        <f aca="false">IF(I379="","FAIL - No Title",IF(LEN(I379)&lt;=126,"PASS","FAIL - Title &gt;"&amp;126&amp;" chars"))</f>
        <v>FAIL - Title &gt;126 chars</v>
      </c>
      <c r="P379" s="20" t="str">
        <f aca="false">IF(J379&gt;0,IF(J379&lt;5000,"PASS","FLAG - Review Price"),"FAIL - Zero Price")</f>
        <v>PASS</v>
      </c>
      <c r="Q379" s="20" t="str">
        <f aca="false">IF('Raw Catalog'!P377&lt;&gt;"","PASS","FAIL - No Image")</f>
        <v>PASS</v>
      </c>
      <c r="R379" s="20" t="str">
        <f aca="false">IF(F379&lt;&gt;"","PASS","FAIL - No Brand")</f>
        <v>PASS</v>
      </c>
      <c r="S379" s="20" t="str">
        <f aca="true">IF(K379="","FAIL - No Date",IF(TODAY()-DATEVALUE(K379)&lt;=180,"PASS","FLAG - Stale &gt;180d"))</f>
        <v>FLAG - Stale &gt;180d</v>
      </c>
      <c r="T379" s="20" t="n">
        <f aca="false">COUNTIF(M379:S379,"FAIL*")+COUNTIF(M379:S379,"FLAG*")</f>
        <v>2</v>
      </c>
      <c r="U379" s="20" t="str">
        <f aca="false">IF(T379=0,"CLEAN",IF(T379=1,"MINOR",IF(T379&lt;=3,"MODERATE","CRITICAL")))</f>
        <v>MODERATE</v>
      </c>
      <c r="V379" s="20" t="str">
        <f aca="false">IF(U379="CLEAN","None",IF(U379="MINOR","Seller Notify",IF(U379="MODERATE","Listing Suspended","Immediate Removal")))</f>
        <v>Listing Suspended</v>
      </c>
    </row>
    <row r="380" customFormat="false" ht="18" hidden="false" customHeight="true" outlineLevel="0" collapsed="false">
      <c r="A380" s="19" t="s">
        <v>6457</v>
      </c>
      <c r="B380" s="19" t="s">
        <v>2773</v>
      </c>
      <c r="C380" s="19" t="s">
        <v>113</v>
      </c>
      <c r="D380" s="19" t="s">
        <v>114</v>
      </c>
      <c r="E380" s="19" t="s">
        <v>79</v>
      </c>
      <c r="F380" s="19" t="s">
        <v>465</v>
      </c>
      <c r="G380" s="19" t="s">
        <v>2775</v>
      </c>
      <c r="H380" s="19" t="s">
        <v>2776</v>
      </c>
      <c r="I380" s="19" t="s">
        <v>2777</v>
      </c>
      <c r="J380" s="19" t="n">
        <v>2153.9</v>
      </c>
      <c r="K380" s="19" t="s">
        <v>2757</v>
      </c>
      <c r="L380" s="19"/>
      <c r="M380" s="20" t="str">
        <f aca="false">IF(G380&lt;&gt;"","PASS","FAIL - Missing UPC")</f>
        <v>PASS</v>
      </c>
      <c r="N380" s="20" t="str">
        <f aca="false">IF(AND(G380&lt;&gt;"",H380&lt;&gt;""),IF("0"&amp;G380=H380,"PASS","FAIL - GTIN Mismatch"),"SKIP")</f>
        <v>PASS</v>
      </c>
      <c r="O380" s="20" t="str">
        <f aca="false">IF(I380="","FAIL - No Title",IF(LEN(I380)&lt;=126,"PASS","FAIL - Title &gt;"&amp;126&amp;" chars"))</f>
        <v>PASS</v>
      </c>
      <c r="P380" s="20" t="str">
        <f aca="false">IF(J380&gt;0,IF(J380&lt;5000,"PASS","FLAG - Review Price"),"FAIL - Zero Price")</f>
        <v>PASS</v>
      </c>
      <c r="Q380" s="20" t="str">
        <f aca="false">IF('Raw Catalog'!P378&lt;&gt;"","PASS","FAIL - No Image")</f>
        <v>PASS</v>
      </c>
      <c r="R380" s="20" t="str">
        <f aca="false">IF(F380&lt;&gt;"","PASS","FAIL - No Brand")</f>
        <v>PASS</v>
      </c>
      <c r="S380" s="20" t="str">
        <f aca="true">IF(K380="","FAIL - No Date",IF(TODAY()-DATEVALUE(K380)&lt;=180,"PASS","FLAG - Stale &gt;180d"))</f>
        <v>FLAG - Stale &gt;180d</v>
      </c>
      <c r="T380" s="20" t="n">
        <f aca="false">COUNTIF(M380:S380,"FAIL*")+COUNTIF(M380:S380,"FLAG*")</f>
        <v>1</v>
      </c>
      <c r="U380" s="20" t="str">
        <f aca="false">IF(T380=0,"CLEAN",IF(T380=1,"MINOR",IF(T380&lt;=3,"MODERATE","CRITICAL")))</f>
        <v>MINOR</v>
      </c>
      <c r="V380" s="20" t="str">
        <f aca="false">IF(U380="CLEAN","None",IF(U380="MINOR","Seller Notify",IF(U380="MODERATE","Listing Suspended","Immediate Removal")))</f>
        <v>Seller Notify</v>
      </c>
    </row>
    <row r="381" customFormat="false" ht="18" hidden="false" customHeight="true" outlineLevel="0" collapsed="false">
      <c r="A381" s="19" t="s">
        <v>6458</v>
      </c>
      <c r="B381" s="19" t="s">
        <v>2779</v>
      </c>
      <c r="C381" s="19" t="s">
        <v>173</v>
      </c>
      <c r="D381" s="19" t="s">
        <v>174</v>
      </c>
      <c r="E381" s="19" t="s">
        <v>91</v>
      </c>
      <c r="F381" s="19" t="s">
        <v>419</v>
      </c>
      <c r="G381" s="19" t="s">
        <v>2781</v>
      </c>
      <c r="H381" s="19" t="s">
        <v>2782</v>
      </c>
      <c r="I381" s="19" t="s">
        <v>2783</v>
      </c>
      <c r="J381" s="19" t="n">
        <v>841.67</v>
      </c>
      <c r="K381" s="19" t="s">
        <v>1772</v>
      </c>
      <c r="L381" s="19"/>
      <c r="M381" s="20" t="str">
        <f aca="false">IF(G381&lt;&gt;"","PASS","FAIL - Missing UPC")</f>
        <v>PASS</v>
      </c>
      <c r="N381" s="20" t="str">
        <f aca="false">IF(AND(G381&lt;&gt;"",H381&lt;&gt;""),IF("0"&amp;G381=H381,"PASS","FAIL - GTIN Mismatch"),"SKIP")</f>
        <v>PASS</v>
      </c>
      <c r="O381" s="20" t="str">
        <f aca="false">IF(I381="","FAIL - No Title",IF(LEN(I381)&lt;=126,"PASS","FAIL - Title &gt;"&amp;126&amp;" chars"))</f>
        <v>PASS</v>
      </c>
      <c r="P381" s="20" t="str">
        <f aca="false">IF(J381&gt;0,IF(J381&lt;5000,"PASS","FLAG - Review Price"),"FAIL - Zero Price")</f>
        <v>PASS</v>
      </c>
      <c r="Q381" s="20" t="str">
        <f aca="false">IF('Raw Catalog'!P379&lt;&gt;"","PASS","FAIL - No Image")</f>
        <v>PASS</v>
      </c>
      <c r="R381" s="20" t="str">
        <f aca="false">IF(F381&lt;&gt;"","PASS","FAIL - No Brand")</f>
        <v>PASS</v>
      </c>
      <c r="S381" s="20" t="str">
        <f aca="true">IF(K381="","FAIL - No Date",IF(TODAY()-DATEVALUE(K381)&lt;=180,"PASS","FLAG - Stale &gt;180d"))</f>
        <v>FLAG - Stale &gt;180d</v>
      </c>
      <c r="T381" s="20" t="n">
        <f aca="false">COUNTIF(M381:S381,"FAIL*")+COUNTIF(M381:S381,"FLAG*")</f>
        <v>1</v>
      </c>
      <c r="U381" s="20" t="str">
        <f aca="false">IF(T381=0,"CLEAN",IF(T381=1,"MINOR",IF(T381&lt;=3,"MODERATE","CRITICAL")))</f>
        <v>MINOR</v>
      </c>
      <c r="V381" s="20" t="str">
        <f aca="false">IF(U381="CLEAN","None",IF(U381="MINOR","Seller Notify",IF(U381="MODERATE","Listing Suspended","Immediate Removal")))</f>
        <v>Seller Notify</v>
      </c>
    </row>
    <row r="382" customFormat="false" ht="18" hidden="false" customHeight="true" outlineLevel="0" collapsed="false">
      <c r="A382" s="19" t="s">
        <v>6459</v>
      </c>
      <c r="B382" s="19" t="s">
        <v>2787</v>
      </c>
      <c r="C382" s="19" t="s">
        <v>48</v>
      </c>
      <c r="D382" s="19" t="s">
        <v>49</v>
      </c>
      <c r="E382" s="19" t="s">
        <v>161</v>
      </c>
      <c r="F382" s="19" t="s">
        <v>295</v>
      </c>
      <c r="G382" s="19" t="s">
        <v>2789</v>
      </c>
      <c r="H382" s="19" t="s">
        <v>2790</v>
      </c>
      <c r="I382" s="19" t="s">
        <v>2791</v>
      </c>
      <c r="J382" s="19" t="n">
        <v>3365.07</v>
      </c>
      <c r="K382" s="19" t="s">
        <v>1957</v>
      </c>
      <c r="L382" s="21" t="s">
        <v>343</v>
      </c>
      <c r="M382" s="20" t="str">
        <f aca="false">IF(G382&lt;&gt;"","PASS","FAIL - Missing UPC")</f>
        <v>PASS</v>
      </c>
      <c r="N382" s="20" t="str">
        <f aca="false">IF(AND(G382&lt;&gt;"",H382&lt;&gt;""),IF("0"&amp;G382=H382,"PASS","FAIL - GTIN Mismatch"),"SKIP")</f>
        <v>PASS</v>
      </c>
      <c r="O382" s="20" t="str">
        <f aca="false">IF(I382="","FAIL - No Title",IF(LEN(I382)&lt;=126,"PASS","FAIL - Title &gt;"&amp;126&amp;" chars"))</f>
        <v>PASS</v>
      </c>
      <c r="P382" s="20" t="str">
        <f aca="false">IF(J382&gt;0,IF(J382&lt;5000,"PASS","FLAG - Review Price"),"FAIL - Zero Price")</f>
        <v>PASS</v>
      </c>
      <c r="Q382" s="20" t="str">
        <f aca="false">IF('Raw Catalog'!P380&lt;&gt;"","PASS","FAIL - No Image")</f>
        <v>PASS</v>
      </c>
      <c r="R382" s="20" t="str">
        <f aca="false">IF(F382&lt;&gt;"","PASS","FAIL - No Brand")</f>
        <v>PASS</v>
      </c>
      <c r="S382" s="20" t="str">
        <f aca="true">IF(K382="","FAIL - No Date",IF(TODAY()-DATEVALUE(K382)&lt;=180,"PASS","FLAG - Stale &gt;180d"))</f>
        <v>FLAG - Stale &gt;180d</v>
      </c>
      <c r="T382" s="20" t="n">
        <f aca="false">COUNTIF(M382:S382,"FAIL*")+COUNTIF(M382:S382,"FLAG*")</f>
        <v>1</v>
      </c>
      <c r="U382" s="20" t="str">
        <f aca="false">IF(T382=0,"CLEAN",IF(T382=1,"MINOR",IF(T382&lt;=3,"MODERATE","CRITICAL")))</f>
        <v>MINOR</v>
      </c>
      <c r="V382" s="20" t="str">
        <f aca="false">IF(U382="CLEAN","None",IF(U382="MINOR","Seller Notify",IF(U382="MODERATE","Listing Suspended","Immediate Removal")))</f>
        <v>Seller Notify</v>
      </c>
    </row>
    <row r="383" customFormat="false" ht="18" hidden="false" customHeight="true" outlineLevel="0" collapsed="false">
      <c r="A383" s="19" t="s">
        <v>6460</v>
      </c>
      <c r="B383" s="19" t="s">
        <v>2792</v>
      </c>
      <c r="C383" s="19" t="s">
        <v>48</v>
      </c>
      <c r="D383" s="19" t="s">
        <v>49</v>
      </c>
      <c r="E383" s="19" t="s">
        <v>65</v>
      </c>
      <c r="F383" s="19" t="s">
        <v>115</v>
      </c>
      <c r="G383" s="19" t="s">
        <v>2794</v>
      </c>
      <c r="H383" s="19" t="s">
        <v>2795</v>
      </c>
      <c r="I383" s="19" t="s">
        <v>2796</v>
      </c>
      <c r="J383" s="19" t="n">
        <v>130.58</v>
      </c>
      <c r="K383" s="19" t="s">
        <v>541</v>
      </c>
      <c r="L383" s="19"/>
      <c r="M383" s="20" t="str">
        <f aca="false">IF(G383&lt;&gt;"","PASS","FAIL - Missing UPC")</f>
        <v>PASS</v>
      </c>
      <c r="N383" s="20" t="str">
        <f aca="false">IF(AND(G383&lt;&gt;"",H383&lt;&gt;""),IF("0"&amp;G383=H383,"PASS","FAIL - GTIN Mismatch"),"SKIP")</f>
        <v>PASS</v>
      </c>
      <c r="O383" s="20" t="str">
        <f aca="false">IF(I383="","FAIL - No Title",IF(LEN(I383)&lt;=126,"PASS","FAIL - Title &gt;"&amp;126&amp;" chars"))</f>
        <v>PASS</v>
      </c>
      <c r="P383" s="20" t="str">
        <f aca="false">IF(J383&gt;0,IF(J383&lt;5000,"PASS","FLAG - Review Price"),"FAIL - Zero Price")</f>
        <v>PASS</v>
      </c>
      <c r="Q383" s="20" t="str">
        <f aca="false">IF('Raw Catalog'!P381&lt;&gt;"","PASS","FAIL - No Image")</f>
        <v>PASS</v>
      </c>
      <c r="R383" s="20" t="str">
        <f aca="false">IF(F383&lt;&gt;"","PASS","FAIL - No Brand")</f>
        <v>PASS</v>
      </c>
      <c r="S383" s="20" t="str">
        <f aca="true">IF(K383="","FAIL - No Date",IF(TODAY()-DATEVALUE(K383)&lt;=180,"PASS","FLAG - Stale &gt;180d"))</f>
        <v>FLAG - Stale &gt;180d</v>
      </c>
      <c r="T383" s="20" t="n">
        <f aca="false">COUNTIF(M383:S383,"FAIL*")+COUNTIF(M383:S383,"FLAG*")</f>
        <v>1</v>
      </c>
      <c r="U383" s="20" t="str">
        <f aca="false">IF(T383=0,"CLEAN",IF(T383=1,"MINOR",IF(T383&lt;=3,"MODERATE","CRITICAL")))</f>
        <v>MINOR</v>
      </c>
      <c r="V383" s="20" t="str">
        <f aca="false">IF(U383="CLEAN","None",IF(U383="MINOR","Seller Notify",IF(U383="MODERATE","Listing Suspended","Immediate Removal")))</f>
        <v>Seller Notify</v>
      </c>
    </row>
    <row r="384" customFormat="false" ht="18" hidden="false" customHeight="true" outlineLevel="0" collapsed="false">
      <c r="A384" s="19" t="s">
        <v>6461</v>
      </c>
      <c r="B384" s="19" t="s">
        <v>2799</v>
      </c>
      <c r="C384" s="19" t="s">
        <v>48</v>
      </c>
      <c r="D384" s="19" t="s">
        <v>49</v>
      </c>
      <c r="E384" s="19" t="s">
        <v>79</v>
      </c>
      <c r="F384" s="19" t="s">
        <v>196</v>
      </c>
      <c r="G384" s="19" t="s">
        <v>2801</v>
      </c>
      <c r="H384" s="19" t="s">
        <v>2802</v>
      </c>
      <c r="I384" s="19" t="s">
        <v>2803</v>
      </c>
      <c r="J384" s="19" t="n">
        <v>586.6</v>
      </c>
      <c r="K384" s="19" t="s">
        <v>1604</v>
      </c>
      <c r="L384" s="19"/>
      <c r="M384" s="20" t="str">
        <f aca="false">IF(G384&lt;&gt;"","PASS","FAIL - Missing UPC")</f>
        <v>PASS</v>
      </c>
      <c r="N384" s="20" t="str">
        <f aca="false">IF(AND(G384&lt;&gt;"",H384&lt;&gt;""),IF("0"&amp;G384=H384,"PASS","FAIL - GTIN Mismatch"),"SKIP")</f>
        <v>PASS</v>
      </c>
      <c r="O384" s="20" t="str">
        <f aca="false">IF(I384="","FAIL - No Title",IF(LEN(I384)&lt;=126,"PASS","FAIL - Title &gt;"&amp;126&amp;" chars"))</f>
        <v>PASS</v>
      </c>
      <c r="P384" s="20" t="str">
        <f aca="false">IF(J384&gt;0,IF(J384&lt;5000,"PASS","FLAG - Review Price"),"FAIL - Zero Price")</f>
        <v>PASS</v>
      </c>
      <c r="Q384" s="20" t="str">
        <f aca="false">IF('Raw Catalog'!P382&lt;&gt;"","PASS","FAIL - No Image")</f>
        <v>PASS</v>
      </c>
      <c r="R384" s="20" t="str">
        <f aca="false">IF(F384&lt;&gt;"","PASS","FAIL - No Brand")</f>
        <v>PASS</v>
      </c>
      <c r="S384" s="20" t="str">
        <f aca="true">IF(K384="","FAIL - No Date",IF(TODAY()-DATEVALUE(K384)&lt;=180,"PASS","FLAG - Stale &gt;180d"))</f>
        <v>FLAG - Stale &gt;180d</v>
      </c>
      <c r="T384" s="20" t="n">
        <f aca="false">COUNTIF(M384:S384,"FAIL*")+COUNTIF(M384:S384,"FLAG*")</f>
        <v>1</v>
      </c>
      <c r="U384" s="20" t="str">
        <f aca="false">IF(T384=0,"CLEAN",IF(T384=1,"MINOR",IF(T384&lt;=3,"MODERATE","CRITICAL")))</f>
        <v>MINOR</v>
      </c>
      <c r="V384" s="20" t="str">
        <f aca="false">IF(U384="CLEAN","None",IF(U384="MINOR","Seller Notify",IF(U384="MODERATE","Listing Suspended","Immediate Removal")))</f>
        <v>Seller Notify</v>
      </c>
    </row>
    <row r="385" customFormat="false" ht="18" hidden="false" customHeight="true" outlineLevel="0" collapsed="false">
      <c r="A385" s="19" t="s">
        <v>6462</v>
      </c>
      <c r="B385" s="19" t="s">
        <v>2805</v>
      </c>
      <c r="C385" s="19" t="s">
        <v>255</v>
      </c>
      <c r="D385" s="19" t="s">
        <v>256</v>
      </c>
      <c r="E385" s="19" t="s">
        <v>161</v>
      </c>
      <c r="F385" s="19" t="s">
        <v>306</v>
      </c>
      <c r="G385" s="19" t="s">
        <v>2807</v>
      </c>
      <c r="H385" s="19" t="s">
        <v>2808</v>
      </c>
      <c r="I385" s="19" t="s">
        <v>2809</v>
      </c>
      <c r="J385" s="19" t="n">
        <v>290.34</v>
      </c>
      <c r="K385" s="19" t="s">
        <v>978</v>
      </c>
      <c r="L385" s="19"/>
      <c r="M385" s="20" t="str">
        <f aca="false">IF(G385&lt;&gt;"","PASS","FAIL - Missing UPC")</f>
        <v>PASS</v>
      </c>
      <c r="N385" s="20" t="str">
        <f aca="false">IF(AND(G385&lt;&gt;"",H385&lt;&gt;""),IF("0"&amp;G385=H385,"PASS","FAIL - GTIN Mismatch"),"SKIP")</f>
        <v>PASS</v>
      </c>
      <c r="O385" s="20" t="str">
        <f aca="false">IF(I385="","FAIL - No Title",IF(LEN(I385)&lt;=126,"PASS","FAIL - Title &gt;"&amp;126&amp;" chars"))</f>
        <v>PASS</v>
      </c>
      <c r="P385" s="20" t="str">
        <f aca="false">IF(J385&gt;0,IF(J385&lt;5000,"PASS","FLAG - Review Price"),"FAIL - Zero Price")</f>
        <v>PASS</v>
      </c>
      <c r="Q385" s="20" t="str">
        <f aca="false">IF('Raw Catalog'!P383&lt;&gt;"","PASS","FAIL - No Image")</f>
        <v>PASS</v>
      </c>
      <c r="R385" s="20" t="str">
        <f aca="false">IF(F385&lt;&gt;"","PASS","FAIL - No Brand")</f>
        <v>PASS</v>
      </c>
      <c r="S385" s="20" t="str">
        <f aca="true">IF(K385="","FAIL - No Date",IF(TODAY()-DATEVALUE(K385)&lt;=180,"PASS","FLAG - Stale &gt;180d"))</f>
        <v>FLAG - Stale &gt;180d</v>
      </c>
      <c r="T385" s="20" t="n">
        <f aca="false">COUNTIF(M385:S385,"FAIL*")+COUNTIF(M385:S385,"FLAG*")</f>
        <v>1</v>
      </c>
      <c r="U385" s="20" t="str">
        <f aca="false">IF(T385=0,"CLEAN",IF(T385=1,"MINOR",IF(T385&lt;=3,"MODERATE","CRITICAL")))</f>
        <v>MINOR</v>
      </c>
      <c r="V385" s="20" t="str">
        <f aca="false">IF(U385="CLEAN","None",IF(U385="MINOR","Seller Notify",IF(U385="MODERATE","Listing Suspended","Immediate Removal")))</f>
        <v>Seller Notify</v>
      </c>
    </row>
    <row r="386" customFormat="false" ht="18" hidden="false" customHeight="true" outlineLevel="0" collapsed="false">
      <c r="A386" s="19" t="s">
        <v>6463</v>
      </c>
      <c r="B386" s="19" t="s">
        <v>2811</v>
      </c>
      <c r="C386" s="19" t="s">
        <v>77</v>
      </c>
      <c r="D386" s="19" t="s">
        <v>78</v>
      </c>
      <c r="E386" s="19" t="s">
        <v>161</v>
      </c>
      <c r="F386" s="19" t="s">
        <v>51</v>
      </c>
      <c r="G386" s="19" t="s">
        <v>2813</v>
      </c>
      <c r="H386" s="19" t="s">
        <v>2814</v>
      </c>
      <c r="I386" s="19" t="s">
        <v>2815</v>
      </c>
      <c r="J386" s="19" t="n">
        <v>439.59</v>
      </c>
      <c r="K386" s="19" t="s">
        <v>157</v>
      </c>
      <c r="L386" s="19"/>
      <c r="M386" s="20" t="str">
        <f aca="false">IF(G386&lt;&gt;"","PASS","FAIL - Missing UPC")</f>
        <v>PASS</v>
      </c>
      <c r="N386" s="20" t="str">
        <f aca="false">IF(AND(G386&lt;&gt;"",H386&lt;&gt;""),IF("0"&amp;G386=H386,"PASS","FAIL - GTIN Mismatch"),"SKIP")</f>
        <v>PASS</v>
      </c>
      <c r="O386" s="20" t="str">
        <f aca="false">IF(I386="","FAIL - No Title",IF(LEN(I386)&lt;=126,"PASS","FAIL - Title &gt;"&amp;126&amp;" chars"))</f>
        <v>PASS</v>
      </c>
      <c r="P386" s="20" t="str">
        <f aca="false">IF(J386&gt;0,IF(J386&lt;5000,"PASS","FLAG - Review Price"),"FAIL - Zero Price")</f>
        <v>PASS</v>
      </c>
      <c r="Q386" s="20" t="str">
        <f aca="false">IF('Raw Catalog'!P384&lt;&gt;"","PASS","FAIL - No Image")</f>
        <v>PASS</v>
      </c>
      <c r="R386" s="20" t="str">
        <f aca="false">IF(F386&lt;&gt;"","PASS","FAIL - No Brand")</f>
        <v>PASS</v>
      </c>
      <c r="S386" s="20" t="str">
        <f aca="true">IF(K386="","FAIL - No Date",IF(TODAY()-DATEVALUE(K386)&lt;=180,"PASS","FLAG - Stale &gt;180d"))</f>
        <v>FLAG - Stale &gt;180d</v>
      </c>
      <c r="T386" s="20" t="n">
        <f aca="false">COUNTIF(M386:S386,"FAIL*")+COUNTIF(M386:S386,"FLAG*")</f>
        <v>1</v>
      </c>
      <c r="U386" s="20" t="str">
        <f aca="false">IF(T386=0,"CLEAN",IF(T386=1,"MINOR",IF(T386&lt;=3,"MODERATE","CRITICAL")))</f>
        <v>MINOR</v>
      </c>
      <c r="V386" s="20" t="str">
        <f aca="false">IF(U386="CLEAN","None",IF(U386="MINOR","Seller Notify",IF(U386="MODERATE","Listing Suspended","Immediate Removal")))</f>
        <v>Seller Notify</v>
      </c>
    </row>
    <row r="387" customFormat="false" ht="18" hidden="false" customHeight="true" outlineLevel="0" collapsed="false">
      <c r="A387" s="19" t="s">
        <v>6464</v>
      </c>
      <c r="B387" s="19" t="s">
        <v>2816</v>
      </c>
      <c r="C387" s="19" t="s">
        <v>255</v>
      </c>
      <c r="D387" s="19" t="s">
        <v>256</v>
      </c>
      <c r="E387" s="19" t="s">
        <v>65</v>
      </c>
      <c r="F387" s="19" t="s">
        <v>390</v>
      </c>
      <c r="G387" s="19" t="s">
        <v>2818</v>
      </c>
      <c r="H387" s="19" t="s">
        <v>2819</v>
      </c>
      <c r="I387" s="19" t="s">
        <v>2820</v>
      </c>
      <c r="J387" s="19" t="n">
        <v>324.27</v>
      </c>
      <c r="K387" s="19" t="s">
        <v>1652</v>
      </c>
      <c r="L387" s="19"/>
      <c r="M387" s="20" t="str">
        <f aca="false">IF(G387&lt;&gt;"","PASS","FAIL - Missing UPC")</f>
        <v>PASS</v>
      </c>
      <c r="N387" s="20" t="str">
        <f aca="false">IF(AND(G387&lt;&gt;"",H387&lt;&gt;""),IF("0"&amp;G387=H387,"PASS","FAIL - GTIN Mismatch"),"SKIP")</f>
        <v>PASS</v>
      </c>
      <c r="O387" s="20" t="str">
        <f aca="false">IF(I387="","FAIL - No Title",IF(LEN(I387)&lt;=126,"PASS","FAIL - Title &gt;"&amp;126&amp;" chars"))</f>
        <v>PASS</v>
      </c>
      <c r="P387" s="20" t="str">
        <f aca="false">IF(J387&gt;0,IF(J387&lt;5000,"PASS","FLAG - Review Price"),"FAIL - Zero Price")</f>
        <v>PASS</v>
      </c>
      <c r="Q387" s="20" t="str">
        <f aca="false">IF('Raw Catalog'!P385&lt;&gt;"","PASS","FAIL - No Image")</f>
        <v>PASS</v>
      </c>
      <c r="R387" s="20" t="str">
        <f aca="false">IF(F387&lt;&gt;"","PASS","FAIL - No Brand")</f>
        <v>PASS</v>
      </c>
      <c r="S387" s="20" t="str">
        <f aca="true">IF(K387="","FAIL - No Date",IF(TODAY()-DATEVALUE(K387)&lt;=180,"PASS","FLAG - Stale &gt;180d"))</f>
        <v>FLAG - Stale &gt;180d</v>
      </c>
      <c r="T387" s="20" t="n">
        <f aca="false">COUNTIF(M387:S387,"FAIL*")+COUNTIF(M387:S387,"FLAG*")</f>
        <v>1</v>
      </c>
      <c r="U387" s="20" t="str">
        <f aca="false">IF(T387=0,"CLEAN",IF(T387=1,"MINOR",IF(T387&lt;=3,"MODERATE","CRITICAL")))</f>
        <v>MINOR</v>
      </c>
      <c r="V387" s="20" t="str">
        <f aca="false">IF(U387="CLEAN","None",IF(U387="MINOR","Seller Notify",IF(U387="MODERATE","Listing Suspended","Immediate Removal")))</f>
        <v>Seller Notify</v>
      </c>
    </row>
    <row r="388" customFormat="false" ht="18" hidden="false" customHeight="true" outlineLevel="0" collapsed="false">
      <c r="A388" s="19" t="s">
        <v>6465</v>
      </c>
      <c r="B388" s="19" t="s">
        <v>2823</v>
      </c>
      <c r="C388" s="19" t="s">
        <v>48</v>
      </c>
      <c r="D388" s="19" t="s">
        <v>49</v>
      </c>
      <c r="E388" s="19" t="s">
        <v>50</v>
      </c>
      <c r="F388" s="19" t="s">
        <v>956</v>
      </c>
      <c r="G388" s="19" t="s">
        <v>2825</v>
      </c>
      <c r="H388" s="19" t="s">
        <v>2826</v>
      </c>
      <c r="I388" s="19" t="s">
        <v>2827</v>
      </c>
      <c r="J388" s="19" t="n">
        <v>440.65</v>
      </c>
      <c r="K388" s="19" t="s">
        <v>445</v>
      </c>
      <c r="L388" s="21" t="s">
        <v>453</v>
      </c>
      <c r="M388" s="20" t="str">
        <f aca="false">IF(G388&lt;&gt;"","PASS","FAIL - Missing UPC")</f>
        <v>PASS</v>
      </c>
      <c r="N388" s="20" t="str">
        <f aca="false">IF(AND(G388&lt;&gt;"",H388&lt;&gt;""),IF("0"&amp;G388=H388,"PASS","FAIL - GTIN Mismatch"),"SKIP")</f>
        <v>PASS</v>
      </c>
      <c r="O388" s="20" t="str">
        <f aca="false">IF(I388="","FAIL - No Title",IF(LEN(I388)&lt;=126,"PASS","FAIL - Title &gt;"&amp;126&amp;" chars"))</f>
        <v>PASS</v>
      </c>
      <c r="P388" s="20" t="str">
        <f aca="false">IF(J388&gt;0,IF(J388&lt;5000,"PASS","FLAG - Review Price"),"FAIL - Zero Price")</f>
        <v>PASS</v>
      </c>
      <c r="Q388" s="20" t="str">
        <f aca="false">IF('Raw Catalog'!P386&lt;&gt;"","PASS","FAIL - No Image")</f>
        <v>PASS</v>
      </c>
      <c r="R388" s="20" t="str">
        <f aca="false">IF(F388&lt;&gt;"","PASS","FAIL - No Brand")</f>
        <v>PASS</v>
      </c>
      <c r="S388" s="20" t="str">
        <f aca="true">IF(K388="","FAIL - No Date",IF(TODAY()-DATEVALUE(K388)&lt;=180,"PASS","FLAG - Stale &gt;180d"))</f>
        <v>FLAG - Stale &gt;180d</v>
      </c>
      <c r="T388" s="20" t="n">
        <f aca="false">COUNTIF(M388:S388,"FAIL*")+COUNTIF(M388:S388,"FLAG*")</f>
        <v>1</v>
      </c>
      <c r="U388" s="20" t="str">
        <f aca="false">IF(T388=0,"CLEAN",IF(T388=1,"MINOR",IF(T388&lt;=3,"MODERATE","CRITICAL")))</f>
        <v>MINOR</v>
      </c>
      <c r="V388" s="20" t="str">
        <f aca="false">IF(U388="CLEAN","None",IF(U388="MINOR","Seller Notify",IF(U388="MODERATE","Listing Suspended","Immediate Removal")))</f>
        <v>Seller Notify</v>
      </c>
    </row>
    <row r="389" customFormat="false" ht="18" hidden="false" customHeight="true" outlineLevel="0" collapsed="false">
      <c r="A389" s="19" t="s">
        <v>6466</v>
      </c>
      <c r="B389" s="19" t="s">
        <v>2828</v>
      </c>
      <c r="C389" s="19" t="s">
        <v>63</v>
      </c>
      <c r="D389" s="19" t="s">
        <v>64</v>
      </c>
      <c r="E389" s="19" t="s">
        <v>79</v>
      </c>
      <c r="F389" s="19" t="s">
        <v>956</v>
      </c>
      <c r="G389" s="19" t="s">
        <v>2830</v>
      </c>
      <c r="H389" s="19" t="s">
        <v>2831</v>
      </c>
      <c r="I389" s="19" t="s">
        <v>2832</v>
      </c>
      <c r="J389" s="19" t="n">
        <v>1603.14</v>
      </c>
      <c r="K389" s="19" t="s">
        <v>1786</v>
      </c>
      <c r="L389" s="19"/>
      <c r="M389" s="20" t="str">
        <f aca="false">IF(G389&lt;&gt;"","PASS","FAIL - Missing UPC")</f>
        <v>PASS</v>
      </c>
      <c r="N389" s="20" t="str">
        <f aca="false">IF(AND(G389&lt;&gt;"",H389&lt;&gt;""),IF("0"&amp;G389=H389,"PASS","FAIL - GTIN Mismatch"),"SKIP")</f>
        <v>PASS</v>
      </c>
      <c r="O389" s="20" t="str">
        <f aca="false">IF(I389="","FAIL - No Title",IF(LEN(I389)&lt;=126,"PASS","FAIL - Title &gt;"&amp;126&amp;" chars"))</f>
        <v>PASS</v>
      </c>
      <c r="P389" s="20" t="str">
        <f aca="false">IF(J389&gt;0,IF(J389&lt;5000,"PASS","FLAG - Review Price"),"FAIL - Zero Price")</f>
        <v>PASS</v>
      </c>
      <c r="Q389" s="20" t="str">
        <f aca="false">IF('Raw Catalog'!P387&lt;&gt;"","PASS","FAIL - No Image")</f>
        <v>PASS</v>
      </c>
      <c r="R389" s="20" t="str">
        <f aca="false">IF(F389&lt;&gt;"","PASS","FAIL - No Brand")</f>
        <v>PASS</v>
      </c>
      <c r="S389" s="20" t="str">
        <f aca="true">IF(K389="","FAIL - No Date",IF(TODAY()-DATEVALUE(K389)&lt;=180,"PASS","FLAG - Stale &gt;180d"))</f>
        <v>FLAG - Stale &gt;180d</v>
      </c>
      <c r="T389" s="20" t="n">
        <f aca="false">COUNTIF(M389:S389,"FAIL*")+COUNTIF(M389:S389,"FLAG*")</f>
        <v>1</v>
      </c>
      <c r="U389" s="20" t="str">
        <f aca="false">IF(T389=0,"CLEAN",IF(T389=1,"MINOR",IF(T389&lt;=3,"MODERATE","CRITICAL")))</f>
        <v>MINOR</v>
      </c>
      <c r="V389" s="20" t="str">
        <f aca="false">IF(U389="CLEAN","None",IF(U389="MINOR","Seller Notify",IF(U389="MODERATE","Listing Suspended","Immediate Removal")))</f>
        <v>Seller Notify</v>
      </c>
    </row>
    <row r="390" customFormat="false" ht="18" hidden="false" customHeight="true" outlineLevel="0" collapsed="false">
      <c r="A390" s="19" t="s">
        <v>6467</v>
      </c>
      <c r="B390" s="19" t="s">
        <v>2833</v>
      </c>
      <c r="C390" s="19" t="s">
        <v>159</v>
      </c>
      <c r="D390" s="19" t="s">
        <v>160</v>
      </c>
      <c r="E390" s="19" t="s">
        <v>161</v>
      </c>
      <c r="F390" s="19" t="s">
        <v>185</v>
      </c>
      <c r="G390" s="19" t="s">
        <v>2835</v>
      </c>
      <c r="H390" s="19" t="s">
        <v>2836</v>
      </c>
      <c r="I390" s="19" t="s">
        <v>2837</v>
      </c>
      <c r="J390" s="19" t="n">
        <v>181.45</v>
      </c>
      <c r="K390" s="19" t="s">
        <v>2838</v>
      </c>
      <c r="L390" s="19"/>
      <c r="M390" s="20" t="str">
        <f aca="false">IF(G390&lt;&gt;"","PASS","FAIL - Missing UPC")</f>
        <v>PASS</v>
      </c>
      <c r="N390" s="20" t="str">
        <f aca="false">IF(AND(G390&lt;&gt;"",H390&lt;&gt;""),IF("0"&amp;G390=H390,"PASS","FAIL - GTIN Mismatch"),"SKIP")</f>
        <v>PASS</v>
      </c>
      <c r="O390" s="20" t="str">
        <f aca="false">IF(I390="","FAIL - No Title",IF(LEN(I390)&lt;=126,"PASS","FAIL - Title &gt;"&amp;126&amp;" chars"))</f>
        <v>PASS</v>
      </c>
      <c r="P390" s="20" t="str">
        <f aca="false">IF(J390&gt;0,IF(J390&lt;5000,"PASS","FLAG - Review Price"),"FAIL - Zero Price")</f>
        <v>PASS</v>
      </c>
      <c r="Q390" s="20" t="str">
        <f aca="false">IF('Raw Catalog'!P388&lt;&gt;"","PASS","FAIL - No Image")</f>
        <v>PASS</v>
      </c>
      <c r="R390" s="20" t="str">
        <f aca="false">IF(F390&lt;&gt;"","PASS","FAIL - No Brand")</f>
        <v>PASS</v>
      </c>
      <c r="S390" s="20" t="str">
        <f aca="true">IF(K390="","FAIL - No Date",IF(TODAY()-DATEVALUE(K390)&lt;=180,"PASS","FLAG - Stale &gt;180d"))</f>
        <v>FLAG - Stale &gt;180d</v>
      </c>
      <c r="T390" s="20" t="n">
        <f aca="false">COUNTIF(M390:S390,"FAIL*")+COUNTIF(M390:S390,"FLAG*")</f>
        <v>1</v>
      </c>
      <c r="U390" s="20" t="str">
        <f aca="false">IF(T390=0,"CLEAN",IF(T390=1,"MINOR",IF(T390&lt;=3,"MODERATE","CRITICAL")))</f>
        <v>MINOR</v>
      </c>
      <c r="V390" s="20" t="str">
        <f aca="false">IF(U390="CLEAN","None",IF(U390="MINOR","Seller Notify",IF(U390="MODERATE","Listing Suspended","Immediate Removal")))</f>
        <v>Seller Notify</v>
      </c>
    </row>
    <row r="391" customFormat="false" ht="18" hidden="false" customHeight="true" outlineLevel="0" collapsed="false">
      <c r="A391" s="19" t="s">
        <v>6468</v>
      </c>
      <c r="B391" s="19" t="s">
        <v>2839</v>
      </c>
      <c r="C391" s="19" t="s">
        <v>48</v>
      </c>
      <c r="D391" s="19" t="s">
        <v>49</v>
      </c>
      <c r="E391" s="19" t="s">
        <v>91</v>
      </c>
      <c r="F391" s="19" t="s">
        <v>780</v>
      </c>
      <c r="G391" s="19" t="s">
        <v>2841</v>
      </c>
      <c r="H391" s="19" t="s">
        <v>2842</v>
      </c>
      <c r="I391" s="19" t="s">
        <v>2843</v>
      </c>
      <c r="J391" s="19" t="n">
        <v>698.54</v>
      </c>
      <c r="K391" s="19" t="s">
        <v>1814</v>
      </c>
      <c r="L391" s="19"/>
      <c r="M391" s="20" t="str">
        <f aca="false">IF(G391&lt;&gt;"","PASS","FAIL - Missing UPC")</f>
        <v>PASS</v>
      </c>
      <c r="N391" s="20" t="str">
        <f aca="false">IF(AND(G391&lt;&gt;"",H391&lt;&gt;""),IF("0"&amp;G391=H391,"PASS","FAIL - GTIN Mismatch"),"SKIP")</f>
        <v>PASS</v>
      </c>
      <c r="O391" s="20" t="str">
        <f aca="false">IF(I391="","FAIL - No Title",IF(LEN(I391)&lt;=126,"PASS","FAIL - Title &gt;"&amp;126&amp;" chars"))</f>
        <v>PASS</v>
      </c>
      <c r="P391" s="20" t="str">
        <f aca="false">IF(J391&gt;0,IF(J391&lt;5000,"PASS","FLAG - Review Price"),"FAIL - Zero Price")</f>
        <v>PASS</v>
      </c>
      <c r="Q391" s="20" t="str">
        <f aca="false">IF('Raw Catalog'!P389&lt;&gt;"","PASS","FAIL - No Image")</f>
        <v>PASS</v>
      </c>
      <c r="R391" s="20" t="str">
        <f aca="false">IF(F391&lt;&gt;"","PASS","FAIL - No Brand")</f>
        <v>PASS</v>
      </c>
      <c r="S391" s="20" t="str">
        <f aca="true">IF(K391="","FAIL - No Date",IF(TODAY()-DATEVALUE(K391)&lt;=180,"PASS","FLAG - Stale &gt;180d"))</f>
        <v>FLAG - Stale &gt;180d</v>
      </c>
      <c r="T391" s="20" t="n">
        <f aca="false">COUNTIF(M391:S391,"FAIL*")+COUNTIF(M391:S391,"FLAG*")</f>
        <v>1</v>
      </c>
      <c r="U391" s="20" t="str">
        <f aca="false">IF(T391=0,"CLEAN",IF(T391=1,"MINOR",IF(T391&lt;=3,"MODERATE","CRITICAL")))</f>
        <v>MINOR</v>
      </c>
      <c r="V391" s="20" t="str">
        <f aca="false">IF(U391="CLEAN","None",IF(U391="MINOR","Seller Notify",IF(U391="MODERATE","Listing Suspended","Immediate Removal")))</f>
        <v>Seller Notify</v>
      </c>
    </row>
    <row r="392" customFormat="false" ht="18" hidden="false" customHeight="true" outlineLevel="0" collapsed="false">
      <c r="A392" s="19" t="s">
        <v>6469</v>
      </c>
      <c r="B392" s="19" t="s">
        <v>2845</v>
      </c>
      <c r="C392" s="19" t="s">
        <v>255</v>
      </c>
      <c r="D392" s="19" t="s">
        <v>256</v>
      </c>
      <c r="E392" s="19" t="s">
        <v>50</v>
      </c>
      <c r="F392" s="19" t="s">
        <v>127</v>
      </c>
      <c r="G392" s="19" t="s">
        <v>2847</v>
      </c>
      <c r="H392" s="19" t="s">
        <v>2848</v>
      </c>
      <c r="I392" s="19" t="s">
        <v>2849</v>
      </c>
      <c r="J392" s="19" t="n">
        <v>1255.03</v>
      </c>
      <c r="K392" s="19" t="s">
        <v>225</v>
      </c>
      <c r="L392" s="19"/>
      <c r="M392" s="20" t="str">
        <f aca="false">IF(G392&lt;&gt;"","PASS","FAIL - Missing UPC")</f>
        <v>PASS</v>
      </c>
      <c r="N392" s="20" t="str">
        <f aca="false">IF(AND(G392&lt;&gt;"",H392&lt;&gt;""),IF("0"&amp;G392=H392,"PASS","FAIL - GTIN Mismatch"),"SKIP")</f>
        <v>PASS</v>
      </c>
      <c r="O392" s="20" t="str">
        <f aca="false">IF(I392="","FAIL - No Title",IF(LEN(I392)&lt;=126,"PASS","FAIL - Title &gt;"&amp;126&amp;" chars"))</f>
        <v>PASS</v>
      </c>
      <c r="P392" s="20" t="str">
        <f aca="false">IF(J392&gt;0,IF(J392&lt;5000,"PASS","FLAG - Review Price"),"FAIL - Zero Price")</f>
        <v>PASS</v>
      </c>
      <c r="Q392" s="20" t="str">
        <f aca="false">IF('Raw Catalog'!P390&lt;&gt;"","PASS","FAIL - No Image")</f>
        <v>PASS</v>
      </c>
      <c r="R392" s="20" t="str">
        <f aca="false">IF(F392&lt;&gt;"","PASS","FAIL - No Brand")</f>
        <v>PASS</v>
      </c>
      <c r="S392" s="20" t="str">
        <f aca="true">IF(K392="","FAIL - No Date",IF(TODAY()-DATEVALUE(K392)&lt;=180,"PASS","FLAG - Stale &gt;180d"))</f>
        <v>FLAG - Stale &gt;180d</v>
      </c>
      <c r="T392" s="20" t="n">
        <f aca="false">COUNTIF(M392:S392,"FAIL*")+COUNTIF(M392:S392,"FLAG*")</f>
        <v>1</v>
      </c>
      <c r="U392" s="20" t="str">
        <f aca="false">IF(T392=0,"CLEAN",IF(T392=1,"MINOR",IF(T392&lt;=3,"MODERATE","CRITICAL")))</f>
        <v>MINOR</v>
      </c>
      <c r="V392" s="20" t="str">
        <f aca="false">IF(U392="CLEAN","None",IF(U392="MINOR","Seller Notify",IF(U392="MODERATE","Listing Suspended","Immediate Removal")))</f>
        <v>Seller Notify</v>
      </c>
    </row>
    <row r="393" customFormat="false" ht="18" hidden="false" customHeight="true" outlineLevel="0" collapsed="false">
      <c r="A393" s="19" t="s">
        <v>6470</v>
      </c>
      <c r="B393" s="19" t="s">
        <v>2850</v>
      </c>
      <c r="C393" s="19" t="s">
        <v>48</v>
      </c>
      <c r="D393" s="19" t="s">
        <v>49</v>
      </c>
      <c r="E393" s="19" t="s">
        <v>65</v>
      </c>
      <c r="F393" s="19" t="s">
        <v>245</v>
      </c>
      <c r="G393" s="19" t="s">
        <v>2852</v>
      </c>
      <c r="H393" s="19" t="s">
        <v>2853</v>
      </c>
      <c r="I393" s="19" t="s">
        <v>249</v>
      </c>
      <c r="J393" s="19" t="n">
        <v>201.89</v>
      </c>
      <c r="K393" s="19" t="s">
        <v>75</v>
      </c>
      <c r="L393" s="19"/>
      <c r="M393" s="20" t="str">
        <f aca="false">IF(G393&lt;&gt;"","PASS","FAIL - Missing UPC")</f>
        <v>PASS</v>
      </c>
      <c r="N393" s="20" t="str">
        <f aca="false">IF(AND(G393&lt;&gt;"",H393&lt;&gt;""),IF("0"&amp;G393=H393,"PASS","FAIL - GTIN Mismatch"),"SKIP")</f>
        <v>PASS</v>
      </c>
      <c r="O393" s="20" t="str">
        <f aca="false">IF(I393="","FAIL - No Title",IF(LEN(I393)&lt;=126,"PASS","FAIL - Title &gt;"&amp;126&amp;" chars"))</f>
        <v>PASS</v>
      </c>
      <c r="P393" s="20" t="str">
        <f aca="false">IF(J393&gt;0,IF(J393&lt;5000,"PASS","FLAG - Review Price"),"FAIL - Zero Price")</f>
        <v>PASS</v>
      </c>
      <c r="Q393" s="20" t="str">
        <f aca="false">IF('Raw Catalog'!P391&lt;&gt;"","PASS","FAIL - No Image")</f>
        <v>PASS</v>
      </c>
      <c r="R393" s="20" t="str">
        <f aca="false">IF(F393&lt;&gt;"","PASS","FAIL - No Brand")</f>
        <v>PASS</v>
      </c>
      <c r="S393" s="20" t="str">
        <f aca="true">IF(K393="","FAIL - No Date",IF(TODAY()-DATEVALUE(K393)&lt;=180,"PASS","FLAG - Stale &gt;180d"))</f>
        <v>FLAG - Stale &gt;180d</v>
      </c>
      <c r="T393" s="20" t="n">
        <f aca="false">COUNTIF(M393:S393,"FAIL*")+COUNTIF(M393:S393,"FLAG*")</f>
        <v>1</v>
      </c>
      <c r="U393" s="20" t="str">
        <f aca="false">IF(T393=0,"CLEAN",IF(T393=1,"MINOR",IF(T393&lt;=3,"MODERATE","CRITICAL")))</f>
        <v>MINOR</v>
      </c>
      <c r="V393" s="20" t="str">
        <f aca="false">IF(U393="CLEAN","None",IF(U393="MINOR","Seller Notify",IF(U393="MODERATE","Listing Suspended","Immediate Removal")))</f>
        <v>Seller Notify</v>
      </c>
    </row>
    <row r="394" customFormat="false" ht="18" hidden="false" customHeight="true" outlineLevel="0" collapsed="false">
      <c r="A394" s="19" t="s">
        <v>6471</v>
      </c>
      <c r="B394" s="19" t="s">
        <v>2855</v>
      </c>
      <c r="C394" s="19" t="s">
        <v>159</v>
      </c>
      <c r="D394" s="19" t="s">
        <v>160</v>
      </c>
      <c r="E394" s="19" t="s">
        <v>91</v>
      </c>
      <c r="F394" s="19" t="s">
        <v>587</v>
      </c>
      <c r="G394" s="19" t="s">
        <v>2857</v>
      </c>
      <c r="H394" s="19" t="s">
        <v>2858</v>
      </c>
      <c r="I394" s="19" t="s">
        <v>2859</v>
      </c>
      <c r="J394" s="19" t="n">
        <v>3806.05</v>
      </c>
      <c r="K394" s="19" t="s">
        <v>1274</v>
      </c>
      <c r="L394" s="19"/>
      <c r="M394" s="20" t="str">
        <f aca="false">IF(G394&lt;&gt;"","PASS","FAIL - Missing UPC")</f>
        <v>PASS</v>
      </c>
      <c r="N394" s="20" t="str">
        <f aca="false">IF(AND(G394&lt;&gt;"",H394&lt;&gt;""),IF("0"&amp;G394=H394,"PASS","FAIL - GTIN Mismatch"),"SKIP")</f>
        <v>PASS</v>
      </c>
      <c r="O394" s="20" t="str">
        <f aca="false">IF(I394="","FAIL - No Title",IF(LEN(I394)&lt;=126,"PASS","FAIL - Title &gt;"&amp;126&amp;" chars"))</f>
        <v>PASS</v>
      </c>
      <c r="P394" s="20" t="str">
        <f aca="false">IF(J394&gt;0,IF(J394&lt;5000,"PASS","FLAG - Review Price"),"FAIL - Zero Price")</f>
        <v>PASS</v>
      </c>
      <c r="Q394" s="20" t="str">
        <f aca="false">IF('Raw Catalog'!P392&lt;&gt;"","PASS","FAIL - No Image")</f>
        <v>PASS</v>
      </c>
      <c r="R394" s="20" t="str">
        <f aca="false">IF(F394&lt;&gt;"","PASS","FAIL - No Brand")</f>
        <v>PASS</v>
      </c>
      <c r="S394" s="20" t="str">
        <f aca="true">IF(K394="","FAIL - No Date",IF(TODAY()-DATEVALUE(K394)&lt;=180,"PASS","FLAG - Stale &gt;180d"))</f>
        <v>FLAG - Stale &gt;180d</v>
      </c>
      <c r="T394" s="20" t="n">
        <f aca="false">COUNTIF(M394:S394,"FAIL*")+COUNTIF(M394:S394,"FLAG*")</f>
        <v>1</v>
      </c>
      <c r="U394" s="20" t="str">
        <f aca="false">IF(T394=0,"CLEAN",IF(T394=1,"MINOR",IF(T394&lt;=3,"MODERATE","CRITICAL")))</f>
        <v>MINOR</v>
      </c>
      <c r="V394" s="20" t="str">
        <f aca="false">IF(U394="CLEAN","None",IF(U394="MINOR","Seller Notify",IF(U394="MODERATE","Listing Suspended","Immediate Removal")))</f>
        <v>Seller Notify</v>
      </c>
    </row>
    <row r="395" customFormat="false" ht="18" hidden="false" customHeight="true" outlineLevel="0" collapsed="false">
      <c r="A395" s="19" t="s">
        <v>6472</v>
      </c>
      <c r="B395" s="19" t="s">
        <v>2863</v>
      </c>
      <c r="C395" s="19" t="s">
        <v>77</v>
      </c>
      <c r="D395" s="19" t="s">
        <v>78</v>
      </c>
      <c r="E395" s="19" t="s">
        <v>91</v>
      </c>
      <c r="F395" s="19" t="s">
        <v>92</v>
      </c>
      <c r="G395" s="19" t="s">
        <v>2865</v>
      </c>
      <c r="H395" s="19" t="s">
        <v>2866</v>
      </c>
      <c r="I395" s="19" t="s">
        <v>2867</v>
      </c>
      <c r="J395" s="19" t="n">
        <v>1725.44</v>
      </c>
      <c r="K395" s="19" t="s">
        <v>2869</v>
      </c>
      <c r="L395" s="19"/>
      <c r="M395" s="20" t="str">
        <f aca="false">IF(G395&lt;&gt;"","PASS","FAIL - Missing UPC")</f>
        <v>PASS</v>
      </c>
      <c r="N395" s="20" t="str">
        <f aca="false">IF(AND(G395&lt;&gt;"",H395&lt;&gt;""),IF("0"&amp;G395=H395,"PASS","FAIL - GTIN Mismatch"),"SKIP")</f>
        <v>PASS</v>
      </c>
      <c r="O395" s="20" t="str">
        <f aca="false">IF(I395="","FAIL - No Title",IF(LEN(I395)&lt;=126,"PASS","FAIL - Title &gt;"&amp;126&amp;" chars"))</f>
        <v>PASS</v>
      </c>
      <c r="P395" s="20" t="str">
        <f aca="false">IF(J395&gt;0,IF(J395&lt;5000,"PASS","FLAG - Review Price"),"FAIL - Zero Price")</f>
        <v>PASS</v>
      </c>
      <c r="Q395" s="20" t="str">
        <f aca="false">IF('Raw Catalog'!P393&lt;&gt;"","PASS","FAIL - No Image")</f>
        <v>PASS</v>
      </c>
      <c r="R395" s="20" t="str">
        <f aca="false">IF(F395&lt;&gt;"","PASS","FAIL - No Brand")</f>
        <v>PASS</v>
      </c>
      <c r="S395" s="20" t="str">
        <f aca="true">IF(K395="","FAIL - No Date",IF(TODAY()-DATEVALUE(K395)&lt;=180,"PASS","FLAG - Stale &gt;180d"))</f>
        <v>FLAG - Stale &gt;180d</v>
      </c>
      <c r="T395" s="20" t="n">
        <f aca="false">COUNTIF(M395:S395,"FAIL*")+COUNTIF(M395:S395,"FLAG*")</f>
        <v>1</v>
      </c>
      <c r="U395" s="20" t="str">
        <f aca="false">IF(T395=0,"CLEAN",IF(T395=1,"MINOR",IF(T395&lt;=3,"MODERATE","CRITICAL")))</f>
        <v>MINOR</v>
      </c>
      <c r="V395" s="20" t="str">
        <f aca="false">IF(U395="CLEAN","None",IF(U395="MINOR","Seller Notify",IF(U395="MODERATE","Listing Suspended","Immediate Removal")))</f>
        <v>Seller Notify</v>
      </c>
    </row>
    <row r="396" customFormat="false" ht="18" hidden="false" customHeight="true" outlineLevel="0" collapsed="false">
      <c r="A396" s="19" t="s">
        <v>6473</v>
      </c>
      <c r="B396" s="19" t="s">
        <v>2870</v>
      </c>
      <c r="C396" s="19" t="s">
        <v>77</v>
      </c>
      <c r="D396" s="19" t="s">
        <v>78</v>
      </c>
      <c r="E396" s="19" t="s">
        <v>50</v>
      </c>
      <c r="F396" s="19" t="s">
        <v>115</v>
      </c>
      <c r="G396" s="19" t="s">
        <v>2872</v>
      </c>
      <c r="H396" s="19" t="s">
        <v>2873</v>
      </c>
      <c r="I396" s="19" t="s">
        <v>2874</v>
      </c>
      <c r="J396" s="19" t="n">
        <v>246.49</v>
      </c>
      <c r="K396" s="19" t="s">
        <v>2876</v>
      </c>
      <c r="L396" s="19"/>
      <c r="M396" s="20" t="str">
        <f aca="false">IF(G396&lt;&gt;"","PASS","FAIL - Missing UPC")</f>
        <v>PASS</v>
      </c>
      <c r="N396" s="20" t="str">
        <f aca="false">IF(AND(G396&lt;&gt;"",H396&lt;&gt;""),IF("0"&amp;G396=H396,"PASS","FAIL - GTIN Mismatch"),"SKIP")</f>
        <v>PASS</v>
      </c>
      <c r="O396" s="20" t="str">
        <f aca="false">IF(I396="","FAIL - No Title",IF(LEN(I396)&lt;=126,"PASS","FAIL - Title &gt;"&amp;126&amp;" chars"))</f>
        <v>PASS</v>
      </c>
      <c r="P396" s="20" t="str">
        <f aca="false">IF(J396&gt;0,IF(J396&lt;5000,"PASS","FLAG - Review Price"),"FAIL - Zero Price")</f>
        <v>PASS</v>
      </c>
      <c r="Q396" s="20" t="str">
        <f aca="false">IF('Raw Catalog'!P394&lt;&gt;"","PASS","FAIL - No Image")</f>
        <v>PASS</v>
      </c>
      <c r="R396" s="20" t="str">
        <f aca="false">IF(F396&lt;&gt;"","PASS","FAIL - No Brand")</f>
        <v>PASS</v>
      </c>
      <c r="S396" s="20" t="str">
        <f aca="true">IF(K396="","FAIL - No Date",IF(TODAY()-DATEVALUE(K396)&lt;=180,"PASS","FLAG - Stale &gt;180d"))</f>
        <v>FLAG - Stale &gt;180d</v>
      </c>
      <c r="T396" s="20" t="n">
        <f aca="false">COUNTIF(M396:S396,"FAIL*")+COUNTIF(M396:S396,"FLAG*")</f>
        <v>1</v>
      </c>
      <c r="U396" s="20" t="str">
        <f aca="false">IF(T396=0,"CLEAN",IF(T396=1,"MINOR",IF(T396&lt;=3,"MODERATE","CRITICAL")))</f>
        <v>MINOR</v>
      </c>
      <c r="V396" s="20" t="str">
        <f aca="false">IF(U396="CLEAN","None",IF(U396="MINOR","Seller Notify",IF(U396="MODERATE","Listing Suspended","Immediate Removal")))</f>
        <v>Seller Notify</v>
      </c>
    </row>
    <row r="397" customFormat="false" ht="18" hidden="false" customHeight="true" outlineLevel="0" collapsed="false">
      <c r="A397" s="19" t="s">
        <v>6474</v>
      </c>
      <c r="B397" s="19" t="s">
        <v>2877</v>
      </c>
      <c r="C397" s="19" t="s">
        <v>255</v>
      </c>
      <c r="D397" s="19" t="s">
        <v>256</v>
      </c>
      <c r="E397" s="19" t="s">
        <v>161</v>
      </c>
      <c r="F397" s="19" t="s">
        <v>429</v>
      </c>
      <c r="G397" s="19" t="s">
        <v>2879</v>
      </c>
      <c r="H397" s="19" t="s">
        <v>2880</v>
      </c>
      <c r="I397" s="19" t="s">
        <v>2881</v>
      </c>
      <c r="J397" s="19" t="n">
        <v>380.14</v>
      </c>
      <c r="K397" s="19" t="s">
        <v>462</v>
      </c>
      <c r="L397" s="19"/>
      <c r="M397" s="20" t="str">
        <f aca="false">IF(G397&lt;&gt;"","PASS","FAIL - Missing UPC")</f>
        <v>PASS</v>
      </c>
      <c r="N397" s="20" t="str">
        <f aca="false">IF(AND(G397&lt;&gt;"",H397&lt;&gt;""),IF("0"&amp;G397=H397,"PASS","FAIL - GTIN Mismatch"),"SKIP")</f>
        <v>PASS</v>
      </c>
      <c r="O397" s="20" t="str">
        <f aca="false">IF(I397="","FAIL - No Title",IF(LEN(I397)&lt;=126,"PASS","FAIL - Title &gt;"&amp;126&amp;" chars"))</f>
        <v>PASS</v>
      </c>
      <c r="P397" s="20" t="str">
        <f aca="false">IF(J397&gt;0,IF(J397&lt;5000,"PASS","FLAG - Review Price"),"FAIL - Zero Price")</f>
        <v>PASS</v>
      </c>
      <c r="Q397" s="20" t="str">
        <f aca="false">IF('Raw Catalog'!P395&lt;&gt;"","PASS","FAIL - No Image")</f>
        <v>PASS</v>
      </c>
      <c r="R397" s="20" t="str">
        <f aca="false">IF(F397&lt;&gt;"","PASS","FAIL - No Brand")</f>
        <v>PASS</v>
      </c>
      <c r="S397" s="20" t="str">
        <f aca="true">IF(K397="","FAIL - No Date",IF(TODAY()-DATEVALUE(K397)&lt;=180,"PASS","FLAG - Stale &gt;180d"))</f>
        <v>FLAG - Stale &gt;180d</v>
      </c>
      <c r="T397" s="20" t="n">
        <f aca="false">COUNTIF(M397:S397,"FAIL*")+COUNTIF(M397:S397,"FLAG*")</f>
        <v>1</v>
      </c>
      <c r="U397" s="20" t="str">
        <f aca="false">IF(T397=0,"CLEAN",IF(T397=1,"MINOR",IF(T397&lt;=3,"MODERATE","CRITICAL")))</f>
        <v>MINOR</v>
      </c>
      <c r="V397" s="20" t="str">
        <f aca="false">IF(U397="CLEAN","None",IF(U397="MINOR","Seller Notify",IF(U397="MODERATE","Listing Suspended","Immediate Removal")))</f>
        <v>Seller Notify</v>
      </c>
    </row>
    <row r="398" customFormat="false" ht="18" hidden="false" customHeight="true" outlineLevel="0" collapsed="false">
      <c r="A398" s="19" t="s">
        <v>6475</v>
      </c>
      <c r="B398" s="19" t="s">
        <v>2882</v>
      </c>
      <c r="C398" s="19" t="s">
        <v>77</v>
      </c>
      <c r="D398" s="19" t="s">
        <v>78</v>
      </c>
      <c r="E398" s="19" t="s">
        <v>79</v>
      </c>
      <c r="F398" s="19" t="s">
        <v>196</v>
      </c>
      <c r="G398" s="19" t="s">
        <v>2884</v>
      </c>
      <c r="H398" s="19" t="s">
        <v>2885</v>
      </c>
      <c r="I398" s="19" t="s">
        <v>2886</v>
      </c>
      <c r="J398" s="19" t="n">
        <v>821.81</v>
      </c>
      <c r="K398" s="19" t="s">
        <v>1517</v>
      </c>
      <c r="L398" s="19"/>
      <c r="M398" s="20" t="str">
        <f aca="false">IF(G398&lt;&gt;"","PASS","FAIL - Missing UPC")</f>
        <v>PASS</v>
      </c>
      <c r="N398" s="20" t="str">
        <f aca="false">IF(AND(G398&lt;&gt;"",H398&lt;&gt;""),IF("0"&amp;G398=H398,"PASS","FAIL - GTIN Mismatch"),"SKIP")</f>
        <v>PASS</v>
      </c>
      <c r="O398" s="20" t="str">
        <f aca="false">IF(I398="","FAIL - No Title",IF(LEN(I398)&lt;=126,"PASS","FAIL - Title &gt;"&amp;126&amp;" chars"))</f>
        <v>PASS</v>
      </c>
      <c r="P398" s="20" t="str">
        <f aca="false">IF(J398&gt;0,IF(J398&lt;5000,"PASS","FLAG - Review Price"),"FAIL - Zero Price")</f>
        <v>PASS</v>
      </c>
      <c r="Q398" s="20" t="str">
        <f aca="false">IF('Raw Catalog'!P396&lt;&gt;"","PASS","FAIL - No Image")</f>
        <v>PASS</v>
      </c>
      <c r="R398" s="20" t="str">
        <f aca="false">IF(F398&lt;&gt;"","PASS","FAIL - No Brand")</f>
        <v>PASS</v>
      </c>
      <c r="S398" s="20" t="str">
        <f aca="true">IF(K398="","FAIL - No Date",IF(TODAY()-DATEVALUE(K398)&lt;=180,"PASS","FLAG - Stale &gt;180d"))</f>
        <v>FLAG - Stale &gt;180d</v>
      </c>
      <c r="T398" s="20" t="n">
        <f aca="false">COUNTIF(M398:S398,"FAIL*")+COUNTIF(M398:S398,"FLAG*")</f>
        <v>1</v>
      </c>
      <c r="U398" s="20" t="str">
        <f aca="false">IF(T398=0,"CLEAN",IF(T398=1,"MINOR",IF(T398&lt;=3,"MODERATE","CRITICAL")))</f>
        <v>MINOR</v>
      </c>
      <c r="V398" s="20" t="str">
        <f aca="false">IF(U398="CLEAN","None",IF(U398="MINOR","Seller Notify",IF(U398="MODERATE","Listing Suspended","Immediate Removal")))</f>
        <v>Seller Notify</v>
      </c>
    </row>
    <row r="399" customFormat="false" ht="18" hidden="false" customHeight="true" outlineLevel="0" collapsed="false">
      <c r="A399" s="19" t="s">
        <v>6476</v>
      </c>
      <c r="B399" s="19" t="s">
        <v>2887</v>
      </c>
      <c r="C399" s="19" t="s">
        <v>48</v>
      </c>
      <c r="D399" s="19" t="s">
        <v>49</v>
      </c>
      <c r="E399" s="19" t="s">
        <v>79</v>
      </c>
      <c r="F399" s="19" t="s">
        <v>465</v>
      </c>
      <c r="G399" s="19" t="s">
        <v>2889</v>
      </c>
      <c r="H399" s="19" t="s">
        <v>2890</v>
      </c>
      <c r="I399" s="19" t="s">
        <v>2891</v>
      </c>
      <c r="J399" s="19" t="n">
        <v>1051.58</v>
      </c>
      <c r="K399" s="19" t="s">
        <v>2892</v>
      </c>
      <c r="L399" s="19"/>
      <c r="M399" s="20" t="str">
        <f aca="false">IF(G399&lt;&gt;"","PASS","FAIL - Missing UPC")</f>
        <v>PASS</v>
      </c>
      <c r="N399" s="20" t="str">
        <f aca="false">IF(AND(G399&lt;&gt;"",H399&lt;&gt;""),IF("0"&amp;G399=H399,"PASS","FAIL - GTIN Mismatch"),"SKIP")</f>
        <v>PASS</v>
      </c>
      <c r="O399" s="20" t="str">
        <f aca="false">IF(I399="","FAIL - No Title",IF(LEN(I399)&lt;=126,"PASS","FAIL - Title &gt;"&amp;126&amp;" chars"))</f>
        <v>PASS</v>
      </c>
      <c r="P399" s="20" t="str">
        <f aca="false">IF(J399&gt;0,IF(J399&lt;5000,"PASS","FLAG - Review Price"),"FAIL - Zero Price")</f>
        <v>PASS</v>
      </c>
      <c r="Q399" s="20" t="str">
        <f aca="false">IF('Raw Catalog'!P397&lt;&gt;"","PASS","FAIL - No Image")</f>
        <v>PASS</v>
      </c>
      <c r="R399" s="20" t="str">
        <f aca="false">IF(F399&lt;&gt;"","PASS","FAIL - No Brand")</f>
        <v>PASS</v>
      </c>
      <c r="S399" s="20" t="str">
        <f aca="true">IF(K399="","FAIL - No Date",IF(TODAY()-DATEVALUE(K399)&lt;=180,"PASS","FLAG - Stale &gt;180d"))</f>
        <v>FLAG - Stale &gt;180d</v>
      </c>
      <c r="T399" s="20" t="n">
        <f aca="false">COUNTIF(M399:S399,"FAIL*")+COUNTIF(M399:S399,"FLAG*")</f>
        <v>1</v>
      </c>
      <c r="U399" s="20" t="str">
        <f aca="false">IF(T399=0,"CLEAN",IF(T399=1,"MINOR",IF(T399&lt;=3,"MODERATE","CRITICAL")))</f>
        <v>MINOR</v>
      </c>
      <c r="V399" s="20" t="str">
        <f aca="false">IF(U399="CLEAN","None",IF(U399="MINOR","Seller Notify",IF(U399="MODERATE","Listing Suspended","Immediate Removal")))</f>
        <v>Seller Notify</v>
      </c>
    </row>
    <row r="400" customFormat="false" ht="18" hidden="false" customHeight="true" outlineLevel="0" collapsed="false">
      <c r="A400" s="19" t="s">
        <v>6477</v>
      </c>
      <c r="B400" s="19" t="s">
        <v>2893</v>
      </c>
      <c r="C400" s="19" t="s">
        <v>63</v>
      </c>
      <c r="D400" s="19" t="s">
        <v>64</v>
      </c>
      <c r="E400" s="19" t="s">
        <v>50</v>
      </c>
      <c r="F400" s="19" t="s">
        <v>115</v>
      </c>
      <c r="G400" s="19" t="s">
        <v>2895</v>
      </c>
      <c r="H400" s="19" t="s">
        <v>2896</v>
      </c>
      <c r="I400" s="19" t="s">
        <v>2897</v>
      </c>
      <c r="J400" s="19" t="n">
        <v>457.59</v>
      </c>
      <c r="K400" s="19" t="s">
        <v>2899</v>
      </c>
      <c r="L400" s="19"/>
      <c r="M400" s="20" t="str">
        <f aca="false">IF(G400&lt;&gt;"","PASS","FAIL - Missing UPC")</f>
        <v>PASS</v>
      </c>
      <c r="N400" s="20" t="str">
        <f aca="false">IF(AND(G400&lt;&gt;"",H400&lt;&gt;""),IF("0"&amp;G400=H400,"PASS","FAIL - GTIN Mismatch"),"SKIP")</f>
        <v>PASS</v>
      </c>
      <c r="O400" s="20" t="str">
        <f aca="false">IF(I400="","FAIL - No Title",IF(LEN(I400)&lt;=126,"PASS","FAIL - Title &gt;"&amp;126&amp;" chars"))</f>
        <v>PASS</v>
      </c>
      <c r="P400" s="20" t="str">
        <f aca="false">IF(J400&gt;0,IF(J400&lt;5000,"PASS","FLAG - Review Price"),"FAIL - Zero Price")</f>
        <v>PASS</v>
      </c>
      <c r="Q400" s="20" t="str">
        <f aca="false">IF('Raw Catalog'!P398&lt;&gt;"","PASS","FAIL - No Image")</f>
        <v>PASS</v>
      </c>
      <c r="R400" s="20" t="str">
        <f aca="false">IF(F400&lt;&gt;"","PASS","FAIL - No Brand")</f>
        <v>PASS</v>
      </c>
      <c r="S400" s="20" t="str">
        <f aca="true">IF(K400="","FAIL - No Date",IF(TODAY()-DATEVALUE(K400)&lt;=180,"PASS","FLAG - Stale &gt;180d"))</f>
        <v>FLAG - Stale &gt;180d</v>
      </c>
      <c r="T400" s="20" t="n">
        <f aca="false">COUNTIF(M400:S400,"FAIL*")+COUNTIF(M400:S400,"FLAG*")</f>
        <v>1</v>
      </c>
      <c r="U400" s="20" t="str">
        <f aca="false">IF(T400=0,"CLEAN",IF(T400=1,"MINOR",IF(T400&lt;=3,"MODERATE","CRITICAL")))</f>
        <v>MINOR</v>
      </c>
      <c r="V400" s="20" t="str">
        <f aca="false">IF(U400="CLEAN","None",IF(U400="MINOR","Seller Notify",IF(U400="MODERATE","Listing Suspended","Immediate Removal")))</f>
        <v>Seller Notify</v>
      </c>
    </row>
    <row r="401" customFormat="false" ht="18" hidden="false" customHeight="true" outlineLevel="0" collapsed="false">
      <c r="A401" s="19" t="s">
        <v>6478</v>
      </c>
      <c r="B401" s="19" t="s">
        <v>2900</v>
      </c>
      <c r="C401" s="19" t="s">
        <v>125</v>
      </c>
      <c r="D401" s="19" t="s">
        <v>126</v>
      </c>
      <c r="E401" s="19" t="s">
        <v>50</v>
      </c>
      <c r="F401" s="19" t="s">
        <v>51</v>
      </c>
      <c r="G401" s="19" t="s">
        <v>2902</v>
      </c>
      <c r="H401" s="19" t="s">
        <v>2903</v>
      </c>
      <c r="I401" s="19" t="s">
        <v>2904</v>
      </c>
      <c r="J401" s="19" t="n">
        <v>171.76</v>
      </c>
      <c r="K401" s="19" t="s">
        <v>1795</v>
      </c>
      <c r="L401" s="21" t="s">
        <v>1014</v>
      </c>
      <c r="M401" s="20" t="str">
        <f aca="false">IF(G401&lt;&gt;"","PASS","FAIL - Missing UPC")</f>
        <v>PASS</v>
      </c>
      <c r="N401" s="20" t="str">
        <f aca="false">IF(AND(G401&lt;&gt;"",H401&lt;&gt;""),IF("0"&amp;G401=H401,"PASS","FAIL - GTIN Mismatch"),"SKIP")</f>
        <v>PASS</v>
      </c>
      <c r="O401" s="20" t="str">
        <f aca="false">IF(I401="","FAIL - No Title",IF(LEN(I401)&lt;=126,"PASS","FAIL - Title &gt;"&amp;126&amp;" chars"))</f>
        <v>PASS</v>
      </c>
      <c r="P401" s="20" t="str">
        <f aca="false">IF(J401&gt;0,IF(J401&lt;5000,"PASS","FLAG - Review Price"),"FAIL - Zero Price")</f>
        <v>PASS</v>
      </c>
      <c r="Q401" s="20" t="str">
        <f aca="false">IF('Raw Catalog'!P399&lt;&gt;"","PASS","FAIL - No Image")</f>
        <v>FAIL - No Image</v>
      </c>
      <c r="R401" s="20" t="str">
        <f aca="false">IF(F401&lt;&gt;"","PASS","FAIL - No Brand")</f>
        <v>PASS</v>
      </c>
      <c r="S401" s="20" t="str">
        <f aca="true">IF(K401="","FAIL - No Date",IF(TODAY()-DATEVALUE(K401)&lt;=180,"PASS","FLAG - Stale &gt;180d"))</f>
        <v>FLAG - Stale &gt;180d</v>
      </c>
      <c r="T401" s="20" t="n">
        <f aca="false">COUNTIF(M401:S401,"FAIL*")+COUNTIF(M401:S401,"FLAG*")</f>
        <v>2</v>
      </c>
      <c r="U401" s="20" t="str">
        <f aca="false">IF(T401=0,"CLEAN",IF(T401=1,"MINOR",IF(T401&lt;=3,"MODERATE","CRITICAL")))</f>
        <v>MODERATE</v>
      </c>
      <c r="V401" s="20" t="str">
        <f aca="false">IF(U401="CLEAN","None",IF(U401="MINOR","Seller Notify",IF(U401="MODERATE","Listing Suspended","Immediate Removal")))</f>
        <v>Listing Suspended</v>
      </c>
    </row>
    <row r="402" customFormat="false" ht="18" hidden="false" customHeight="true" outlineLevel="0" collapsed="false">
      <c r="A402" s="19" t="s">
        <v>6479</v>
      </c>
      <c r="B402" s="19" t="s">
        <v>2905</v>
      </c>
      <c r="C402" s="19" t="s">
        <v>159</v>
      </c>
      <c r="D402" s="19" t="s">
        <v>160</v>
      </c>
      <c r="E402" s="19" t="s">
        <v>50</v>
      </c>
      <c r="F402" s="19" t="s">
        <v>51</v>
      </c>
      <c r="G402" s="19" t="s">
        <v>2907</v>
      </c>
      <c r="H402" s="19" t="s">
        <v>2908</v>
      </c>
      <c r="I402" s="19" t="s">
        <v>2909</v>
      </c>
      <c r="J402" s="19" t="n">
        <v>1140.3</v>
      </c>
      <c r="K402" s="19" t="s">
        <v>136</v>
      </c>
      <c r="L402" s="19"/>
      <c r="M402" s="20" t="str">
        <f aca="false">IF(G402&lt;&gt;"","PASS","FAIL - Missing UPC")</f>
        <v>PASS</v>
      </c>
      <c r="N402" s="20" t="str">
        <f aca="false">IF(AND(G402&lt;&gt;"",H402&lt;&gt;""),IF("0"&amp;G402=H402,"PASS","FAIL - GTIN Mismatch"),"SKIP")</f>
        <v>PASS</v>
      </c>
      <c r="O402" s="20" t="str">
        <f aca="false">IF(I402="","FAIL - No Title",IF(LEN(I402)&lt;=126,"PASS","FAIL - Title &gt;"&amp;126&amp;" chars"))</f>
        <v>PASS</v>
      </c>
      <c r="P402" s="20" t="str">
        <f aca="false">IF(J402&gt;0,IF(J402&lt;5000,"PASS","FLAG - Review Price"),"FAIL - Zero Price")</f>
        <v>PASS</v>
      </c>
      <c r="Q402" s="20" t="str">
        <f aca="false">IF('Raw Catalog'!P400&lt;&gt;"","PASS","FAIL - No Image")</f>
        <v>PASS</v>
      </c>
      <c r="R402" s="20" t="str">
        <f aca="false">IF(F402&lt;&gt;"","PASS","FAIL - No Brand")</f>
        <v>PASS</v>
      </c>
      <c r="S402" s="20" t="str">
        <f aca="true">IF(K402="","FAIL - No Date",IF(TODAY()-DATEVALUE(K402)&lt;=180,"PASS","FLAG - Stale &gt;180d"))</f>
        <v>FLAG - Stale &gt;180d</v>
      </c>
      <c r="T402" s="20" t="n">
        <f aca="false">COUNTIF(M402:S402,"FAIL*")+COUNTIF(M402:S402,"FLAG*")</f>
        <v>1</v>
      </c>
      <c r="U402" s="20" t="str">
        <f aca="false">IF(T402=0,"CLEAN",IF(T402=1,"MINOR",IF(T402&lt;=3,"MODERATE","CRITICAL")))</f>
        <v>MINOR</v>
      </c>
      <c r="V402" s="20" t="str">
        <f aca="false">IF(U402="CLEAN","None",IF(U402="MINOR","Seller Notify",IF(U402="MODERATE","Listing Suspended","Immediate Removal")))</f>
        <v>Seller Notify</v>
      </c>
    </row>
    <row r="403" customFormat="false" ht="18" hidden="false" customHeight="true" outlineLevel="0" collapsed="false">
      <c r="A403" s="19" t="s">
        <v>6480</v>
      </c>
      <c r="B403" s="19" t="s">
        <v>2910</v>
      </c>
      <c r="C403" s="19" t="s">
        <v>63</v>
      </c>
      <c r="D403" s="19" t="s">
        <v>64</v>
      </c>
      <c r="E403" s="19" t="s">
        <v>79</v>
      </c>
      <c r="F403" s="19" t="s">
        <v>956</v>
      </c>
      <c r="G403" s="19" t="s">
        <v>2912</v>
      </c>
      <c r="H403" s="19" t="s">
        <v>2913</v>
      </c>
      <c r="I403" s="19" t="s">
        <v>2914</v>
      </c>
      <c r="J403" s="19" t="n">
        <v>1739.2</v>
      </c>
      <c r="K403" s="19" t="s">
        <v>1772</v>
      </c>
      <c r="L403" s="19"/>
      <c r="M403" s="20" t="str">
        <f aca="false">IF(G403&lt;&gt;"","PASS","FAIL - Missing UPC")</f>
        <v>PASS</v>
      </c>
      <c r="N403" s="20" t="str">
        <f aca="false">IF(AND(G403&lt;&gt;"",H403&lt;&gt;""),IF("0"&amp;G403=H403,"PASS","FAIL - GTIN Mismatch"),"SKIP")</f>
        <v>PASS</v>
      </c>
      <c r="O403" s="20" t="str">
        <f aca="false">IF(I403="","FAIL - No Title",IF(LEN(I403)&lt;=126,"PASS","FAIL - Title &gt;"&amp;126&amp;" chars"))</f>
        <v>PASS</v>
      </c>
      <c r="P403" s="20" t="str">
        <f aca="false">IF(J403&gt;0,IF(J403&lt;5000,"PASS","FLAG - Review Price"),"FAIL - Zero Price")</f>
        <v>PASS</v>
      </c>
      <c r="Q403" s="20" t="str">
        <f aca="false">IF('Raw Catalog'!P401&lt;&gt;"","PASS","FAIL - No Image")</f>
        <v>PASS</v>
      </c>
      <c r="R403" s="20" t="str">
        <f aca="false">IF(F403&lt;&gt;"","PASS","FAIL - No Brand")</f>
        <v>PASS</v>
      </c>
      <c r="S403" s="20" t="str">
        <f aca="true">IF(K403="","FAIL - No Date",IF(TODAY()-DATEVALUE(K403)&lt;=180,"PASS","FLAG - Stale &gt;180d"))</f>
        <v>FLAG - Stale &gt;180d</v>
      </c>
      <c r="T403" s="20" t="n">
        <f aca="false">COUNTIF(M403:S403,"FAIL*")+COUNTIF(M403:S403,"FLAG*")</f>
        <v>1</v>
      </c>
      <c r="U403" s="20" t="str">
        <f aca="false">IF(T403=0,"CLEAN",IF(T403=1,"MINOR",IF(T403&lt;=3,"MODERATE","CRITICAL")))</f>
        <v>MINOR</v>
      </c>
      <c r="V403" s="20" t="str">
        <f aca="false">IF(U403="CLEAN","None",IF(U403="MINOR","Seller Notify",IF(U403="MODERATE","Listing Suspended","Immediate Removal")))</f>
        <v>Seller Notify</v>
      </c>
    </row>
    <row r="404" customFormat="false" ht="18" hidden="false" customHeight="true" outlineLevel="0" collapsed="false">
      <c r="A404" s="19" t="s">
        <v>6481</v>
      </c>
      <c r="B404" s="19" t="s">
        <v>2918</v>
      </c>
      <c r="C404" s="19" t="s">
        <v>125</v>
      </c>
      <c r="D404" s="19" t="s">
        <v>126</v>
      </c>
      <c r="E404" s="19" t="s">
        <v>161</v>
      </c>
      <c r="F404" s="19" t="s">
        <v>822</v>
      </c>
      <c r="G404" s="19" t="s">
        <v>2920</v>
      </c>
      <c r="H404" s="19" t="s">
        <v>2921</v>
      </c>
      <c r="I404" s="19" t="s">
        <v>2922</v>
      </c>
      <c r="J404" s="19" t="n">
        <v>51.72</v>
      </c>
      <c r="K404" s="19" t="s">
        <v>585</v>
      </c>
      <c r="L404" s="19"/>
      <c r="M404" s="20" t="str">
        <f aca="false">IF(G404&lt;&gt;"","PASS","FAIL - Missing UPC")</f>
        <v>PASS</v>
      </c>
      <c r="N404" s="20" t="str">
        <f aca="false">IF(AND(G404&lt;&gt;"",H404&lt;&gt;""),IF("0"&amp;G404=H404,"PASS","FAIL - GTIN Mismatch"),"SKIP")</f>
        <v>PASS</v>
      </c>
      <c r="O404" s="20" t="str">
        <f aca="false">IF(I404="","FAIL - No Title",IF(LEN(I404)&lt;=126,"PASS","FAIL - Title &gt;"&amp;126&amp;" chars"))</f>
        <v>PASS</v>
      </c>
      <c r="P404" s="20" t="str">
        <f aca="false">IF(J404&gt;0,IF(J404&lt;5000,"PASS","FLAG - Review Price"),"FAIL - Zero Price")</f>
        <v>PASS</v>
      </c>
      <c r="Q404" s="20" t="str">
        <f aca="false">IF('Raw Catalog'!P402&lt;&gt;"","PASS","FAIL - No Image")</f>
        <v>PASS</v>
      </c>
      <c r="R404" s="20" t="str">
        <f aca="false">IF(F404&lt;&gt;"","PASS","FAIL - No Brand")</f>
        <v>PASS</v>
      </c>
      <c r="S404" s="20" t="str">
        <f aca="true">IF(K404="","FAIL - No Date",IF(TODAY()-DATEVALUE(K404)&lt;=180,"PASS","FLAG - Stale &gt;180d"))</f>
        <v>FLAG - Stale &gt;180d</v>
      </c>
      <c r="T404" s="20" t="n">
        <f aca="false">COUNTIF(M404:S404,"FAIL*")+COUNTIF(M404:S404,"FLAG*")</f>
        <v>1</v>
      </c>
      <c r="U404" s="20" t="str">
        <f aca="false">IF(T404=0,"CLEAN",IF(T404=1,"MINOR",IF(T404&lt;=3,"MODERATE","CRITICAL")))</f>
        <v>MINOR</v>
      </c>
      <c r="V404" s="20" t="str">
        <f aca="false">IF(U404="CLEAN","None",IF(U404="MINOR","Seller Notify",IF(U404="MODERATE","Listing Suspended","Immediate Removal")))</f>
        <v>Seller Notify</v>
      </c>
    </row>
    <row r="405" customFormat="false" ht="18" hidden="false" customHeight="true" outlineLevel="0" collapsed="false">
      <c r="A405" s="19" t="s">
        <v>6482</v>
      </c>
      <c r="B405" s="19" t="s">
        <v>2924</v>
      </c>
      <c r="C405" s="19" t="s">
        <v>255</v>
      </c>
      <c r="D405" s="19" t="s">
        <v>256</v>
      </c>
      <c r="E405" s="19" t="s">
        <v>50</v>
      </c>
      <c r="F405" s="19" t="s">
        <v>115</v>
      </c>
      <c r="G405" s="19" t="s">
        <v>2926</v>
      </c>
      <c r="H405" s="19" t="s">
        <v>2927</v>
      </c>
      <c r="I405" s="19" t="s">
        <v>2928</v>
      </c>
      <c r="J405" s="19" t="n">
        <v>309.95</v>
      </c>
      <c r="K405" s="19" t="s">
        <v>1777</v>
      </c>
      <c r="L405" s="19"/>
      <c r="M405" s="20" t="str">
        <f aca="false">IF(G405&lt;&gt;"","PASS","FAIL - Missing UPC")</f>
        <v>PASS</v>
      </c>
      <c r="N405" s="20" t="str">
        <f aca="false">IF(AND(G405&lt;&gt;"",H405&lt;&gt;""),IF("0"&amp;G405=H405,"PASS","FAIL - GTIN Mismatch"),"SKIP")</f>
        <v>PASS</v>
      </c>
      <c r="O405" s="20" t="str">
        <f aca="false">IF(I405="","FAIL - No Title",IF(LEN(I405)&lt;=126,"PASS","FAIL - Title &gt;"&amp;126&amp;" chars"))</f>
        <v>PASS</v>
      </c>
      <c r="P405" s="20" t="str">
        <f aca="false">IF(J405&gt;0,IF(J405&lt;5000,"PASS","FLAG - Review Price"),"FAIL - Zero Price")</f>
        <v>PASS</v>
      </c>
      <c r="Q405" s="20" t="str">
        <f aca="false">IF('Raw Catalog'!P403&lt;&gt;"","PASS","FAIL - No Image")</f>
        <v>PASS</v>
      </c>
      <c r="R405" s="20" t="str">
        <f aca="false">IF(F405&lt;&gt;"","PASS","FAIL - No Brand")</f>
        <v>PASS</v>
      </c>
      <c r="S405" s="20" t="str">
        <f aca="true">IF(K405="","FAIL - No Date",IF(TODAY()-DATEVALUE(K405)&lt;=180,"PASS","FLAG - Stale &gt;180d"))</f>
        <v>FLAG - Stale &gt;180d</v>
      </c>
      <c r="T405" s="20" t="n">
        <f aca="false">COUNTIF(M405:S405,"FAIL*")+COUNTIF(M405:S405,"FLAG*")</f>
        <v>1</v>
      </c>
      <c r="U405" s="20" t="str">
        <f aca="false">IF(T405=0,"CLEAN",IF(T405=1,"MINOR",IF(T405&lt;=3,"MODERATE","CRITICAL")))</f>
        <v>MINOR</v>
      </c>
      <c r="V405" s="20" t="str">
        <f aca="false">IF(U405="CLEAN","None",IF(U405="MINOR","Seller Notify",IF(U405="MODERATE","Listing Suspended","Immediate Removal")))</f>
        <v>Seller Notify</v>
      </c>
    </row>
    <row r="406" customFormat="false" ht="18" hidden="false" customHeight="true" outlineLevel="0" collapsed="false">
      <c r="A406" s="19" t="s">
        <v>6483</v>
      </c>
      <c r="B406" s="19" t="s">
        <v>2930</v>
      </c>
      <c r="C406" s="19" t="s">
        <v>173</v>
      </c>
      <c r="D406" s="19" t="s">
        <v>174</v>
      </c>
      <c r="E406" s="19" t="s">
        <v>79</v>
      </c>
      <c r="F406" s="19" t="s">
        <v>956</v>
      </c>
      <c r="G406" s="19" t="s">
        <v>2932</v>
      </c>
      <c r="H406" s="19" t="s">
        <v>2933</v>
      </c>
      <c r="I406" s="19" t="s">
        <v>2934</v>
      </c>
      <c r="J406" s="19" t="n">
        <v>1702.18</v>
      </c>
      <c r="K406" s="19" t="s">
        <v>2434</v>
      </c>
      <c r="L406" s="19"/>
      <c r="M406" s="20" t="str">
        <f aca="false">IF(G406&lt;&gt;"","PASS","FAIL - Missing UPC")</f>
        <v>PASS</v>
      </c>
      <c r="N406" s="20" t="str">
        <f aca="false">IF(AND(G406&lt;&gt;"",H406&lt;&gt;""),IF("0"&amp;G406=H406,"PASS","FAIL - GTIN Mismatch"),"SKIP")</f>
        <v>PASS</v>
      </c>
      <c r="O406" s="20" t="str">
        <f aca="false">IF(I406="","FAIL - No Title",IF(LEN(I406)&lt;=126,"PASS","FAIL - Title &gt;"&amp;126&amp;" chars"))</f>
        <v>PASS</v>
      </c>
      <c r="P406" s="20" t="str">
        <f aca="false">IF(J406&gt;0,IF(J406&lt;5000,"PASS","FLAG - Review Price"),"FAIL - Zero Price")</f>
        <v>PASS</v>
      </c>
      <c r="Q406" s="20" t="str">
        <f aca="false">IF('Raw Catalog'!P404&lt;&gt;"","PASS","FAIL - No Image")</f>
        <v>PASS</v>
      </c>
      <c r="R406" s="20" t="str">
        <f aca="false">IF(F406&lt;&gt;"","PASS","FAIL - No Brand")</f>
        <v>PASS</v>
      </c>
      <c r="S406" s="20" t="str">
        <f aca="true">IF(K406="","FAIL - No Date",IF(TODAY()-DATEVALUE(K406)&lt;=180,"PASS","FLAG - Stale &gt;180d"))</f>
        <v>FLAG - Stale &gt;180d</v>
      </c>
      <c r="T406" s="20" t="n">
        <f aca="false">COUNTIF(M406:S406,"FAIL*")+COUNTIF(M406:S406,"FLAG*")</f>
        <v>1</v>
      </c>
      <c r="U406" s="20" t="str">
        <f aca="false">IF(T406=0,"CLEAN",IF(T406=1,"MINOR",IF(T406&lt;=3,"MODERATE","CRITICAL")))</f>
        <v>MINOR</v>
      </c>
      <c r="V406" s="20" t="str">
        <f aca="false">IF(U406="CLEAN","None",IF(U406="MINOR","Seller Notify",IF(U406="MODERATE","Listing Suspended","Immediate Removal")))</f>
        <v>Seller Notify</v>
      </c>
    </row>
    <row r="407" customFormat="false" ht="18" hidden="false" customHeight="true" outlineLevel="0" collapsed="false">
      <c r="A407" s="19" t="s">
        <v>6484</v>
      </c>
      <c r="B407" s="19" t="s">
        <v>2936</v>
      </c>
      <c r="C407" s="19" t="s">
        <v>113</v>
      </c>
      <c r="D407" s="19" t="s">
        <v>114</v>
      </c>
      <c r="E407" s="19" t="s">
        <v>50</v>
      </c>
      <c r="F407" s="19" t="s">
        <v>127</v>
      </c>
      <c r="G407" s="19" t="s">
        <v>2938</v>
      </c>
      <c r="H407" s="19" t="s">
        <v>2939</v>
      </c>
      <c r="I407" s="19" t="s">
        <v>2940</v>
      </c>
      <c r="J407" s="19" t="n">
        <v>1212.03</v>
      </c>
      <c r="K407" s="19" t="s">
        <v>595</v>
      </c>
      <c r="L407" s="19"/>
      <c r="M407" s="20" t="str">
        <f aca="false">IF(G407&lt;&gt;"","PASS","FAIL - Missing UPC")</f>
        <v>PASS</v>
      </c>
      <c r="N407" s="20" t="str">
        <f aca="false">IF(AND(G407&lt;&gt;"",H407&lt;&gt;""),IF("0"&amp;G407=H407,"PASS","FAIL - GTIN Mismatch"),"SKIP")</f>
        <v>PASS</v>
      </c>
      <c r="O407" s="20" t="str">
        <f aca="false">IF(I407="","FAIL - No Title",IF(LEN(I407)&lt;=126,"PASS","FAIL - Title &gt;"&amp;126&amp;" chars"))</f>
        <v>PASS</v>
      </c>
      <c r="P407" s="20" t="str">
        <f aca="false">IF(J407&gt;0,IF(J407&lt;5000,"PASS","FLAG - Review Price"),"FAIL - Zero Price")</f>
        <v>PASS</v>
      </c>
      <c r="Q407" s="20" t="str">
        <f aca="false">IF('Raw Catalog'!P405&lt;&gt;"","PASS","FAIL - No Image")</f>
        <v>PASS</v>
      </c>
      <c r="R407" s="20" t="str">
        <f aca="false">IF(F407&lt;&gt;"","PASS","FAIL - No Brand")</f>
        <v>PASS</v>
      </c>
      <c r="S407" s="20" t="str">
        <f aca="true">IF(K407="","FAIL - No Date",IF(TODAY()-DATEVALUE(K407)&lt;=180,"PASS","FLAG - Stale &gt;180d"))</f>
        <v>FLAG - Stale &gt;180d</v>
      </c>
      <c r="T407" s="20" t="n">
        <f aca="false">COUNTIF(M407:S407,"FAIL*")+COUNTIF(M407:S407,"FLAG*")</f>
        <v>1</v>
      </c>
      <c r="U407" s="20" t="str">
        <f aca="false">IF(T407=0,"CLEAN",IF(T407=1,"MINOR",IF(T407&lt;=3,"MODERATE","CRITICAL")))</f>
        <v>MINOR</v>
      </c>
      <c r="V407" s="20" t="str">
        <f aca="false">IF(U407="CLEAN","None",IF(U407="MINOR","Seller Notify",IF(U407="MODERATE","Listing Suspended","Immediate Removal")))</f>
        <v>Seller Notify</v>
      </c>
    </row>
    <row r="408" customFormat="false" ht="18" hidden="false" customHeight="true" outlineLevel="0" collapsed="false">
      <c r="A408" s="19" t="s">
        <v>6485</v>
      </c>
      <c r="B408" s="19" t="s">
        <v>2941</v>
      </c>
      <c r="C408" s="19" t="s">
        <v>48</v>
      </c>
      <c r="D408" s="19" t="s">
        <v>49</v>
      </c>
      <c r="E408" s="19" t="s">
        <v>65</v>
      </c>
      <c r="F408" s="19" t="s">
        <v>390</v>
      </c>
      <c r="G408" s="19" t="s">
        <v>2943</v>
      </c>
      <c r="H408" s="19" t="s">
        <v>2944</v>
      </c>
      <c r="I408" s="19" t="s">
        <v>1750</v>
      </c>
      <c r="J408" s="19" t="n">
        <v>62.67</v>
      </c>
      <c r="K408" s="19" t="s">
        <v>2945</v>
      </c>
      <c r="L408" s="19"/>
      <c r="M408" s="20" t="str">
        <f aca="false">IF(G408&lt;&gt;"","PASS","FAIL - Missing UPC")</f>
        <v>PASS</v>
      </c>
      <c r="N408" s="20" t="str">
        <f aca="false">IF(AND(G408&lt;&gt;"",H408&lt;&gt;""),IF("0"&amp;G408=H408,"PASS","FAIL - GTIN Mismatch"),"SKIP")</f>
        <v>PASS</v>
      </c>
      <c r="O408" s="20" t="str">
        <f aca="false">IF(I408="","FAIL - No Title",IF(LEN(I408)&lt;=126,"PASS","FAIL - Title &gt;"&amp;126&amp;" chars"))</f>
        <v>PASS</v>
      </c>
      <c r="P408" s="20" t="str">
        <f aca="false">IF(J408&gt;0,IF(J408&lt;5000,"PASS","FLAG - Review Price"),"FAIL - Zero Price")</f>
        <v>PASS</v>
      </c>
      <c r="Q408" s="20" t="str">
        <f aca="false">IF('Raw Catalog'!P406&lt;&gt;"","PASS","FAIL - No Image")</f>
        <v>PASS</v>
      </c>
      <c r="R408" s="20" t="str">
        <f aca="false">IF(F408&lt;&gt;"","PASS","FAIL - No Brand")</f>
        <v>PASS</v>
      </c>
      <c r="S408" s="20" t="str">
        <f aca="true">IF(K408="","FAIL - No Date",IF(TODAY()-DATEVALUE(K408)&lt;=180,"PASS","FLAG - Stale &gt;180d"))</f>
        <v>FLAG - Stale &gt;180d</v>
      </c>
      <c r="T408" s="20" t="n">
        <f aca="false">COUNTIF(M408:S408,"FAIL*")+COUNTIF(M408:S408,"FLAG*")</f>
        <v>1</v>
      </c>
      <c r="U408" s="20" t="str">
        <f aca="false">IF(T408=0,"CLEAN",IF(T408=1,"MINOR",IF(T408&lt;=3,"MODERATE","CRITICAL")))</f>
        <v>MINOR</v>
      </c>
      <c r="V408" s="20" t="str">
        <f aca="false">IF(U408="CLEAN","None",IF(U408="MINOR","Seller Notify",IF(U408="MODERATE","Listing Suspended","Immediate Removal")))</f>
        <v>Seller Notify</v>
      </c>
    </row>
    <row r="409" customFormat="false" ht="18" hidden="false" customHeight="true" outlineLevel="0" collapsed="false">
      <c r="A409" s="19" t="s">
        <v>6486</v>
      </c>
      <c r="B409" s="19" t="s">
        <v>2946</v>
      </c>
      <c r="C409" s="19" t="s">
        <v>113</v>
      </c>
      <c r="D409" s="19" t="s">
        <v>114</v>
      </c>
      <c r="E409" s="19" t="s">
        <v>50</v>
      </c>
      <c r="F409" s="19" t="s">
        <v>51</v>
      </c>
      <c r="G409" s="19" t="s">
        <v>2948</v>
      </c>
      <c r="H409" s="19" t="s">
        <v>2949</v>
      </c>
      <c r="I409" s="19" t="s">
        <v>269</v>
      </c>
      <c r="J409" s="19" t="n">
        <v>1175.02</v>
      </c>
      <c r="K409" s="19" t="s">
        <v>2950</v>
      </c>
      <c r="L409" s="19"/>
      <c r="M409" s="20" t="str">
        <f aca="false">IF(G409&lt;&gt;"","PASS","FAIL - Missing UPC")</f>
        <v>PASS</v>
      </c>
      <c r="N409" s="20" t="str">
        <f aca="false">IF(AND(G409&lt;&gt;"",H409&lt;&gt;""),IF("0"&amp;G409=H409,"PASS","FAIL - GTIN Mismatch"),"SKIP")</f>
        <v>PASS</v>
      </c>
      <c r="O409" s="20" t="str">
        <f aca="false">IF(I409="","FAIL - No Title",IF(LEN(I409)&lt;=126,"PASS","FAIL - Title &gt;"&amp;126&amp;" chars"))</f>
        <v>PASS</v>
      </c>
      <c r="P409" s="20" t="str">
        <f aca="false">IF(J409&gt;0,IF(J409&lt;5000,"PASS","FLAG - Review Price"),"FAIL - Zero Price")</f>
        <v>PASS</v>
      </c>
      <c r="Q409" s="20" t="str">
        <f aca="false">IF('Raw Catalog'!P407&lt;&gt;"","PASS","FAIL - No Image")</f>
        <v>PASS</v>
      </c>
      <c r="R409" s="20" t="str">
        <f aca="false">IF(F409&lt;&gt;"","PASS","FAIL - No Brand")</f>
        <v>PASS</v>
      </c>
      <c r="S409" s="20" t="str">
        <f aca="true">IF(K409="","FAIL - No Date",IF(TODAY()-DATEVALUE(K409)&lt;=180,"PASS","FLAG - Stale &gt;180d"))</f>
        <v>FLAG - Stale &gt;180d</v>
      </c>
      <c r="T409" s="20" t="n">
        <f aca="false">COUNTIF(M409:S409,"FAIL*")+COUNTIF(M409:S409,"FLAG*")</f>
        <v>1</v>
      </c>
      <c r="U409" s="20" t="str">
        <f aca="false">IF(T409=0,"CLEAN",IF(T409=1,"MINOR",IF(T409&lt;=3,"MODERATE","CRITICAL")))</f>
        <v>MINOR</v>
      </c>
      <c r="V409" s="20" t="str">
        <f aca="false">IF(U409="CLEAN","None",IF(U409="MINOR","Seller Notify",IF(U409="MODERATE","Listing Suspended","Immediate Removal")))</f>
        <v>Seller Notify</v>
      </c>
    </row>
    <row r="410" customFormat="false" ht="18" hidden="false" customHeight="true" outlineLevel="0" collapsed="false">
      <c r="A410" s="19" t="s">
        <v>6487</v>
      </c>
      <c r="B410" s="19" t="s">
        <v>2951</v>
      </c>
      <c r="C410" s="19" t="s">
        <v>125</v>
      </c>
      <c r="D410" s="19" t="s">
        <v>126</v>
      </c>
      <c r="E410" s="19" t="s">
        <v>91</v>
      </c>
      <c r="F410" s="19" t="s">
        <v>185</v>
      </c>
      <c r="G410" s="19" t="s">
        <v>2953</v>
      </c>
      <c r="H410" s="19" t="s">
        <v>2954</v>
      </c>
      <c r="I410" s="19"/>
      <c r="J410" s="19" t="n">
        <v>1674.13</v>
      </c>
      <c r="K410" s="19" t="s">
        <v>687</v>
      </c>
      <c r="L410" s="21" t="s">
        <v>1048</v>
      </c>
      <c r="M410" s="20" t="str">
        <f aca="false">IF(G410&lt;&gt;"","PASS","FAIL - Missing UPC")</f>
        <v>PASS</v>
      </c>
      <c r="N410" s="20" t="str">
        <f aca="false">IF(AND(G410&lt;&gt;"",H410&lt;&gt;""),IF("0"&amp;G410=H410,"PASS","FAIL - GTIN Mismatch"),"SKIP")</f>
        <v>PASS</v>
      </c>
      <c r="O410" s="20" t="str">
        <f aca="false">IF(I410="","FAIL - No Title",IF(LEN(I410)&lt;=126,"PASS","FAIL - Title &gt;"&amp;126&amp;" chars"))</f>
        <v>FAIL - No Title</v>
      </c>
      <c r="P410" s="20" t="str">
        <f aca="false">IF(J410&gt;0,IF(J410&lt;5000,"PASS","FLAG - Review Price"),"FAIL - Zero Price")</f>
        <v>PASS</v>
      </c>
      <c r="Q410" s="20" t="str">
        <f aca="false">IF('Raw Catalog'!P408&lt;&gt;"","PASS","FAIL - No Image")</f>
        <v>PASS</v>
      </c>
      <c r="R410" s="20" t="str">
        <f aca="false">IF(F410&lt;&gt;"","PASS","FAIL - No Brand")</f>
        <v>PASS</v>
      </c>
      <c r="S410" s="20" t="str">
        <f aca="true">IF(K410="","FAIL - No Date",IF(TODAY()-DATEVALUE(K410)&lt;=180,"PASS","FLAG - Stale &gt;180d"))</f>
        <v>FLAG - Stale &gt;180d</v>
      </c>
      <c r="T410" s="20" t="n">
        <f aca="false">COUNTIF(M410:S410,"FAIL*")+COUNTIF(M410:S410,"FLAG*")</f>
        <v>2</v>
      </c>
      <c r="U410" s="20" t="str">
        <f aca="false">IF(T410=0,"CLEAN",IF(T410=1,"MINOR",IF(T410&lt;=3,"MODERATE","CRITICAL")))</f>
        <v>MODERATE</v>
      </c>
      <c r="V410" s="20" t="str">
        <f aca="false">IF(U410="CLEAN","None",IF(U410="MINOR","Seller Notify",IF(U410="MODERATE","Listing Suspended","Immediate Removal")))</f>
        <v>Listing Suspended</v>
      </c>
    </row>
    <row r="411" customFormat="false" ht="18" hidden="false" customHeight="true" outlineLevel="0" collapsed="false">
      <c r="A411" s="19" t="s">
        <v>6488</v>
      </c>
      <c r="B411" s="19" t="s">
        <v>2956</v>
      </c>
      <c r="C411" s="19" t="s">
        <v>159</v>
      </c>
      <c r="D411" s="19" t="s">
        <v>160</v>
      </c>
      <c r="E411" s="19" t="s">
        <v>91</v>
      </c>
      <c r="F411" s="19" t="s">
        <v>587</v>
      </c>
      <c r="G411" s="19" t="s">
        <v>2958</v>
      </c>
      <c r="H411" s="19" t="s">
        <v>2959</v>
      </c>
      <c r="I411" s="19" t="s">
        <v>2960</v>
      </c>
      <c r="J411" s="19" t="n">
        <v>3226.87</v>
      </c>
      <c r="K411" s="19" t="s">
        <v>2963</v>
      </c>
      <c r="L411" s="19"/>
      <c r="M411" s="20" t="str">
        <f aca="false">IF(G411&lt;&gt;"","PASS","FAIL - Missing UPC")</f>
        <v>PASS</v>
      </c>
      <c r="N411" s="20" t="str">
        <f aca="false">IF(AND(G411&lt;&gt;"",H411&lt;&gt;""),IF("0"&amp;G411=H411,"PASS","FAIL - GTIN Mismatch"),"SKIP")</f>
        <v>PASS</v>
      </c>
      <c r="O411" s="20" t="str">
        <f aca="false">IF(I411="","FAIL - No Title",IF(LEN(I411)&lt;=126,"PASS","FAIL - Title &gt;"&amp;126&amp;" chars"))</f>
        <v>PASS</v>
      </c>
      <c r="P411" s="20" t="str">
        <f aca="false">IF(J411&gt;0,IF(J411&lt;5000,"PASS","FLAG - Review Price"),"FAIL - Zero Price")</f>
        <v>PASS</v>
      </c>
      <c r="Q411" s="20" t="str">
        <f aca="false">IF('Raw Catalog'!P409&lt;&gt;"","PASS","FAIL - No Image")</f>
        <v>PASS</v>
      </c>
      <c r="R411" s="20" t="str">
        <f aca="false">IF(F411&lt;&gt;"","PASS","FAIL - No Brand")</f>
        <v>PASS</v>
      </c>
      <c r="S411" s="20" t="str">
        <f aca="true">IF(K411="","FAIL - No Date",IF(TODAY()-DATEVALUE(K411)&lt;=180,"PASS","FLAG - Stale &gt;180d"))</f>
        <v>FLAG - Stale &gt;180d</v>
      </c>
      <c r="T411" s="20" t="n">
        <f aca="false">COUNTIF(M411:S411,"FAIL*")+COUNTIF(M411:S411,"FLAG*")</f>
        <v>1</v>
      </c>
      <c r="U411" s="20" t="str">
        <f aca="false">IF(T411=0,"CLEAN",IF(T411=1,"MINOR",IF(T411&lt;=3,"MODERATE","CRITICAL")))</f>
        <v>MINOR</v>
      </c>
      <c r="V411" s="20" t="str">
        <f aca="false">IF(U411="CLEAN","None",IF(U411="MINOR","Seller Notify",IF(U411="MODERATE","Listing Suspended","Immediate Removal")))</f>
        <v>Seller Notify</v>
      </c>
    </row>
    <row r="412" customFormat="false" ht="18" hidden="false" customHeight="true" outlineLevel="0" collapsed="false">
      <c r="A412" s="19" t="s">
        <v>6489</v>
      </c>
      <c r="B412" s="19" t="s">
        <v>2964</v>
      </c>
      <c r="C412" s="19" t="s">
        <v>63</v>
      </c>
      <c r="D412" s="19" t="s">
        <v>64</v>
      </c>
      <c r="E412" s="19" t="s">
        <v>161</v>
      </c>
      <c r="F412" s="19" t="s">
        <v>429</v>
      </c>
      <c r="G412" s="19" t="s">
        <v>2966</v>
      </c>
      <c r="H412" s="19" t="s">
        <v>2967</v>
      </c>
      <c r="I412" s="19" t="s">
        <v>2968</v>
      </c>
      <c r="J412" s="19" t="n">
        <v>229.03</v>
      </c>
      <c r="K412" s="19" t="s">
        <v>1116</v>
      </c>
      <c r="L412" s="19"/>
      <c r="M412" s="20" t="str">
        <f aca="false">IF(G412&lt;&gt;"","PASS","FAIL - Missing UPC")</f>
        <v>PASS</v>
      </c>
      <c r="N412" s="20" t="str">
        <f aca="false">IF(AND(G412&lt;&gt;"",H412&lt;&gt;""),IF("0"&amp;G412=H412,"PASS","FAIL - GTIN Mismatch"),"SKIP")</f>
        <v>PASS</v>
      </c>
      <c r="O412" s="20" t="str">
        <f aca="false">IF(I412="","FAIL - No Title",IF(LEN(I412)&lt;=126,"PASS","FAIL - Title &gt;"&amp;126&amp;" chars"))</f>
        <v>PASS</v>
      </c>
      <c r="P412" s="20" t="str">
        <f aca="false">IF(J412&gt;0,IF(J412&lt;5000,"PASS","FLAG - Review Price"),"FAIL - Zero Price")</f>
        <v>PASS</v>
      </c>
      <c r="Q412" s="20" t="str">
        <f aca="false">IF('Raw Catalog'!P410&lt;&gt;"","PASS","FAIL - No Image")</f>
        <v>PASS</v>
      </c>
      <c r="R412" s="20" t="str">
        <f aca="false">IF(F412&lt;&gt;"","PASS","FAIL - No Brand")</f>
        <v>PASS</v>
      </c>
      <c r="S412" s="20" t="str">
        <f aca="true">IF(K412="","FAIL - No Date",IF(TODAY()-DATEVALUE(K412)&lt;=180,"PASS","FLAG - Stale &gt;180d"))</f>
        <v>FLAG - Stale &gt;180d</v>
      </c>
      <c r="T412" s="20" t="n">
        <f aca="false">COUNTIF(M412:S412,"FAIL*")+COUNTIF(M412:S412,"FLAG*")</f>
        <v>1</v>
      </c>
      <c r="U412" s="20" t="str">
        <f aca="false">IF(T412=0,"CLEAN",IF(T412=1,"MINOR",IF(T412&lt;=3,"MODERATE","CRITICAL")))</f>
        <v>MINOR</v>
      </c>
      <c r="V412" s="20" t="str">
        <f aca="false">IF(U412="CLEAN","None",IF(U412="MINOR","Seller Notify",IF(U412="MODERATE","Listing Suspended","Immediate Removal")))</f>
        <v>Seller Notify</v>
      </c>
    </row>
    <row r="413" customFormat="false" ht="18" hidden="false" customHeight="true" outlineLevel="0" collapsed="false">
      <c r="A413" s="19" t="s">
        <v>6490</v>
      </c>
      <c r="B413" s="19" t="s">
        <v>2969</v>
      </c>
      <c r="C413" s="19" t="s">
        <v>63</v>
      </c>
      <c r="D413" s="19" t="s">
        <v>64</v>
      </c>
      <c r="E413" s="19" t="s">
        <v>50</v>
      </c>
      <c r="F413" s="19" t="s">
        <v>127</v>
      </c>
      <c r="G413" s="19" t="s">
        <v>2971</v>
      </c>
      <c r="H413" s="19" t="s">
        <v>2972</v>
      </c>
      <c r="I413" s="19" t="s">
        <v>2973</v>
      </c>
      <c r="J413" s="19" t="n">
        <v>831.04</v>
      </c>
      <c r="K413" s="19" t="s">
        <v>1459</v>
      </c>
      <c r="L413" s="19"/>
      <c r="M413" s="20" t="str">
        <f aca="false">IF(G413&lt;&gt;"","PASS","FAIL - Missing UPC")</f>
        <v>PASS</v>
      </c>
      <c r="N413" s="20" t="str">
        <f aca="false">IF(AND(G413&lt;&gt;"",H413&lt;&gt;""),IF("0"&amp;G413=H413,"PASS","FAIL - GTIN Mismatch"),"SKIP")</f>
        <v>PASS</v>
      </c>
      <c r="O413" s="20" t="str">
        <f aca="false">IF(I413="","FAIL - No Title",IF(LEN(I413)&lt;=126,"PASS","FAIL - Title &gt;"&amp;126&amp;" chars"))</f>
        <v>PASS</v>
      </c>
      <c r="P413" s="20" t="str">
        <f aca="false">IF(J413&gt;0,IF(J413&lt;5000,"PASS","FLAG - Review Price"),"FAIL - Zero Price")</f>
        <v>PASS</v>
      </c>
      <c r="Q413" s="20" t="str">
        <f aca="false">IF('Raw Catalog'!P411&lt;&gt;"","PASS","FAIL - No Image")</f>
        <v>PASS</v>
      </c>
      <c r="R413" s="20" t="str">
        <f aca="false">IF(F413&lt;&gt;"","PASS","FAIL - No Brand")</f>
        <v>PASS</v>
      </c>
      <c r="S413" s="20" t="str">
        <f aca="true">IF(K413="","FAIL - No Date",IF(TODAY()-DATEVALUE(K413)&lt;=180,"PASS","FLAG - Stale &gt;180d"))</f>
        <v>FLAG - Stale &gt;180d</v>
      </c>
      <c r="T413" s="20" t="n">
        <f aca="false">COUNTIF(M413:S413,"FAIL*")+COUNTIF(M413:S413,"FLAG*")</f>
        <v>1</v>
      </c>
      <c r="U413" s="20" t="str">
        <f aca="false">IF(T413=0,"CLEAN",IF(T413=1,"MINOR",IF(T413&lt;=3,"MODERATE","CRITICAL")))</f>
        <v>MINOR</v>
      </c>
      <c r="V413" s="20" t="str">
        <f aca="false">IF(U413="CLEAN","None",IF(U413="MINOR","Seller Notify",IF(U413="MODERATE","Listing Suspended","Immediate Removal")))</f>
        <v>Seller Notify</v>
      </c>
    </row>
    <row r="414" customFormat="false" ht="18" hidden="false" customHeight="true" outlineLevel="0" collapsed="false">
      <c r="A414" s="19" t="s">
        <v>6491</v>
      </c>
      <c r="B414" s="19" t="s">
        <v>2975</v>
      </c>
      <c r="C414" s="19" t="s">
        <v>63</v>
      </c>
      <c r="D414" s="19" t="s">
        <v>64</v>
      </c>
      <c r="E414" s="19" t="s">
        <v>79</v>
      </c>
      <c r="F414" s="19" t="s">
        <v>465</v>
      </c>
      <c r="G414" s="19" t="s">
        <v>2977</v>
      </c>
      <c r="H414" s="19" t="s">
        <v>2978</v>
      </c>
      <c r="I414" s="19" t="s">
        <v>2979</v>
      </c>
      <c r="J414" s="19" t="n">
        <v>2405.99</v>
      </c>
      <c r="K414" s="19" t="s">
        <v>1860</v>
      </c>
      <c r="L414" s="19"/>
      <c r="M414" s="20" t="str">
        <f aca="false">IF(G414&lt;&gt;"","PASS","FAIL - Missing UPC")</f>
        <v>PASS</v>
      </c>
      <c r="N414" s="20" t="str">
        <f aca="false">IF(AND(G414&lt;&gt;"",H414&lt;&gt;""),IF("0"&amp;G414=H414,"PASS","FAIL - GTIN Mismatch"),"SKIP")</f>
        <v>PASS</v>
      </c>
      <c r="O414" s="20" t="str">
        <f aca="false">IF(I414="","FAIL - No Title",IF(LEN(I414)&lt;=126,"PASS","FAIL - Title &gt;"&amp;126&amp;" chars"))</f>
        <v>PASS</v>
      </c>
      <c r="P414" s="20" t="str">
        <f aca="false">IF(J414&gt;0,IF(J414&lt;5000,"PASS","FLAG - Review Price"),"FAIL - Zero Price")</f>
        <v>PASS</v>
      </c>
      <c r="Q414" s="20" t="str">
        <f aca="false">IF('Raw Catalog'!P412&lt;&gt;"","PASS","FAIL - No Image")</f>
        <v>PASS</v>
      </c>
      <c r="R414" s="20" t="str">
        <f aca="false">IF(F414&lt;&gt;"","PASS","FAIL - No Brand")</f>
        <v>PASS</v>
      </c>
      <c r="S414" s="20" t="str">
        <f aca="true">IF(K414="","FAIL - No Date",IF(TODAY()-DATEVALUE(K414)&lt;=180,"PASS","FLAG - Stale &gt;180d"))</f>
        <v>FLAG - Stale &gt;180d</v>
      </c>
      <c r="T414" s="20" t="n">
        <f aca="false">COUNTIF(M414:S414,"FAIL*")+COUNTIF(M414:S414,"FLAG*")</f>
        <v>1</v>
      </c>
      <c r="U414" s="20" t="str">
        <f aca="false">IF(T414=0,"CLEAN",IF(T414=1,"MINOR",IF(T414&lt;=3,"MODERATE","CRITICAL")))</f>
        <v>MINOR</v>
      </c>
      <c r="V414" s="20" t="str">
        <f aca="false">IF(U414="CLEAN","None",IF(U414="MINOR","Seller Notify",IF(U414="MODERATE","Listing Suspended","Immediate Removal")))</f>
        <v>Seller Notify</v>
      </c>
    </row>
    <row r="415" customFormat="false" ht="18" hidden="false" customHeight="true" outlineLevel="0" collapsed="false">
      <c r="A415" s="19" t="s">
        <v>6492</v>
      </c>
      <c r="B415" s="19" t="s">
        <v>2980</v>
      </c>
      <c r="C415" s="19" t="s">
        <v>125</v>
      </c>
      <c r="D415" s="19" t="s">
        <v>126</v>
      </c>
      <c r="E415" s="19" t="s">
        <v>91</v>
      </c>
      <c r="F415" s="19" t="s">
        <v>92</v>
      </c>
      <c r="G415" s="19" t="s">
        <v>2982</v>
      </c>
      <c r="H415" s="19" t="s">
        <v>2983</v>
      </c>
      <c r="I415" s="19" t="s">
        <v>2984</v>
      </c>
      <c r="J415" s="19" t="n">
        <v>2390.18</v>
      </c>
      <c r="K415" s="19" t="s">
        <v>1772</v>
      </c>
      <c r="L415" s="19"/>
      <c r="M415" s="20" t="str">
        <f aca="false">IF(G415&lt;&gt;"","PASS","FAIL - Missing UPC")</f>
        <v>PASS</v>
      </c>
      <c r="N415" s="20" t="str">
        <f aca="false">IF(AND(G415&lt;&gt;"",H415&lt;&gt;""),IF("0"&amp;G415=H415,"PASS","FAIL - GTIN Mismatch"),"SKIP")</f>
        <v>PASS</v>
      </c>
      <c r="O415" s="20" t="str">
        <f aca="false">IF(I415="","FAIL - No Title",IF(LEN(I415)&lt;=126,"PASS","FAIL - Title &gt;"&amp;126&amp;" chars"))</f>
        <v>PASS</v>
      </c>
      <c r="P415" s="20" t="str">
        <f aca="false">IF(J415&gt;0,IF(J415&lt;5000,"PASS","FLAG - Review Price"),"FAIL - Zero Price")</f>
        <v>PASS</v>
      </c>
      <c r="Q415" s="20" t="str">
        <f aca="false">IF('Raw Catalog'!P413&lt;&gt;"","PASS","FAIL - No Image")</f>
        <v>PASS</v>
      </c>
      <c r="R415" s="20" t="str">
        <f aca="false">IF(F415&lt;&gt;"","PASS","FAIL - No Brand")</f>
        <v>PASS</v>
      </c>
      <c r="S415" s="20" t="str">
        <f aca="true">IF(K415="","FAIL - No Date",IF(TODAY()-DATEVALUE(K415)&lt;=180,"PASS","FLAG - Stale &gt;180d"))</f>
        <v>FLAG - Stale &gt;180d</v>
      </c>
      <c r="T415" s="20" t="n">
        <f aca="false">COUNTIF(M415:S415,"FAIL*")+COUNTIF(M415:S415,"FLAG*")</f>
        <v>1</v>
      </c>
      <c r="U415" s="20" t="str">
        <f aca="false">IF(T415=0,"CLEAN",IF(T415=1,"MINOR",IF(T415&lt;=3,"MODERATE","CRITICAL")))</f>
        <v>MINOR</v>
      </c>
      <c r="V415" s="20" t="str">
        <f aca="false">IF(U415="CLEAN","None",IF(U415="MINOR","Seller Notify",IF(U415="MODERATE","Listing Suspended","Immediate Removal")))</f>
        <v>Seller Notify</v>
      </c>
    </row>
    <row r="416" customFormat="false" ht="18" hidden="false" customHeight="true" outlineLevel="0" collapsed="false">
      <c r="A416" s="19" t="s">
        <v>6493</v>
      </c>
      <c r="B416" s="19" t="s">
        <v>2985</v>
      </c>
      <c r="C416" s="19" t="s">
        <v>77</v>
      </c>
      <c r="D416" s="19" t="s">
        <v>78</v>
      </c>
      <c r="E416" s="19" t="s">
        <v>50</v>
      </c>
      <c r="F416" s="19" t="s">
        <v>138</v>
      </c>
      <c r="G416" s="19" t="s">
        <v>2987</v>
      </c>
      <c r="H416" s="19" t="s">
        <v>2988</v>
      </c>
      <c r="I416" s="19" t="s">
        <v>2989</v>
      </c>
      <c r="J416" s="19" t="n">
        <v>1233.86</v>
      </c>
      <c r="K416" s="19" t="s">
        <v>2634</v>
      </c>
      <c r="L416" s="19"/>
      <c r="M416" s="20" t="str">
        <f aca="false">IF(G416&lt;&gt;"","PASS","FAIL - Missing UPC")</f>
        <v>PASS</v>
      </c>
      <c r="N416" s="20" t="str">
        <f aca="false">IF(AND(G416&lt;&gt;"",H416&lt;&gt;""),IF("0"&amp;G416=H416,"PASS","FAIL - GTIN Mismatch"),"SKIP")</f>
        <v>PASS</v>
      </c>
      <c r="O416" s="20" t="str">
        <f aca="false">IF(I416="","FAIL - No Title",IF(LEN(I416)&lt;=126,"PASS","FAIL - Title &gt;"&amp;126&amp;" chars"))</f>
        <v>PASS</v>
      </c>
      <c r="P416" s="20" t="str">
        <f aca="false">IF(J416&gt;0,IF(J416&lt;5000,"PASS","FLAG - Review Price"),"FAIL - Zero Price")</f>
        <v>PASS</v>
      </c>
      <c r="Q416" s="20" t="str">
        <f aca="false">IF('Raw Catalog'!P414&lt;&gt;"","PASS","FAIL - No Image")</f>
        <v>PASS</v>
      </c>
      <c r="R416" s="20" t="str">
        <f aca="false">IF(F416&lt;&gt;"","PASS","FAIL - No Brand")</f>
        <v>PASS</v>
      </c>
      <c r="S416" s="20" t="str">
        <f aca="true">IF(K416="","FAIL - No Date",IF(TODAY()-DATEVALUE(K416)&lt;=180,"PASS","FLAG - Stale &gt;180d"))</f>
        <v>FLAG - Stale &gt;180d</v>
      </c>
      <c r="T416" s="20" t="n">
        <f aca="false">COUNTIF(M416:S416,"FAIL*")+COUNTIF(M416:S416,"FLAG*")</f>
        <v>1</v>
      </c>
      <c r="U416" s="20" t="str">
        <f aca="false">IF(T416=0,"CLEAN",IF(T416=1,"MINOR",IF(T416&lt;=3,"MODERATE","CRITICAL")))</f>
        <v>MINOR</v>
      </c>
      <c r="V416" s="20" t="str">
        <f aca="false">IF(U416="CLEAN","None",IF(U416="MINOR","Seller Notify",IF(U416="MODERATE","Listing Suspended","Immediate Removal")))</f>
        <v>Seller Notify</v>
      </c>
    </row>
    <row r="417" customFormat="false" ht="18" hidden="false" customHeight="true" outlineLevel="0" collapsed="false">
      <c r="A417" s="19" t="s">
        <v>6494</v>
      </c>
      <c r="B417" s="19" t="s">
        <v>2992</v>
      </c>
      <c r="C417" s="19" t="s">
        <v>113</v>
      </c>
      <c r="D417" s="19" t="s">
        <v>114</v>
      </c>
      <c r="E417" s="19" t="s">
        <v>91</v>
      </c>
      <c r="F417" s="19" t="s">
        <v>419</v>
      </c>
      <c r="G417" s="19" t="s">
        <v>2994</v>
      </c>
      <c r="H417" s="19" t="s">
        <v>2995</v>
      </c>
      <c r="I417" s="19" t="s">
        <v>2996</v>
      </c>
      <c r="J417" s="19" t="n">
        <v>279.37</v>
      </c>
      <c r="K417" s="19" t="s">
        <v>2998</v>
      </c>
      <c r="L417" s="19"/>
      <c r="M417" s="20" t="str">
        <f aca="false">IF(G417&lt;&gt;"","PASS","FAIL - Missing UPC")</f>
        <v>PASS</v>
      </c>
      <c r="N417" s="20" t="str">
        <f aca="false">IF(AND(G417&lt;&gt;"",H417&lt;&gt;""),IF("0"&amp;G417=H417,"PASS","FAIL - GTIN Mismatch"),"SKIP")</f>
        <v>PASS</v>
      </c>
      <c r="O417" s="20" t="str">
        <f aca="false">IF(I417="","FAIL - No Title",IF(LEN(I417)&lt;=126,"PASS","FAIL - Title &gt;"&amp;126&amp;" chars"))</f>
        <v>PASS</v>
      </c>
      <c r="P417" s="20" t="str">
        <f aca="false">IF(J417&gt;0,IF(J417&lt;5000,"PASS","FLAG - Review Price"),"FAIL - Zero Price")</f>
        <v>PASS</v>
      </c>
      <c r="Q417" s="20" t="str">
        <f aca="false">IF('Raw Catalog'!P415&lt;&gt;"","PASS","FAIL - No Image")</f>
        <v>PASS</v>
      </c>
      <c r="R417" s="20" t="str">
        <f aca="false">IF(F417&lt;&gt;"","PASS","FAIL - No Brand")</f>
        <v>PASS</v>
      </c>
      <c r="S417" s="20" t="str">
        <f aca="true">IF(K417="","FAIL - No Date",IF(TODAY()-DATEVALUE(K417)&lt;=180,"PASS","FLAG - Stale &gt;180d"))</f>
        <v>FLAG - Stale &gt;180d</v>
      </c>
      <c r="T417" s="20" t="n">
        <f aca="false">COUNTIF(M417:S417,"FAIL*")+COUNTIF(M417:S417,"FLAG*")</f>
        <v>1</v>
      </c>
      <c r="U417" s="20" t="str">
        <f aca="false">IF(T417=0,"CLEAN",IF(T417=1,"MINOR",IF(T417&lt;=3,"MODERATE","CRITICAL")))</f>
        <v>MINOR</v>
      </c>
      <c r="V417" s="20" t="str">
        <f aca="false">IF(U417="CLEAN","None",IF(U417="MINOR","Seller Notify",IF(U417="MODERATE","Listing Suspended","Immediate Removal")))</f>
        <v>Seller Notify</v>
      </c>
    </row>
    <row r="418" customFormat="false" ht="18" hidden="false" customHeight="true" outlineLevel="0" collapsed="false">
      <c r="A418" s="19" t="s">
        <v>6495</v>
      </c>
      <c r="B418" s="19" t="s">
        <v>2999</v>
      </c>
      <c r="C418" s="19" t="s">
        <v>77</v>
      </c>
      <c r="D418" s="19" t="s">
        <v>78</v>
      </c>
      <c r="E418" s="19" t="s">
        <v>50</v>
      </c>
      <c r="F418" s="19" t="s">
        <v>127</v>
      </c>
      <c r="G418" s="19" t="s">
        <v>3001</v>
      </c>
      <c r="H418" s="19" t="s">
        <v>3002</v>
      </c>
      <c r="I418" s="19" t="s">
        <v>3003</v>
      </c>
      <c r="J418" s="19" t="n">
        <v>1159.92</v>
      </c>
      <c r="K418" s="19" t="s">
        <v>3005</v>
      </c>
      <c r="L418" s="19"/>
      <c r="M418" s="20" t="str">
        <f aca="false">IF(G418&lt;&gt;"","PASS","FAIL - Missing UPC")</f>
        <v>PASS</v>
      </c>
      <c r="N418" s="20" t="str">
        <f aca="false">IF(AND(G418&lt;&gt;"",H418&lt;&gt;""),IF("0"&amp;G418=H418,"PASS","FAIL - GTIN Mismatch"),"SKIP")</f>
        <v>PASS</v>
      </c>
      <c r="O418" s="20" t="str">
        <f aca="false">IF(I418="","FAIL - No Title",IF(LEN(I418)&lt;=126,"PASS","FAIL - Title &gt;"&amp;126&amp;" chars"))</f>
        <v>PASS</v>
      </c>
      <c r="P418" s="20" t="str">
        <f aca="false">IF(J418&gt;0,IF(J418&lt;5000,"PASS","FLAG - Review Price"),"FAIL - Zero Price")</f>
        <v>PASS</v>
      </c>
      <c r="Q418" s="20" t="str">
        <f aca="false">IF('Raw Catalog'!P416&lt;&gt;"","PASS","FAIL - No Image")</f>
        <v>PASS</v>
      </c>
      <c r="R418" s="20" t="str">
        <f aca="false">IF(F418&lt;&gt;"","PASS","FAIL - No Brand")</f>
        <v>PASS</v>
      </c>
      <c r="S418" s="20" t="str">
        <f aca="true">IF(K418="","FAIL - No Date",IF(TODAY()-DATEVALUE(K418)&lt;=180,"PASS","FLAG - Stale &gt;180d"))</f>
        <v>FLAG - Stale &gt;180d</v>
      </c>
      <c r="T418" s="20" t="n">
        <f aca="false">COUNTIF(M418:S418,"FAIL*")+COUNTIF(M418:S418,"FLAG*")</f>
        <v>1</v>
      </c>
      <c r="U418" s="20" t="str">
        <f aca="false">IF(T418=0,"CLEAN",IF(T418=1,"MINOR",IF(T418&lt;=3,"MODERATE","CRITICAL")))</f>
        <v>MINOR</v>
      </c>
      <c r="V418" s="20" t="str">
        <f aca="false">IF(U418="CLEAN","None",IF(U418="MINOR","Seller Notify",IF(U418="MODERATE","Listing Suspended","Immediate Removal")))</f>
        <v>Seller Notify</v>
      </c>
    </row>
    <row r="419" customFormat="false" ht="18" hidden="false" customHeight="true" outlineLevel="0" collapsed="false">
      <c r="A419" s="19" t="s">
        <v>6496</v>
      </c>
      <c r="B419" s="19" t="s">
        <v>3006</v>
      </c>
      <c r="C419" s="19" t="s">
        <v>255</v>
      </c>
      <c r="D419" s="19" t="s">
        <v>256</v>
      </c>
      <c r="E419" s="19" t="s">
        <v>161</v>
      </c>
      <c r="F419" s="19" t="s">
        <v>51</v>
      </c>
      <c r="G419" s="19" t="s">
        <v>3008</v>
      </c>
      <c r="H419" s="19" t="s">
        <v>3009</v>
      </c>
      <c r="I419" s="19" t="s">
        <v>1561</v>
      </c>
      <c r="J419" s="19" t="n">
        <v>101.08</v>
      </c>
      <c r="K419" s="19" t="s">
        <v>3010</v>
      </c>
      <c r="L419" s="19"/>
      <c r="M419" s="20" t="str">
        <f aca="false">IF(G419&lt;&gt;"","PASS","FAIL - Missing UPC")</f>
        <v>PASS</v>
      </c>
      <c r="N419" s="20" t="str">
        <f aca="false">IF(AND(G419&lt;&gt;"",H419&lt;&gt;""),IF("0"&amp;G419=H419,"PASS","FAIL - GTIN Mismatch"),"SKIP")</f>
        <v>PASS</v>
      </c>
      <c r="O419" s="20" t="str">
        <f aca="false">IF(I419="","FAIL - No Title",IF(LEN(I419)&lt;=126,"PASS","FAIL - Title &gt;"&amp;126&amp;" chars"))</f>
        <v>PASS</v>
      </c>
      <c r="P419" s="20" t="str">
        <f aca="false">IF(J419&gt;0,IF(J419&lt;5000,"PASS","FLAG - Review Price"),"FAIL - Zero Price")</f>
        <v>PASS</v>
      </c>
      <c r="Q419" s="20" t="str">
        <f aca="false">IF('Raw Catalog'!P417&lt;&gt;"","PASS","FAIL - No Image")</f>
        <v>PASS</v>
      </c>
      <c r="R419" s="20" t="str">
        <f aca="false">IF(F419&lt;&gt;"","PASS","FAIL - No Brand")</f>
        <v>PASS</v>
      </c>
      <c r="S419" s="20" t="str">
        <f aca="true">IF(K419="","FAIL - No Date",IF(TODAY()-DATEVALUE(K419)&lt;=180,"PASS","FLAG - Stale &gt;180d"))</f>
        <v>FLAG - Stale &gt;180d</v>
      </c>
      <c r="T419" s="20" t="n">
        <f aca="false">COUNTIF(M419:S419,"FAIL*")+COUNTIF(M419:S419,"FLAG*")</f>
        <v>1</v>
      </c>
      <c r="U419" s="20" t="str">
        <f aca="false">IF(T419=0,"CLEAN",IF(T419=1,"MINOR",IF(T419&lt;=3,"MODERATE","CRITICAL")))</f>
        <v>MINOR</v>
      </c>
      <c r="V419" s="20" t="str">
        <f aca="false">IF(U419="CLEAN","None",IF(U419="MINOR","Seller Notify",IF(U419="MODERATE","Listing Suspended","Immediate Removal")))</f>
        <v>Seller Notify</v>
      </c>
    </row>
    <row r="420" customFormat="false" ht="18" hidden="false" customHeight="true" outlineLevel="0" collapsed="false">
      <c r="A420" s="19" t="s">
        <v>6497</v>
      </c>
      <c r="B420" s="19" t="s">
        <v>3011</v>
      </c>
      <c r="C420" s="19" t="s">
        <v>48</v>
      </c>
      <c r="D420" s="19" t="s">
        <v>49</v>
      </c>
      <c r="E420" s="19" t="s">
        <v>91</v>
      </c>
      <c r="F420" s="19" t="s">
        <v>587</v>
      </c>
      <c r="G420" s="19" t="s">
        <v>3013</v>
      </c>
      <c r="H420" s="19" t="s">
        <v>3014</v>
      </c>
      <c r="I420" s="19" t="s">
        <v>868</v>
      </c>
      <c r="J420" s="19" t="n">
        <v>2367.53</v>
      </c>
      <c r="K420" s="19" t="s">
        <v>855</v>
      </c>
      <c r="L420" s="19"/>
      <c r="M420" s="20" t="str">
        <f aca="false">IF(G420&lt;&gt;"","PASS","FAIL - Missing UPC")</f>
        <v>PASS</v>
      </c>
      <c r="N420" s="20" t="str">
        <f aca="false">IF(AND(G420&lt;&gt;"",H420&lt;&gt;""),IF("0"&amp;G420=H420,"PASS","FAIL - GTIN Mismatch"),"SKIP")</f>
        <v>PASS</v>
      </c>
      <c r="O420" s="20" t="str">
        <f aca="false">IF(I420="","FAIL - No Title",IF(LEN(I420)&lt;=126,"PASS","FAIL - Title &gt;"&amp;126&amp;" chars"))</f>
        <v>PASS</v>
      </c>
      <c r="P420" s="20" t="str">
        <f aca="false">IF(J420&gt;0,IF(J420&lt;5000,"PASS","FLAG - Review Price"),"FAIL - Zero Price")</f>
        <v>PASS</v>
      </c>
      <c r="Q420" s="20" t="str">
        <f aca="false">IF('Raw Catalog'!P418&lt;&gt;"","PASS","FAIL - No Image")</f>
        <v>PASS</v>
      </c>
      <c r="R420" s="20" t="str">
        <f aca="false">IF(F420&lt;&gt;"","PASS","FAIL - No Brand")</f>
        <v>PASS</v>
      </c>
      <c r="S420" s="20" t="str">
        <f aca="true">IF(K420="","FAIL - No Date",IF(TODAY()-DATEVALUE(K420)&lt;=180,"PASS","FLAG - Stale &gt;180d"))</f>
        <v>FLAG - Stale &gt;180d</v>
      </c>
      <c r="T420" s="20" t="n">
        <f aca="false">COUNTIF(M420:S420,"FAIL*")+COUNTIF(M420:S420,"FLAG*")</f>
        <v>1</v>
      </c>
      <c r="U420" s="20" t="str">
        <f aca="false">IF(T420=0,"CLEAN",IF(T420=1,"MINOR",IF(T420&lt;=3,"MODERATE","CRITICAL")))</f>
        <v>MINOR</v>
      </c>
      <c r="V420" s="20" t="str">
        <f aca="false">IF(U420="CLEAN","None",IF(U420="MINOR","Seller Notify",IF(U420="MODERATE","Listing Suspended","Immediate Removal")))</f>
        <v>Seller Notify</v>
      </c>
    </row>
    <row r="421" customFormat="false" ht="18" hidden="false" customHeight="true" outlineLevel="0" collapsed="false">
      <c r="A421" s="19" t="s">
        <v>6498</v>
      </c>
      <c r="B421" s="19" t="s">
        <v>3016</v>
      </c>
      <c r="C421" s="19" t="s">
        <v>63</v>
      </c>
      <c r="D421" s="19" t="s">
        <v>64</v>
      </c>
      <c r="E421" s="19" t="s">
        <v>79</v>
      </c>
      <c r="F421" s="19" t="s">
        <v>127</v>
      </c>
      <c r="G421" s="19" t="s">
        <v>3018</v>
      </c>
      <c r="H421" s="19" t="s">
        <v>3019</v>
      </c>
      <c r="I421" s="19" t="s">
        <v>3020</v>
      </c>
      <c r="J421" s="19" t="n">
        <v>1825.81</v>
      </c>
      <c r="K421" s="19" t="s">
        <v>3022</v>
      </c>
      <c r="L421" s="19"/>
      <c r="M421" s="20" t="str">
        <f aca="false">IF(G421&lt;&gt;"","PASS","FAIL - Missing UPC")</f>
        <v>PASS</v>
      </c>
      <c r="N421" s="20" t="str">
        <f aca="false">IF(AND(G421&lt;&gt;"",H421&lt;&gt;""),IF("0"&amp;G421=H421,"PASS","FAIL - GTIN Mismatch"),"SKIP")</f>
        <v>PASS</v>
      </c>
      <c r="O421" s="20" t="str">
        <f aca="false">IF(I421="","FAIL - No Title",IF(LEN(I421)&lt;=126,"PASS","FAIL - Title &gt;"&amp;126&amp;" chars"))</f>
        <v>PASS</v>
      </c>
      <c r="P421" s="20" t="str">
        <f aca="false">IF(J421&gt;0,IF(J421&lt;5000,"PASS","FLAG - Review Price"),"FAIL - Zero Price")</f>
        <v>PASS</v>
      </c>
      <c r="Q421" s="20" t="str">
        <f aca="false">IF('Raw Catalog'!P419&lt;&gt;"","PASS","FAIL - No Image")</f>
        <v>PASS</v>
      </c>
      <c r="R421" s="20" t="str">
        <f aca="false">IF(F421&lt;&gt;"","PASS","FAIL - No Brand")</f>
        <v>PASS</v>
      </c>
      <c r="S421" s="20" t="str">
        <f aca="true">IF(K421="","FAIL - No Date",IF(TODAY()-DATEVALUE(K421)&lt;=180,"PASS","FLAG - Stale &gt;180d"))</f>
        <v>FLAG - Stale &gt;180d</v>
      </c>
      <c r="T421" s="20" t="n">
        <f aca="false">COUNTIF(M421:S421,"FAIL*")+COUNTIF(M421:S421,"FLAG*")</f>
        <v>1</v>
      </c>
      <c r="U421" s="20" t="str">
        <f aca="false">IF(T421=0,"CLEAN",IF(T421=1,"MINOR",IF(T421&lt;=3,"MODERATE","CRITICAL")))</f>
        <v>MINOR</v>
      </c>
      <c r="V421" s="20" t="str">
        <f aca="false">IF(U421="CLEAN","None",IF(U421="MINOR","Seller Notify",IF(U421="MODERATE","Listing Suspended","Immediate Removal")))</f>
        <v>Seller Notify</v>
      </c>
    </row>
    <row r="422" customFormat="false" ht="18" hidden="false" customHeight="true" outlineLevel="0" collapsed="false">
      <c r="A422" s="19" t="s">
        <v>6499</v>
      </c>
      <c r="B422" s="19" t="s">
        <v>3023</v>
      </c>
      <c r="C422" s="19" t="s">
        <v>173</v>
      </c>
      <c r="D422" s="19" t="s">
        <v>174</v>
      </c>
      <c r="E422" s="19" t="s">
        <v>65</v>
      </c>
      <c r="F422" s="19" t="s">
        <v>227</v>
      </c>
      <c r="G422" s="19" t="s">
        <v>3025</v>
      </c>
      <c r="H422" s="19" t="s">
        <v>3026</v>
      </c>
      <c r="I422" s="19" t="s">
        <v>278</v>
      </c>
      <c r="J422" s="19" t="n">
        <v>456.19</v>
      </c>
      <c r="K422" s="19" t="s">
        <v>1724</v>
      </c>
      <c r="L422" s="19"/>
      <c r="M422" s="20" t="str">
        <f aca="false">IF(G422&lt;&gt;"","PASS","FAIL - Missing UPC")</f>
        <v>PASS</v>
      </c>
      <c r="N422" s="20" t="str">
        <f aca="false">IF(AND(G422&lt;&gt;"",H422&lt;&gt;""),IF("0"&amp;G422=H422,"PASS","FAIL - GTIN Mismatch"),"SKIP")</f>
        <v>PASS</v>
      </c>
      <c r="O422" s="20" t="str">
        <f aca="false">IF(I422="","FAIL - No Title",IF(LEN(I422)&lt;=126,"PASS","FAIL - Title &gt;"&amp;126&amp;" chars"))</f>
        <v>PASS</v>
      </c>
      <c r="P422" s="20" t="str">
        <f aca="false">IF(J422&gt;0,IF(J422&lt;5000,"PASS","FLAG - Review Price"),"FAIL - Zero Price")</f>
        <v>PASS</v>
      </c>
      <c r="Q422" s="20" t="str">
        <f aca="false">IF('Raw Catalog'!P420&lt;&gt;"","PASS","FAIL - No Image")</f>
        <v>PASS</v>
      </c>
      <c r="R422" s="20" t="str">
        <f aca="false">IF(F422&lt;&gt;"","PASS","FAIL - No Brand")</f>
        <v>PASS</v>
      </c>
      <c r="S422" s="20" t="str">
        <f aca="true">IF(K422="","FAIL - No Date",IF(TODAY()-DATEVALUE(K422)&lt;=180,"PASS","FLAG - Stale &gt;180d"))</f>
        <v>FLAG - Stale &gt;180d</v>
      </c>
      <c r="T422" s="20" t="n">
        <f aca="false">COUNTIF(M422:S422,"FAIL*")+COUNTIF(M422:S422,"FLAG*")</f>
        <v>1</v>
      </c>
      <c r="U422" s="20" t="str">
        <f aca="false">IF(T422=0,"CLEAN",IF(T422=1,"MINOR",IF(T422&lt;=3,"MODERATE","CRITICAL")))</f>
        <v>MINOR</v>
      </c>
      <c r="V422" s="20" t="str">
        <f aca="false">IF(U422="CLEAN","None",IF(U422="MINOR","Seller Notify",IF(U422="MODERATE","Listing Suspended","Immediate Removal")))</f>
        <v>Seller Notify</v>
      </c>
    </row>
    <row r="423" customFormat="false" ht="18" hidden="false" customHeight="true" outlineLevel="0" collapsed="false">
      <c r="A423" s="19" t="s">
        <v>6500</v>
      </c>
      <c r="B423" s="19" t="s">
        <v>3027</v>
      </c>
      <c r="C423" s="19" t="s">
        <v>159</v>
      </c>
      <c r="D423" s="19" t="s">
        <v>160</v>
      </c>
      <c r="E423" s="19" t="s">
        <v>65</v>
      </c>
      <c r="F423" s="19" t="s">
        <v>438</v>
      </c>
      <c r="G423" s="19" t="s">
        <v>3029</v>
      </c>
      <c r="H423" s="19" t="s">
        <v>3030</v>
      </c>
      <c r="I423" s="19" t="s">
        <v>2046</v>
      </c>
      <c r="J423" s="19" t="n">
        <v>301.55</v>
      </c>
      <c r="K423" s="19" t="s">
        <v>2622</v>
      </c>
      <c r="L423" s="19"/>
      <c r="M423" s="20" t="str">
        <f aca="false">IF(G423&lt;&gt;"","PASS","FAIL - Missing UPC")</f>
        <v>PASS</v>
      </c>
      <c r="N423" s="20" t="str">
        <f aca="false">IF(AND(G423&lt;&gt;"",H423&lt;&gt;""),IF("0"&amp;G423=H423,"PASS","FAIL - GTIN Mismatch"),"SKIP")</f>
        <v>PASS</v>
      </c>
      <c r="O423" s="20" t="str">
        <f aca="false">IF(I423="","FAIL - No Title",IF(LEN(I423)&lt;=126,"PASS","FAIL - Title &gt;"&amp;126&amp;" chars"))</f>
        <v>PASS</v>
      </c>
      <c r="P423" s="20" t="str">
        <f aca="false">IF(J423&gt;0,IF(J423&lt;5000,"PASS","FLAG - Review Price"),"FAIL - Zero Price")</f>
        <v>PASS</v>
      </c>
      <c r="Q423" s="20" t="str">
        <f aca="false">IF('Raw Catalog'!P421&lt;&gt;"","PASS","FAIL - No Image")</f>
        <v>PASS</v>
      </c>
      <c r="R423" s="20" t="str">
        <f aca="false">IF(F423&lt;&gt;"","PASS","FAIL - No Brand")</f>
        <v>PASS</v>
      </c>
      <c r="S423" s="20" t="str">
        <f aca="true">IF(K423="","FAIL - No Date",IF(TODAY()-DATEVALUE(K423)&lt;=180,"PASS","FLAG - Stale &gt;180d"))</f>
        <v>FLAG - Stale &gt;180d</v>
      </c>
      <c r="T423" s="20" t="n">
        <f aca="false">COUNTIF(M423:S423,"FAIL*")+COUNTIF(M423:S423,"FLAG*")</f>
        <v>1</v>
      </c>
      <c r="U423" s="20" t="str">
        <f aca="false">IF(T423=0,"CLEAN",IF(T423=1,"MINOR",IF(T423&lt;=3,"MODERATE","CRITICAL")))</f>
        <v>MINOR</v>
      </c>
      <c r="V423" s="20" t="str">
        <f aca="false">IF(U423="CLEAN","None",IF(U423="MINOR","Seller Notify",IF(U423="MODERATE","Listing Suspended","Immediate Removal")))</f>
        <v>Seller Notify</v>
      </c>
    </row>
    <row r="424" customFormat="false" ht="18" hidden="false" customHeight="true" outlineLevel="0" collapsed="false">
      <c r="A424" s="19" t="s">
        <v>6501</v>
      </c>
      <c r="B424" s="19" t="s">
        <v>3031</v>
      </c>
      <c r="C424" s="19" t="s">
        <v>113</v>
      </c>
      <c r="D424" s="19" t="s">
        <v>114</v>
      </c>
      <c r="E424" s="19" t="s">
        <v>91</v>
      </c>
      <c r="F424" s="19" t="s">
        <v>138</v>
      </c>
      <c r="G424" s="19" t="s">
        <v>3033</v>
      </c>
      <c r="H424" s="19" t="s">
        <v>3034</v>
      </c>
      <c r="I424" s="19" t="s">
        <v>3035</v>
      </c>
      <c r="J424" s="19" t="n">
        <v>1943.69</v>
      </c>
      <c r="K424" s="19" t="s">
        <v>829</v>
      </c>
      <c r="L424" s="21" t="s">
        <v>243</v>
      </c>
      <c r="M424" s="20" t="str">
        <f aca="false">IF(G424&lt;&gt;"","PASS","FAIL - Missing UPC")</f>
        <v>PASS</v>
      </c>
      <c r="N424" s="20" t="str">
        <f aca="false">IF(AND(G424&lt;&gt;"",H424&lt;&gt;""),IF("0"&amp;G424=H424,"PASS","FAIL - GTIN Mismatch"),"SKIP")</f>
        <v>FAIL - GTIN Mismatch</v>
      </c>
      <c r="O424" s="20" t="str">
        <f aca="false">IF(I424="","FAIL - No Title",IF(LEN(I424)&lt;=126,"PASS","FAIL - Title &gt;"&amp;126&amp;" chars"))</f>
        <v>PASS</v>
      </c>
      <c r="P424" s="20" t="str">
        <f aca="false">IF(J424&gt;0,IF(J424&lt;5000,"PASS","FLAG - Review Price"),"FAIL - Zero Price")</f>
        <v>PASS</v>
      </c>
      <c r="Q424" s="20" t="str">
        <f aca="false">IF('Raw Catalog'!P422&lt;&gt;"","PASS","FAIL - No Image")</f>
        <v>PASS</v>
      </c>
      <c r="R424" s="20" t="str">
        <f aca="false">IF(F424&lt;&gt;"","PASS","FAIL - No Brand")</f>
        <v>PASS</v>
      </c>
      <c r="S424" s="20" t="str">
        <f aca="true">IF(K424="","FAIL - No Date",IF(TODAY()-DATEVALUE(K424)&lt;=180,"PASS","FLAG - Stale &gt;180d"))</f>
        <v>FLAG - Stale &gt;180d</v>
      </c>
      <c r="T424" s="20" t="n">
        <f aca="false">COUNTIF(M424:S424,"FAIL*")+COUNTIF(M424:S424,"FLAG*")</f>
        <v>2</v>
      </c>
      <c r="U424" s="20" t="str">
        <f aca="false">IF(T424=0,"CLEAN",IF(T424=1,"MINOR",IF(T424&lt;=3,"MODERATE","CRITICAL")))</f>
        <v>MODERATE</v>
      </c>
      <c r="V424" s="20" t="str">
        <f aca="false">IF(U424="CLEAN","None",IF(U424="MINOR","Seller Notify",IF(U424="MODERATE","Listing Suspended","Immediate Removal")))</f>
        <v>Listing Suspended</v>
      </c>
    </row>
    <row r="425" customFormat="false" ht="18" hidden="false" customHeight="true" outlineLevel="0" collapsed="false">
      <c r="A425" s="19" t="s">
        <v>6502</v>
      </c>
      <c r="B425" s="19" t="s">
        <v>3038</v>
      </c>
      <c r="C425" s="19" t="s">
        <v>159</v>
      </c>
      <c r="D425" s="19" t="s">
        <v>160</v>
      </c>
      <c r="E425" s="19" t="s">
        <v>65</v>
      </c>
      <c r="F425" s="19" t="s">
        <v>371</v>
      </c>
      <c r="G425" s="19" t="s">
        <v>3040</v>
      </c>
      <c r="H425" s="19" t="s">
        <v>3041</v>
      </c>
      <c r="I425" s="19" t="s">
        <v>376</v>
      </c>
      <c r="J425" s="19" t="n">
        <v>461.59</v>
      </c>
      <c r="K425" s="19" t="s">
        <v>1435</v>
      </c>
      <c r="L425" s="19"/>
      <c r="M425" s="20" t="str">
        <f aca="false">IF(G425&lt;&gt;"","PASS","FAIL - Missing UPC")</f>
        <v>PASS</v>
      </c>
      <c r="N425" s="20" t="str">
        <f aca="false">IF(AND(G425&lt;&gt;"",H425&lt;&gt;""),IF("0"&amp;G425=H425,"PASS","FAIL - GTIN Mismatch"),"SKIP")</f>
        <v>PASS</v>
      </c>
      <c r="O425" s="20" t="str">
        <f aca="false">IF(I425="","FAIL - No Title",IF(LEN(I425)&lt;=126,"PASS","FAIL - Title &gt;"&amp;126&amp;" chars"))</f>
        <v>PASS</v>
      </c>
      <c r="P425" s="20" t="str">
        <f aca="false">IF(J425&gt;0,IF(J425&lt;5000,"PASS","FLAG - Review Price"),"FAIL - Zero Price")</f>
        <v>PASS</v>
      </c>
      <c r="Q425" s="20" t="str">
        <f aca="false">IF('Raw Catalog'!P423&lt;&gt;"","PASS","FAIL - No Image")</f>
        <v>PASS</v>
      </c>
      <c r="R425" s="20" t="str">
        <f aca="false">IF(F425&lt;&gt;"","PASS","FAIL - No Brand")</f>
        <v>PASS</v>
      </c>
      <c r="S425" s="20" t="str">
        <f aca="true">IF(K425="","FAIL - No Date",IF(TODAY()-DATEVALUE(K425)&lt;=180,"PASS","FLAG - Stale &gt;180d"))</f>
        <v>FLAG - Stale &gt;180d</v>
      </c>
      <c r="T425" s="20" t="n">
        <f aca="false">COUNTIF(M425:S425,"FAIL*")+COUNTIF(M425:S425,"FLAG*")</f>
        <v>1</v>
      </c>
      <c r="U425" s="20" t="str">
        <f aca="false">IF(T425=0,"CLEAN",IF(T425=1,"MINOR",IF(T425&lt;=3,"MODERATE","CRITICAL")))</f>
        <v>MINOR</v>
      </c>
      <c r="V425" s="20" t="str">
        <f aca="false">IF(U425="CLEAN","None",IF(U425="MINOR","Seller Notify",IF(U425="MODERATE","Listing Suspended","Immediate Removal")))</f>
        <v>Seller Notify</v>
      </c>
    </row>
    <row r="426" customFormat="false" ht="18" hidden="false" customHeight="true" outlineLevel="0" collapsed="false">
      <c r="A426" s="19" t="s">
        <v>6503</v>
      </c>
      <c r="B426" s="19" t="s">
        <v>3042</v>
      </c>
      <c r="C426" s="19" t="s">
        <v>48</v>
      </c>
      <c r="D426" s="19" t="s">
        <v>49</v>
      </c>
      <c r="E426" s="19" t="s">
        <v>79</v>
      </c>
      <c r="F426" s="19"/>
      <c r="G426" s="19" t="s">
        <v>3044</v>
      </c>
      <c r="H426" s="19" t="s">
        <v>3045</v>
      </c>
      <c r="I426" s="19" t="s">
        <v>3046</v>
      </c>
      <c r="J426" s="19" t="n">
        <v>1431.05</v>
      </c>
      <c r="K426" s="19" t="s">
        <v>3050</v>
      </c>
      <c r="L426" s="21" t="s">
        <v>89</v>
      </c>
      <c r="M426" s="20" t="str">
        <f aca="false">IF(G426&lt;&gt;"","PASS","FAIL - Missing UPC")</f>
        <v>PASS</v>
      </c>
      <c r="N426" s="20" t="str">
        <f aca="false">IF(AND(G426&lt;&gt;"",H426&lt;&gt;""),IF("0"&amp;G426=H426,"PASS","FAIL - GTIN Mismatch"),"SKIP")</f>
        <v>PASS</v>
      </c>
      <c r="O426" s="20" t="str">
        <f aca="false">IF(I426="","FAIL - No Title",IF(LEN(I426)&lt;=126,"PASS","FAIL - Title &gt;"&amp;126&amp;" chars"))</f>
        <v>PASS</v>
      </c>
      <c r="P426" s="20" t="str">
        <f aca="false">IF(J426&gt;0,IF(J426&lt;5000,"PASS","FLAG - Review Price"),"FAIL - Zero Price")</f>
        <v>PASS</v>
      </c>
      <c r="Q426" s="20" t="str">
        <f aca="false">IF('Raw Catalog'!P424&lt;&gt;"","PASS","FAIL - No Image")</f>
        <v>PASS</v>
      </c>
      <c r="R426" s="20" t="str">
        <f aca="false">IF(F426&lt;&gt;"","PASS","FAIL - No Brand")</f>
        <v>FAIL - No Brand</v>
      </c>
      <c r="S426" s="20" t="str">
        <f aca="true">IF(K426="","FAIL - No Date",IF(TODAY()-DATEVALUE(K426)&lt;=180,"PASS","FLAG - Stale &gt;180d"))</f>
        <v>FLAG - Stale &gt;180d</v>
      </c>
      <c r="T426" s="20" t="n">
        <f aca="false">COUNTIF(M426:S426,"FAIL*")+COUNTIF(M426:S426,"FLAG*")</f>
        <v>2</v>
      </c>
      <c r="U426" s="20" t="str">
        <f aca="false">IF(T426=0,"CLEAN",IF(T426=1,"MINOR",IF(T426&lt;=3,"MODERATE","CRITICAL")))</f>
        <v>MODERATE</v>
      </c>
      <c r="V426" s="20" t="str">
        <f aca="false">IF(U426="CLEAN","None",IF(U426="MINOR","Seller Notify",IF(U426="MODERATE","Listing Suspended","Immediate Removal")))</f>
        <v>Listing Suspended</v>
      </c>
    </row>
    <row r="427" customFormat="false" ht="18" hidden="false" customHeight="true" outlineLevel="0" collapsed="false">
      <c r="A427" s="19" t="s">
        <v>6504</v>
      </c>
      <c r="B427" s="19" t="s">
        <v>3051</v>
      </c>
      <c r="C427" s="19" t="s">
        <v>159</v>
      </c>
      <c r="D427" s="19" t="s">
        <v>160</v>
      </c>
      <c r="E427" s="19" t="s">
        <v>91</v>
      </c>
      <c r="F427" s="19" t="s">
        <v>92</v>
      </c>
      <c r="G427" s="19" t="s">
        <v>3053</v>
      </c>
      <c r="H427" s="19" t="s">
        <v>3054</v>
      </c>
      <c r="I427" s="19" t="s">
        <v>3055</v>
      </c>
      <c r="J427" s="19" t="n">
        <v>23045.74</v>
      </c>
      <c r="K427" s="19" t="s">
        <v>2634</v>
      </c>
      <c r="L427" s="21" t="s">
        <v>343</v>
      </c>
      <c r="M427" s="20" t="str">
        <f aca="false">IF(G427&lt;&gt;"","PASS","FAIL - Missing UPC")</f>
        <v>PASS</v>
      </c>
      <c r="N427" s="20" t="str">
        <f aca="false">IF(AND(G427&lt;&gt;"",H427&lt;&gt;""),IF("0"&amp;G427=H427,"PASS","FAIL - GTIN Mismatch"),"SKIP")</f>
        <v>PASS</v>
      </c>
      <c r="O427" s="20" t="str">
        <f aca="false">IF(I427="","FAIL - No Title",IF(LEN(I427)&lt;=126,"PASS","FAIL - Title &gt;"&amp;126&amp;" chars"))</f>
        <v>PASS</v>
      </c>
      <c r="P427" s="20" t="str">
        <f aca="false">IF(J427&gt;0,IF(J427&lt;5000,"PASS","FLAG - Review Price"),"FAIL - Zero Price")</f>
        <v>FLAG - Review Price</v>
      </c>
      <c r="Q427" s="20" t="str">
        <f aca="false">IF('Raw Catalog'!P425&lt;&gt;"","PASS","FAIL - No Image")</f>
        <v>PASS</v>
      </c>
      <c r="R427" s="20" t="str">
        <f aca="false">IF(F427&lt;&gt;"","PASS","FAIL - No Brand")</f>
        <v>PASS</v>
      </c>
      <c r="S427" s="20" t="str">
        <f aca="true">IF(K427="","FAIL - No Date",IF(TODAY()-DATEVALUE(K427)&lt;=180,"PASS","FLAG - Stale &gt;180d"))</f>
        <v>FLAG - Stale &gt;180d</v>
      </c>
      <c r="T427" s="20" t="n">
        <f aca="false">COUNTIF(M427:S427,"FAIL*")+COUNTIF(M427:S427,"FLAG*")</f>
        <v>2</v>
      </c>
      <c r="U427" s="20" t="str">
        <f aca="false">IF(T427=0,"CLEAN",IF(T427=1,"MINOR",IF(T427&lt;=3,"MODERATE","CRITICAL")))</f>
        <v>MODERATE</v>
      </c>
      <c r="V427" s="20" t="str">
        <f aca="false">IF(U427="CLEAN","None",IF(U427="MINOR","Seller Notify",IF(U427="MODERATE","Listing Suspended","Immediate Removal")))</f>
        <v>Listing Suspended</v>
      </c>
    </row>
    <row r="428" customFormat="false" ht="18" hidden="false" customHeight="true" outlineLevel="0" collapsed="false">
      <c r="A428" s="19" t="s">
        <v>6505</v>
      </c>
      <c r="B428" s="19" t="s">
        <v>3056</v>
      </c>
      <c r="C428" s="19" t="s">
        <v>48</v>
      </c>
      <c r="D428" s="19" t="s">
        <v>49</v>
      </c>
      <c r="E428" s="19" t="s">
        <v>161</v>
      </c>
      <c r="F428" s="19" t="s">
        <v>185</v>
      </c>
      <c r="G428" s="19" t="s">
        <v>3058</v>
      </c>
      <c r="H428" s="19" t="s">
        <v>3059</v>
      </c>
      <c r="I428" s="19" t="s">
        <v>3060</v>
      </c>
      <c r="J428" s="19" t="n">
        <v>120.62</v>
      </c>
      <c r="K428" s="19" t="s">
        <v>1061</v>
      </c>
      <c r="L428" s="19"/>
      <c r="M428" s="20" t="str">
        <f aca="false">IF(G428&lt;&gt;"","PASS","FAIL - Missing UPC")</f>
        <v>PASS</v>
      </c>
      <c r="N428" s="20" t="str">
        <f aca="false">IF(AND(G428&lt;&gt;"",H428&lt;&gt;""),IF("0"&amp;G428=H428,"PASS","FAIL - GTIN Mismatch"),"SKIP")</f>
        <v>PASS</v>
      </c>
      <c r="O428" s="20" t="str">
        <f aca="false">IF(I428="","FAIL - No Title",IF(LEN(I428)&lt;=126,"PASS","FAIL - Title &gt;"&amp;126&amp;" chars"))</f>
        <v>PASS</v>
      </c>
      <c r="P428" s="20" t="str">
        <f aca="false">IF(J428&gt;0,IF(J428&lt;5000,"PASS","FLAG - Review Price"),"FAIL - Zero Price")</f>
        <v>PASS</v>
      </c>
      <c r="Q428" s="20" t="str">
        <f aca="false">IF('Raw Catalog'!P426&lt;&gt;"","PASS","FAIL - No Image")</f>
        <v>PASS</v>
      </c>
      <c r="R428" s="20" t="str">
        <f aca="false">IF(F428&lt;&gt;"","PASS","FAIL - No Brand")</f>
        <v>PASS</v>
      </c>
      <c r="S428" s="20" t="str">
        <f aca="true">IF(K428="","FAIL - No Date",IF(TODAY()-DATEVALUE(K428)&lt;=180,"PASS","FLAG - Stale &gt;180d"))</f>
        <v>FLAG - Stale &gt;180d</v>
      </c>
      <c r="T428" s="20" t="n">
        <f aca="false">COUNTIF(M428:S428,"FAIL*")+COUNTIF(M428:S428,"FLAG*")</f>
        <v>1</v>
      </c>
      <c r="U428" s="20" t="str">
        <f aca="false">IF(T428=0,"CLEAN",IF(T428=1,"MINOR",IF(T428&lt;=3,"MODERATE","CRITICAL")))</f>
        <v>MINOR</v>
      </c>
      <c r="V428" s="20" t="str">
        <f aca="false">IF(U428="CLEAN","None",IF(U428="MINOR","Seller Notify",IF(U428="MODERATE","Listing Suspended","Immediate Removal")))</f>
        <v>Seller Notify</v>
      </c>
    </row>
    <row r="429" customFormat="false" ht="18" hidden="false" customHeight="true" outlineLevel="0" collapsed="false">
      <c r="A429" s="19" t="s">
        <v>6506</v>
      </c>
      <c r="B429" s="19" t="s">
        <v>3062</v>
      </c>
      <c r="C429" s="19" t="s">
        <v>113</v>
      </c>
      <c r="D429" s="19" t="s">
        <v>114</v>
      </c>
      <c r="E429" s="19" t="s">
        <v>91</v>
      </c>
      <c r="F429" s="19" t="s">
        <v>587</v>
      </c>
      <c r="G429" s="19" t="s">
        <v>3064</v>
      </c>
      <c r="H429" s="19" t="s">
        <v>3065</v>
      </c>
      <c r="I429" s="19" t="s">
        <v>3066</v>
      </c>
      <c r="J429" s="19" t="n">
        <v>282.49</v>
      </c>
      <c r="K429" s="19" t="s">
        <v>1179</v>
      </c>
      <c r="L429" s="21" t="s">
        <v>1107</v>
      </c>
      <c r="M429" s="20" t="str">
        <f aca="false">IF(G429&lt;&gt;"","PASS","FAIL - Missing UPC")</f>
        <v>PASS</v>
      </c>
      <c r="N429" s="20" t="str">
        <f aca="false">IF(AND(G429&lt;&gt;"",H429&lt;&gt;""),IF("0"&amp;G429=H429,"PASS","FAIL - GTIN Mismatch"),"SKIP")</f>
        <v>PASS</v>
      </c>
      <c r="O429" s="20" t="str">
        <f aca="false">IF(I429="","FAIL - No Title",IF(LEN(I429)&lt;=126,"PASS","FAIL - Title &gt;"&amp;126&amp;" chars"))</f>
        <v>PASS</v>
      </c>
      <c r="P429" s="20" t="str">
        <f aca="false">IF(J429&gt;0,IF(J429&lt;5000,"PASS","FLAG - Review Price"),"FAIL - Zero Price")</f>
        <v>PASS</v>
      </c>
      <c r="Q429" s="20" t="str">
        <f aca="false">IF('Raw Catalog'!P427&lt;&gt;"","PASS","FAIL - No Image")</f>
        <v>PASS</v>
      </c>
      <c r="R429" s="20" t="str">
        <f aca="false">IF(F429&lt;&gt;"","PASS","FAIL - No Brand")</f>
        <v>PASS</v>
      </c>
      <c r="S429" s="20" t="str">
        <f aca="true">IF(K429="","FAIL - No Date",IF(TODAY()-DATEVALUE(K429)&lt;=180,"PASS","FLAG - Stale &gt;180d"))</f>
        <v>FLAG - Stale &gt;180d</v>
      </c>
      <c r="T429" s="20" t="n">
        <f aca="false">COUNTIF(M429:S429,"FAIL*")+COUNTIF(M429:S429,"FLAG*")</f>
        <v>1</v>
      </c>
      <c r="U429" s="20" t="str">
        <f aca="false">IF(T429=0,"CLEAN",IF(T429=1,"MINOR",IF(T429&lt;=3,"MODERATE","CRITICAL")))</f>
        <v>MINOR</v>
      </c>
      <c r="V429" s="20" t="str">
        <f aca="false">IF(U429="CLEAN","None",IF(U429="MINOR","Seller Notify",IF(U429="MODERATE","Listing Suspended","Immediate Removal")))</f>
        <v>Seller Notify</v>
      </c>
    </row>
    <row r="430" customFormat="false" ht="18" hidden="false" customHeight="true" outlineLevel="0" collapsed="false">
      <c r="A430" s="19" t="s">
        <v>6507</v>
      </c>
      <c r="B430" s="19" t="s">
        <v>3068</v>
      </c>
      <c r="C430" s="19" t="s">
        <v>48</v>
      </c>
      <c r="D430" s="19" t="s">
        <v>49</v>
      </c>
      <c r="E430" s="19" t="s">
        <v>91</v>
      </c>
      <c r="F430" s="19" t="s">
        <v>587</v>
      </c>
      <c r="G430" s="19" t="s">
        <v>3070</v>
      </c>
      <c r="H430" s="19" t="s">
        <v>3071</v>
      </c>
      <c r="I430" s="19" t="s">
        <v>3066</v>
      </c>
      <c r="J430" s="19" t="n">
        <v>808.29</v>
      </c>
      <c r="K430" s="19" t="s">
        <v>2640</v>
      </c>
      <c r="L430" s="19"/>
      <c r="M430" s="20" t="str">
        <f aca="false">IF(G430&lt;&gt;"","PASS","FAIL - Missing UPC")</f>
        <v>PASS</v>
      </c>
      <c r="N430" s="20" t="str">
        <f aca="false">IF(AND(G430&lt;&gt;"",H430&lt;&gt;""),IF("0"&amp;G430=H430,"PASS","FAIL - GTIN Mismatch"),"SKIP")</f>
        <v>PASS</v>
      </c>
      <c r="O430" s="20" t="str">
        <f aca="false">IF(I430="","FAIL - No Title",IF(LEN(I430)&lt;=126,"PASS","FAIL - Title &gt;"&amp;126&amp;" chars"))</f>
        <v>PASS</v>
      </c>
      <c r="P430" s="20" t="str">
        <f aca="false">IF(J430&gt;0,IF(J430&lt;5000,"PASS","FLAG - Review Price"),"FAIL - Zero Price")</f>
        <v>PASS</v>
      </c>
      <c r="Q430" s="20" t="str">
        <f aca="false">IF('Raw Catalog'!P428&lt;&gt;"","PASS","FAIL - No Image")</f>
        <v>PASS</v>
      </c>
      <c r="R430" s="20" t="str">
        <f aca="false">IF(F430&lt;&gt;"","PASS","FAIL - No Brand")</f>
        <v>PASS</v>
      </c>
      <c r="S430" s="20" t="str">
        <f aca="true">IF(K430="","FAIL - No Date",IF(TODAY()-DATEVALUE(K430)&lt;=180,"PASS","FLAG - Stale &gt;180d"))</f>
        <v>FLAG - Stale &gt;180d</v>
      </c>
      <c r="T430" s="20" t="n">
        <f aca="false">COUNTIF(M430:S430,"FAIL*")+COUNTIF(M430:S430,"FLAG*")</f>
        <v>1</v>
      </c>
      <c r="U430" s="20" t="str">
        <f aca="false">IF(T430=0,"CLEAN",IF(T430=1,"MINOR",IF(T430&lt;=3,"MODERATE","CRITICAL")))</f>
        <v>MINOR</v>
      </c>
      <c r="V430" s="20" t="str">
        <f aca="false">IF(U430="CLEAN","None",IF(U430="MINOR","Seller Notify",IF(U430="MODERATE","Listing Suspended","Immediate Removal")))</f>
        <v>Seller Notify</v>
      </c>
    </row>
    <row r="431" customFormat="false" ht="18" hidden="false" customHeight="true" outlineLevel="0" collapsed="false">
      <c r="A431" s="19" t="s">
        <v>6508</v>
      </c>
      <c r="B431" s="19" t="s">
        <v>3072</v>
      </c>
      <c r="C431" s="19" t="s">
        <v>63</v>
      </c>
      <c r="D431" s="19" t="s">
        <v>64</v>
      </c>
      <c r="E431" s="19" t="s">
        <v>50</v>
      </c>
      <c r="F431" s="19" t="s">
        <v>138</v>
      </c>
      <c r="G431" s="19" t="s">
        <v>3074</v>
      </c>
      <c r="H431" s="19" t="s">
        <v>3075</v>
      </c>
      <c r="I431" s="19" t="s">
        <v>3076</v>
      </c>
      <c r="J431" s="19" t="n">
        <v>183.07</v>
      </c>
      <c r="K431" s="19" t="s">
        <v>3080</v>
      </c>
      <c r="L431" s="19"/>
      <c r="M431" s="20" t="str">
        <f aca="false">IF(G431&lt;&gt;"","PASS","FAIL - Missing UPC")</f>
        <v>PASS</v>
      </c>
      <c r="N431" s="20" t="str">
        <f aca="false">IF(AND(G431&lt;&gt;"",H431&lt;&gt;""),IF("0"&amp;G431=H431,"PASS","FAIL - GTIN Mismatch"),"SKIP")</f>
        <v>PASS</v>
      </c>
      <c r="O431" s="20" t="str">
        <f aca="false">IF(I431="","FAIL - No Title",IF(LEN(I431)&lt;=126,"PASS","FAIL - Title &gt;"&amp;126&amp;" chars"))</f>
        <v>PASS</v>
      </c>
      <c r="P431" s="20" t="str">
        <f aca="false">IF(J431&gt;0,IF(J431&lt;5000,"PASS","FLAG - Review Price"),"FAIL - Zero Price")</f>
        <v>PASS</v>
      </c>
      <c r="Q431" s="20" t="str">
        <f aca="false">IF('Raw Catalog'!P429&lt;&gt;"","PASS","FAIL - No Image")</f>
        <v>PASS</v>
      </c>
      <c r="R431" s="20" t="str">
        <f aca="false">IF(F431&lt;&gt;"","PASS","FAIL - No Brand")</f>
        <v>PASS</v>
      </c>
      <c r="S431" s="20" t="str">
        <f aca="true">IF(K431="","FAIL - No Date",IF(TODAY()-DATEVALUE(K431)&lt;=180,"PASS","FLAG - Stale &gt;180d"))</f>
        <v>FLAG - Stale &gt;180d</v>
      </c>
      <c r="T431" s="20" t="n">
        <f aca="false">COUNTIF(M431:S431,"FAIL*")+COUNTIF(M431:S431,"FLAG*")</f>
        <v>1</v>
      </c>
      <c r="U431" s="20" t="str">
        <f aca="false">IF(T431=0,"CLEAN",IF(T431=1,"MINOR",IF(T431&lt;=3,"MODERATE","CRITICAL")))</f>
        <v>MINOR</v>
      </c>
      <c r="V431" s="20" t="str">
        <f aca="false">IF(U431="CLEAN","None",IF(U431="MINOR","Seller Notify",IF(U431="MODERATE","Listing Suspended","Immediate Removal")))</f>
        <v>Seller Notify</v>
      </c>
    </row>
    <row r="432" customFormat="false" ht="18" hidden="false" customHeight="true" outlineLevel="0" collapsed="false">
      <c r="A432" s="19" t="s">
        <v>6509</v>
      </c>
      <c r="B432" s="19" t="s">
        <v>3081</v>
      </c>
      <c r="C432" s="19" t="s">
        <v>255</v>
      </c>
      <c r="D432" s="19" t="s">
        <v>256</v>
      </c>
      <c r="E432" s="19" t="s">
        <v>161</v>
      </c>
      <c r="F432" s="19" t="s">
        <v>306</v>
      </c>
      <c r="G432" s="19" t="s">
        <v>3083</v>
      </c>
      <c r="H432" s="19" t="s">
        <v>3084</v>
      </c>
      <c r="I432" s="19" t="s">
        <v>1919</v>
      </c>
      <c r="J432" s="19" t="n">
        <v>223.73</v>
      </c>
      <c r="K432" s="19" t="s">
        <v>1292</v>
      </c>
      <c r="L432" s="19"/>
      <c r="M432" s="20" t="str">
        <f aca="false">IF(G432&lt;&gt;"","PASS","FAIL - Missing UPC")</f>
        <v>PASS</v>
      </c>
      <c r="N432" s="20" t="str">
        <f aca="false">IF(AND(G432&lt;&gt;"",H432&lt;&gt;""),IF("0"&amp;G432=H432,"PASS","FAIL - GTIN Mismatch"),"SKIP")</f>
        <v>PASS</v>
      </c>
      <c r="O432" s="20" t="str">
        <f aca="false">IF(I432="","FAIL - No Title",IF(LEN(I432)&lt;=126,"PASS","FAIL - Title &gt;"&amp;126&amp;" chars"))</f>
        <v>PASS</v>
      </c>
      <c r="P432" s="20" t="str">
        <f aca="false">IF(J432&gt;0,IF(J432&lt;5000,"PASS","FLAG - Review Price"),"FAIL - Zero Price")</f>
        <v>PASS</v>
      </c>
      <c r="Q432" s="20" t="str">
        <f aca="false">IF('Raw Catalog'!P430&lt;&gt;"","PASS","FAIL - No Image")</f>
        <v>PASS</v>
      </c>
      <c r="R432" s="20" t="str">
        <f aca="false">IF(F432&lt;&gt;"","PASS","FAIL - No Brand")</f>
        <v>PASS</v>
      </c>
      <c r="S432" s="20" t="str">
        <f aca="true">IF(K432="","FAIL - No Date",IF(TODAY()-DATEVALUE(K432)&lt;=180,"PASS","FLAG - Stale &gt;180d"))</f>
        <v>FLAG - Stale &gt;180d</v>
      </c>
      <c r="T432" s="20" t="n">
        <f aca="false">COUNTIF(M432:S432,"FAIL*")+COUNTIF(M432:S432,"FLAG*")</f>
        <v>1</v>
      </c>
      <c r="U432" s="20" t="str">
        <f aca="false">IF(T432=0,"CLEAN",IF(T432=1,"MINOR",IF(T432&lt;=3,"MODERATE","CRITICAL")))</f>
        <v>MINOR</v>
      </c>
      <c r="V432" s="20" t="str">
        <f aca="false">IF(U432="CLEAN","None",IF(U432="MINOR","Seller Notify",IF(U432="MODERATE","Listing Suspended","Immediate Removal")))</f>
        <v>Seller Notify</v>
      </c>
    </row>
    <row r="433" customFormat="false" ht="18" hidden="false" customHeight="true" outlineLevel="0" collapsed="false">
      <c r="A433" s="19" t="s">
        <v>6510</v>
      </c>
      <c r="B433" s="19" t="s">
        <v>3085</v>
      </c>
      <c r="C433" s="19" t="s">
        <v>63</v>
      </c>
      <c r="D433" s="19" t="s">
        <v>64</v>
      </c>
      <c r="E433" s="19" t="s">
        <v>91</v>
      </c>
      <c r="F433" s="19" t="s">
        <v>419</v>
      </c>
      <c r="G433" s="19" t="s">
        <v>3087</v>
      </c>
      <c r="H433" s="19" t="s">
        <v>3088</v>
      </c>
      <c r="I433" s="19" t="s">
        <v>3089</v>
      </c>
      <c r="J433" s="19" t="n">
        <v>2369.26</v>
      </c>
      <c r="K433" s="19" t="s">
        <v>627</v>
      </c>
      <c r="L433" s="19"/>
      <c r="M433" s="20" t="str">
        <f aca="false">IF(G433&lt;&gt;"","PASS","FAIL - Missing UPC")</f>
        <v>PASS</v>
      </c>
      <c r="N433" s="20" t="str">
        <f aca="false">IF(AND(G433&lt;&gt;"",H433&lt;&gt;""),IF("0"&amp;G433=H433,"PASS","FAIL - GTIN Mismatch"),"SKIP")</f>
        <v>PASS</v>
      </c>
      <c r="O433" s="20" t="str">
        <f aca="false">IF(I433="","FAIL - No Title",IF(LEN(I433)&lt;=126,"PASS","FAIL - Title &gt;"&amp;126&amp;" chars"))</f>
        <v>PASS</v>
      </c>
      <c r="P433" s="20" t="str">
        <f aca="false">IF(J433&gt;0,IF(J433&lt;5000,"PASS","FLAG - Review Price"),"FAIL - Zero Price")</f>
        <v>PASS</v>
      </c>
      <c r="Q433" s="20" t="str">
        <f aca="false">IF('Raw Catalog'!P431&lt;&gt;"","PASS","FAIL - No Image")</f>
        <v>PASS</v>
      </c>
      <c r="R433" s="20" t="str">
        <f aca="false">IF(F433&lt;&gt;"","PASS","FAIL - No Brand")</f>
        <v>PASS</v>
      </c>
      <c r="S433" s="20" t="str">
        <f aca="true">IF(K433="","FAIL - No Date",IF(TODAY()-DATEVALUE(K433)&lt;=180,"PASS","FLAG - Stale &gt;180d"))</f>
        <v>FLAG - Stale &gt;180d</v>
      </c>
      <c r="T433" s="20" t="n">
        <f aca="false">COUNTIF(M433:S433,"FAIL*")+COUNTIF(M433:S433,"FLAG*")</f>
        <v>1</v>
      </c>
      <c r="U433" s="20" t="str">
        <f aca="false">IF(T433=0,"CLEAN",IF(T433=1,"MINOR",IF(T433&lt;=3,"MODERATE","CRITICAL")))</f>
        <v>MINOR</v>
      </c>
      <c r="V433" s="20" t="str">
        <f aca="false">IF(U433="CLEAN","None",IF(U433="MINOR","Seller Notify",IF(U433="MODERATE","Listing Suspended","Immediate Removal")))</f>
        <v>Seller Notify</v>
      </c>
    </row>
    <row r="434" customFormat="false" ht="18" hidden="false" customHeight="true" outlineLevel="0" collapsed="false">
      <c r="A434" s="19" t="s">
        <v>6511</v>
      </c>
      <c r="B434" s="19" t="s">
        <v>3090</v>
      </c>
      <c r="C434" s="19" t="s">
        <v>63</v>
      </c>
      <c r="D434" s="19" t="s">
        <v>64</v>
      </c>
      <c r="E434" s="19" t="s">
        <v>50</v>
      </c>
      <c r="F434" s="19" t="s">
        <v>503</v>
      </c>
      <c r="G434" s="19" t="s">
        <v>3092</v>
      </c>
      <c r="H434" s="19" t="s">
        <v>3093</v>
      </c>
      <c r="I434" s="19" t="s">
        <v>3094</v>
      </c>
      <c r="J434" s="19" t="n">
        <v>1134.14</v>
      </c>
      <c r="K434" s="19" t="s">
        <v>1510</v>
      </c>
      <c r="L434" s="19"/>
      <c r="M434" s="20" t="str">
        <f aca="false">IF(G434&lt;&gt;"","PASS","FAIL - Missing UPC")</f>
        <v>PASS</v>
      </c>
      <c r="N434" s="20" t="str">
        <f aca="false">IF(AND(G434&lt;&gt;"",H434&lt;&gt;""),IF("0"&amp;G434=H434,"PASS","FAIL - GTIN Mismatch"),"SKIP")</f>
        <v>PASS</v>
      </c>
      <c r="O434" s="20" t="str">
        <f aca="false">IF(I434="","FAIL - No Title",IF(LEN(I434)&lt;=126,"PASS","FAIL - Title &gt;"&amp;126&amp;" chars"))</f>
        <v>PASS</v>
      </c>
      <c r="P434" s="20" t="str">
        <f aca="false">IF(J434&gt;0,IF(J434&lt;5000,"PASS","FLAG - Review Price"),"FAIL - Zero Price")</f>
        <v>PASS</v>
      </c>
      <c r="Q434" s="20" t="str">
        <f aca="false">IF('Raw Catalog'!P432&lt;&gt;"","PASS","FAIL - No Image")</f>
        <v>PASS</v>
      </c>
      <c r="R434" s="20" t="str">
        <f aca="false">IF(F434&lt;&gt;"","PASS","FAIL - No Brand")</f>
        <v>PASS</v>
      </c>
      <c r="S434" s="20" t="str">
        <f aca="true">IF(K434="","FAIL - No Date",IF(TODAY()-DATEVALUE(K434)&lt;=180,"PASS","FLAG - Stale &gt;180d"))</f>
        <v>FLAG - Stale &gt;180d</v>
      </c>
      <c r="T434" s="20" t="n">
        <f aca="false">COUNTIF(M434:S434,"FAIL*")+COUNTIF(M434:S434,"FLAG*")</f>
        <v>1</v>
      </c>
      <c r="U434" s="20" t="str">
        <f aca="false">IF(T434=0,"CLEAN",IF(T434=1,"MINOR",IF(T434&lt;=3,"MODERATE","CRITICAL")))</f>
        <v>MINOR</v>
      </c>
      <c r="V434" s="20" t="str">
        <f aca="false">IF(U434="CLEAN","None",IF(U434="MINOR","Seller Notify",IF(U434="MODERATE","Listing Suspended","Immediate Removal")))</f>
        <v>Seller Notify</v>
      </c>
    </row>
    <row r="435" customFormat="false" ht="18" hidden="false" customHeight="true" outlineLevel="0" collapsed="false">
      <c r="A435" s="19" t="s">
        <v>6512</v>
      </c>
      <c r="B435" s="19" t="s">
        <v>3096</v>
      </c>
      <c r="C435" s="19" t="s">
        <v>173</v>
      </c>
      <c r="D435" s="19" t="s">
        <v>174</v>
      </c>
      <c r="E435" s="19" t="s">
        <v>91</v>
      </c>
      <c r="F435" s="19" t="s">
        <v>185</v>
      </c>
      <c r="G435" s="19" t="s">
        <v>3098</v>
      </c>
      <c r="H435" s="19" t="s">
        <v>3099</v>
      </c>
      <c r="I435" s="19" t="s">
        <v>190</v>
      </c>
      <c r="J435" s="19" t="n">
        <v>1588.67</v>
      </c>
      <c r="K435" s="19" t="s">
        <v>3050</v>
      </c>
      <c r="L435" s="19"/>
      <c r="M435" s="20" t="str">
        <f aca="false">IF(G435&lt;&gt;"","PASS","FAIL - Missing UPC")</f>
        <v>PASS</v>
      </c>
      <c r="N435" s="20" t="str">
        <f aca="false">IF(AND(G435&lt;&gt;"",H435&lt;&gt;""),IF("0"&amp;G435=H435,"PASS","FAIL - GTIN Mismatch"),"SKIP")</f>
        <v>PASS</v>
      </c>
      <c r="O435" s="20" t="str">
        <f aca="false">IF(I435="","FAIL - No Title",IF(LEN(I435)&lt;=126,"PASS","FAIL - Title &gt;"&amp;126&amp;" chars"))</f>
        <v>PASS</v>
      </c>
      <c r="P435" s="20" t="str">
        <f aca="false">IF(J435&gt;0,IF(J435&lt;5000,"PASS","FLAG - Review Price"),"FAIL - Zero Price")</f>
        <v>PASS</v>
      </c>
      <c r="Q435" s="20" t="str">
        <f aca="false">IF('Raw Catalog'!P433&lt;&gt;"","PASS","FAIL - No Image")</f>
        <v>PASS</v>
      </c>
      <c r="R435" s="20" t="str">
        <f aca="false">IF(F435&lt;&gt;"","PASS","FAIL - No Brand")</f>
        <v>PASS</v>
      </c>
      <c r="S435" s="20" t="str">
        <f aca="true">IF(K435="","FAIL - No Date",IF(TODAY()-DATEVALUE(K435)&lt;=180,"PASS","FLAG - Stale &gt;180d"))</f>
        <v>FLAG - Stale &gt;180d</v>
      </c>
      <c r="T435" s="20" t="n">
        <f aca="false">COUNTIF(M435:S435,"FAIL*")+COUNTIF(M435:S435,"FLAG*")</f>
        <v>1</v>
      </c>
      <c r="U435" s="20" t="str">
        <f aca="false">IF(T435=0,"CLEAN",IF(T435=1,"MINOR",IF(T435&lt;=3,"MODERATE","CRITICAL")))</f>
        <v>MINOR</v>
      </c>
      <c r="V435" s="20" t="str">
        <f aca="false">IF(U435="CLEAN","None",IF(U435="MINOR","Seller Notify",IF(U435="MODERATE","Listing Suspended","Immediate Removal")))</f>
        <v>Seller Notify</v>
      </c>
    </row>
    <row r="436" customFormat="false" ht="18" hidden="false" customHeight="true" outlineLevel="0" collapsed="false">
      <c r="A436" s="19" t="s">
        <v>6513</v>
      </c>
      <c r="B436" s="19" t="s">
        <v>3100</v>
      </c>
      <c r="C436" s="19" t="s">
        <v>159</v>
      </c>
      <c r="D436" s="19" t="s">
        <v>160</v>
      </c>
      <c r="E436" s="19" t="s">
        <v>161</v>
      </c>
      <c r="F436" s="19" t="s">
        <v>51</v>
      </c>
      <c r="G436" s="19" t="s">
        <v>3102</v>
      </c>
      <c r="H436" s="19" t="s">
        <v>3103</v>
      </c>
      <c r="I436" s="19" t="s">
        <v>3104</v>
      </c>
      <c r="J436" s="19" t="n">
        <v>74.36</v>
      </c>
      <c r="K436" s="19" t="s">
        <v>829</v>
      </c>
      <c r="L436" s="19"/>
      <c r="M436" s="20" t="str">
        <f aca="false">IF(G436&lt;&gt;"","PASS","FAIL - Missing UPC")</f>
        <v>PASS</v>
      </c>
      <c r="N436" s="20" t="str">
        <f aca="false">IF(AND(G436&lt;&gt;"",H436&lt;&gt;""),IF("0"&amp;G436=H436,"PASS","FAIL - GTIN Mismatch"),"SKIP")</f>
        <v>PASS</v>
      </c>
      <c r="O436" s="20" t="str">
        <f aca="false">IF(I436="","FAIL - No Title",IF(LEN(I436)&lt;=126,"PASS","FAIL - Title &gt;"&amp;126&amp;" chars"))</f>
        <v>PASS</v>
      </c>
      <c r="P436" s="20" t="str">
        <f aca="false">IF(J436&gt;0,IF(J436&lt;5000,"PASS","FLAG - Review Price"),"FAIL - Zero Price")</f>
        <v>PASS</v>
      </c>
      <c r="Q436" s="20" t="str">
        <f aca="false">IF('Raw Catalog'!P434&lt;&gt;"","PASS","FAIL - No Image")</f>
        <v>PASS</v>
      </c>
      <c r="R436" s="20" t="str">
        <f aca="false">IF(F436&lt;&gt;"","PASS","FAIL - No Brand")</f>
        <v>PASS</v>
      </c>
      <c r="S436" s="20" t="str">
        <f aca="true">IF(K436="","FAIL - No Date",IF(TODAY()-DATEVALUE(K436)&lt;=180,"PASS","FLAG - Stale &gt;180d"))</f>
        <v>FLAG - Stale &gt;180d</v>
      </c>
      <c r="T436" s="20" t="n">
        <f aca="false">COUNTIF(M436:S436,"FAIL*")+COUNTIF(M436:S436,"FLAG*")</f>
        <v>1</v>
      </c>
      <c r="U436" s="20" t="str">
        <f aca="false">IF(T436=0,"CLEAN",IF(T436=1,"MINOR",IF(T436&lt;=3,"MODERATE","CRITICAL")))</f>
        <v>MINOR</v>
      </c>
      <c r="V436" s="20" t="str">
        <f aca="false">IF(U436="CLEAN","None",IF(U436="MINOR","Seller Notify",IF(U436="MODERATE","Listing Suspended","Immediate Removal")))</f>
        <v>Seller Notify</v>
      </c>
    </row>
    <row r="437" customFormat="false" ht="18" hidden="false" customHeight="true" outlineLevel="0" collapsed="false">
      <c r="A437" s="19" t="s">
        <v>6514</v>
      </c>
      <c r="B437" s="19" t="s">
        <v>3105</v>
      </c>
      <c r="C437" s="19" t="s">
        <v>113</v>
      </c>
      <c r="D437" s="19" t="s">
        <v>114</v>
      </c>
      <c r="E437" s="19" t="s">
        <v>79</v>
      </c>
      <c r="F437" s="19" t="s">
        <v>503</v>
      </c>
      <c r="G437" s="19" t="s">
        <v>3107</v>
      </c>
      <c r="H437" s="19" t="s">
        <v>3108</v>
      </c>
      <c r="I437" s="19" t="s">
        <v>3109</v>
      </c>
      <c r="J437" s="19" t="n">
        <v>199.43</v>
      </c>
      <c r="K437" s="19" t="s">
        <v>1423</v>
      </c>
      <c r="L437" s="21" t="s">
        <v>453</v>
      </c>
      <c r="M437" s="20" t="str">
        <f aca="false">IF(G437&lt;&gt;"","PASS","FAIL - Missing UPC")</f>
        <v>PASS</v>
      </c>
      <c r="N437" s="20" t="str">
        <f aca="false">IF(AND(G437&lt;&gt;"",H437&lt;&gt;""),IF("0"&amp;G437=H437,"PASS","FAIL - GTIN Mismatch"),"SKIP")</f>
        <v>PASS</v>
      </c>
      <c r="O437" s="20" t="str">
        <f aca="false">IF(I437="","FAIL - No Title",IF(LEN(I437)&lt;=126,"PASS","FAIL - Title &gt;"&amp;126&amp;" chars"))</f>
        <v>PASS</v>
      </c>
      <c r="P437" s="20" t="str">
        <f aca="false">IF(J437&gt;0,IF(J437&lt;5000,"PASS","FLAG - Review Price"),"FAIL - Zero Price")</f>
        <v>PASS</v>
      </c>
      <c r="Q437" s="20" t="str">
        <f aca="false">IF('Raw Catalog'!P435&lt;&gt;"","PASS","FAIL - No Image")</f>
        <v>PASS</v>
      </c>
      <c r="R437" s="20" t="str">
        <f aca="false">IF(F437&lt;&gt;"","PASS","FAIL - No Brand")</f>
        <v>PASS</v>
      </c>
      <c r="S437" s="20" t="str">
        <f aca="true">IF(K437="","FAIL - No Date",IF(TODAY()-DATEVALUE(K437)&lt;=180,"PASS","FLAG - Stale &gt;180d"))</f>
        <v>FLAG - Stale &gt;180d</v>
      </c>
      <c r="T437" s="20" t="n">
        <f aca="false">COUNTIF(M437:S437,"FAIL*")+COUNTIF(M437:S437,"FLAG*")</f>
        <v>1</v>
      </c>
      <c r="U437" s="20" t="str">
        <f aca="false">IF(T437=0,"CLEAN",IF(T437=1,"MINOR",IF(T437&lt;=3,"MODERATE","CRITICAL")))</f>
        <v>MINOR</v>
      </c>
      <c r="V437" s="20" t="str">
        <f aca="false">IF(U437="CLEAN","None",IF(U437="MINOR","Seller Notify",IF(U437="MODERATE","Listing Suspended","Immediate Removal")))</f>
        <v>Seller Notify</v>
      </c>
    </row>
    <row r="438" customFormat="false" ht="18" hidden="false" customHeight="true" outlineLevel="0" collapsed="false">
      <c r="A438" s="19" t="s">
        <v>6515</v>
      </c>
      <c r="B438" s="19" t="s">
        <v>3111</v>
      </c>
      <c r="C438" s="19" t="s">
        <v>113</v>
      </c>
      <c r="D438" s="19" t="s">
        <v>114</v>
      </c>
      <c r="E438" s="19" t="s">
        <v>161</v>
      </c>
      <c r="F438" s="19" t="s">
        <v>51</v>
      </c>
      <c r="G438" s="19" t="s">
        <v>3113</v>
      </c>
      <c r="H438" s="19" t="s">
        <v>3114</v>
      </c>
      <c r="I438" s="19" t="s">
        <v>3115</v>
      </c>
      <c r="J438" s="19" t="n">
        <v>332.39</v>
      </c>
      <c r="K438" s="19" t="s">
        <v>323</v>
      </c>
      <c r="L438" s="19"/>
      <c r="M438" s="20" t="str">
        <f aca="false">IF(G438&lt;&gt;"","PASS","FAIL - Missing UPC")</f>
        <v>PASS</v>
      </c>
      <c r="N438" s="20" t="str">
        <f aca="false">IF(AND(G438&lt;&gt;"",H438&lt;&gt;""),IF("0"&amp;G438=H438,"PASS","FAIL - GTIN Mismatch"),"SKIP")</f>
        <v>PASS</v>
      </c>
      <c r="O438" s="20" t="str">
        <f aca="false">IF(I438="","FAIL - No Title",IF(LEN(I438)&lt;=126,"PASS","FAIL - Title &gt;"&amp;126&amp;" chars"))</f>
        <v>PASS</v>
      </c>
      <c r="P438" s="20" t="str">
        <f aca="false">IF(J438&gt;0,IF(J438&lt;5000,"PASS","FLAG - Review Price"),"FAIL - Zero Price")</f>
        <v>PASS</v>
      </c>
      <c r="Q438" s="20" t="str">
        <f aca="false">IF('Raw Catalog'!P436&lt;&gt;"","PASS","FAIL - No Image")</f>
        <v>PASS</v>
      </c>
      <c r="R438" s="20" t="str">
        <f aca="false">IF(F438&lt;&gt;"","PASS","FAIL - No Brand")</f>
        <v>PASS</v>
      </c>
      <c r="S438" s="20" t="str">
        <f aca="true">IF(K438="","FAIL - No Date",IF(TODAY()-DATEVALUE(K438)&lt;=180,"PASS","FLAG - Stale &gt;180d"))</f>
        <v>FLAG - Stale &gt;180d</v>
      </c>
      <c r="T438" s="20" t="n">
        <f aca="false">COUNTIF(M438:S438,"FAIL*")+COUNTIF(M438:S438,"FLAG*")</f>
        <v>1</v>
      </c>
      <c r="U438" s="20" t="str">
        <f aca="false">IF(T438=0,"CLEAN",IF(T438=1,"MINOR",IF(T438&lt;=3,"MODERATE","CRITICAL")))</f>
        <v>MINOR</v>
      </c>
      <c r="V438" s="20" t="str">
        <f aca="false">IF(U438="CLEAN","None",IF(U438="MINOR","Seller Notify",IF(U438="MODERATE","Listing Suspended","Immediate Removal")))</f>
        <v>Seller Notify</v>
      </c>
    </row>
    <row r="439" customFormat="false" ht="18" hidden="false" customHeight="true" outlineLevel="0" collapsed="false">
      <c r="A439" s="19" t="s">
        <v>6516</v>
      </c>
      <c r="B439" s="19" t="s">
        <v>3116</v>
      </c>
      <c r="C439" s="19" t="s">
        <v>77</v>
      </c>
      <c r="D439" s="19" t="s">
        <v>78</v>
      </c>
      <c r="E439" s="19" t="s">
        <v>50</v>
      </c>
      <c r="F439" s="19" t="s">
        <v>503</v>
      </c>
      <c r="G439" s="19" t="s">
        <v>3118</v>
      </c>
      <c r="H439" s="19" t="s">
        <v>3119</v>
      </c>
      <c r="I439" s="19" t="s">
        <v>3120</v>
      </c>
      <c r="J439" s="19" t="n">
        <v>1292.25</v>
      </c>
      <c r="K439" s="19" t="s">
        <v>2634</v>
      </c>
      <c r="L439" s="19"/>
      <c r="M439" s="20" t="str">
        <f aca="false">IF(G439&lt;&gt;"","PASS","FAIL - Missing UPC")</f>
        <v>PASS</v>
      </c>
      <c r="N439" s="20" t="str">
        <f aca="false">IF(AND(G439&lt;&gt;"",H439&lt;&gt;""),IF("0"&amp;G439=H439,"PASS","FAIL - GTIN Mismatch"),"SKIP")</f>
        <v>PASS</v>
      </c>
      <c r="O439" s="20" t="str">
        <f aca="false">IF(I439="","FAIL - No Title",IF(LEN(I439)&lt;=126,"PASS","FAIL - Title &gt;"&amp;126&amp;" chars"))</f>
        <v>PASS</v>
      </c>
      <c r="P439" s="20" t="str">
        <f aca="false">IF(J439&gt;0,IF(J439&lt;5000,"PASS","FLAG - Review Price"),"FAIL - Zero Price")</f>
        <v>PASS</v>
      </c>
      <c r="Q439" s="20" t="str">
        <f aca="false">IF('Raw Catalog'!P437&lt;&gt;"","PASS","FAIL - No Image")</f>
        <v>PASS</v>
      </c>
      <c r="R439" s="20" t="str">
        <f aca="false">IF(F439&lt;&gt;"","PASS","FAIL - No Brand")</f>
        <v>PASS</v>
      </c>
      <c r="S439" s="20" t="str">
        <f aca="true">IF(K439="","FAIL - No Date",IF(TODAY()-DATEVALUE(K439)&lt;=180,"PASS","FLAG - Stale &gt;180d"))</f>
        <v>FLAG - Stale &gt;180d</v>
      </c>
      <c r="T439" s="20" t="n">
        <f aca="false">COUNTIF(M439:S439,"FAIL*")+COUNTIF(M439:S439,"FLAG*")</f>
        <v>1</v>
      </c>
      <c r="U439" s="20" t="str">
        <f aca="false">IF(T439=0,"CLEAN",IF(T439=1,"MINOR",IF(T439&lt;=3,"MODERATE","CRITICAL")))</f>
        <v>MINOR</v>
      </c>
      <c r="V439" s="20" t="str">
        <f aca="false">IF(U439="CLEAN","None",IF(U439="MINOR","Seller Notify",IF(U439="MODERATE","Listing Suspended","Immediate Removal")))</f>
        <v>Seller Notify</v>
      </c>
    </row>
    <row r="440" customFormat="false" ht="18" hidden="false" customHeight="true" outlineLevel="0" collapsed="false">
      <c r="A440" s="19" t="s">
        <v>6517</v>
      </c>
      <c r="B440" s="19" t="s">
        <v>3121</v>
      </c>
      <c r="C440" s="19" t="s">
        <v>125</v>
      </c>
      <c r="D440" s="19" t="s">
        <v>126</v>
      </c>
      <c r="E440" s="19" t="s">
        <v>161</v>
      </c>
      <c r="F440" s="19" t="s">
        <v>429</v>
      </c>
      <c r="G440" s="19" t="s">
        <v>3123</v>
      </c>
      <c r="H440" s="19" t="s">
        <v>3124</v>
      </c>
      <c r="I440" s="19" t="s">
        <v>1080</v>
      </c>
      <c r="J440" s="19" t="n">
        <v>137.62</v>
      </c>
      <c r="K440" s="19" t="s">
        <v>3125</v>
      </c>
      <c r="L440" s="19"/>
      <c r="M440" s="20" t="str">
        <f aca="false">IF(G440&lt;&gt;"","PASS","FAIL - Missing UPC")</f>
        <v>PASS</v>
      </c>
      <c r="N440" s="20" t="str">
        <f aca="false">IF(AND(G440&lt;&gt;"",H440&lt;&gt;""),IF("0"&amp;G440=H440,"PASS","FAIL - GTIN Mismatch"),"SKIP")</f>
        <v>PASS</v>
      </c>
      <c r="O440" s="20" t="str">
        <f aca="false">IF(I440="","FAIL - No Title",IF(LEN(I440)&lt;=126,"PASS","FAIL - Title &gt;"&amp;126&amp;" chars"))</f>
        <v>PASS</v>
      </c>
      <c r="P440" s="20" t="str">
        <f aca="false">IF(J440&gt;0,IF(J440&lt;5000,"PASS","FLAG - Review Price"),"FAIL - Zero Price")</f>
        <v>PASS</v>
      </c>
      <c r="Q440" s="20" t="str">
        <f aca="false">IF('Raw Catalog'!P438&lt;&gt;"","PASS","FAIL - No Image")</f>
        <v>PASS</v>
      </c>
      <c r="R440" s="20" t="str">
        <f aca="false">IF(F440&lt;&gt;"","PASS","FAIL - No Brand")</f>
        <v>PASS</v>
      </c>
      <c r="S440" s="20" t="str">
        <f aca="true">IF(K440="","FAIL - No Date",IF(TODAY()-DATEVALUE(K440)&lt;=180,"PASS","FLAG - Stale &gt;180d"))</f>
        <v>FLAG - Stale &gt;180d</v>
      </c>
      <c r="T440" s="20" t="n">
        <f aca="false">COUNTIF(M440:S440,"FAIL*")+COUNTIF(M440:S440,"FLAG*")</f>
        <v>1</v>
      </c>
      <c r="U440" s="20" t="str">
        <f aca="false">IF(T440=0,"CLEAN",IF(T440=1,"MINOR",IF(T440&lt;=3,"MODERATE","CRITICAL")))</f>
        <v>MINOR</v>
      </c>
      <c r="V440" s="20" t="str">
        <f aca="false">IF(U440="CLEAN","None",IF(U440="MINOR","Seller Notify",IF(U440="MODERATE","Listing Suspended","Immediate Removal")))</f>
        <v>Seller Notify</v>
      </c>
    </row>
    <row r="441" customFormat="false" ht="18" hidden="false" customHeight="true" outlineLevel="0" collapsed="false">
      <c r="A441" s="19" t="s">
        <v>6518</v>
      </c>
      <c r="B441" s="19" t="s">
        <v>3126</v>
      </c>
      <c r="C441" s="19" t="s">
        <v>63</v>
      </c>
      <c r="D441" s="19" t="s">
        <v>64</v>
      </c>
      <c r="E441" s="19" t="s">
        <v>65</v>
      </c>
      <c r="F441" s="19" t="s">
        <v>245</v>
      </c>
      <c r="G441" s="19" t="s">
        <v>3128</v>
      </c>
      <c r="H441" s="19" t="s">
        <v>3129</v>
      </c>
      <c r="I441" s="19" t="s">
        <v>249</v>
      </c>
      <c r="J441" s="19" t="n">
        <v>179.97</v>
      </c>
      <c r="K441" s="19" t="s">
        <v>1334</v>
      </c>
      <c r="L441" s="19"/>
      <c r="M441" s="20" t="str">
        <f aca="false">IF(G441&lt;&gt;"","PASS","FAIL - Missing UPC")</f>
        <v>PASS</v>
      </c>
      <c r="N441" s="20" t="str">
        <f aca="false">IF(AND(G441&lt;&gt;"",H441&lt;&gt;""),IF("0"&amp;G441=H441,"PASS","FAIL - GTIN Mismatch"),"SKIP")</f>
        <v>PASS</v>
      </c>
      <c r="O441" s="20" t="str">
        <f aca="false">IF(I441="","FAIL - No Title",IF(LEN(I441)&lt;=126,"PASS","FAIL - Title &gt;"&amp;126&amp;" chars"))</f>
        <v>PASS</v>
      </c>
      <c r="P441" s="20" t="str">
        <f aca="false">IF(J441&gt;0,IF(J441&lt;5000,"PASS","FLAG - Review Price"),"FAIL - Zero Price")</f>
        <v>PASS</v>
      </c>
      <c r="Q441" s="20" t="str">
        <f aca="false">IF('Raw Catalog'!P439&lt;&gt;"","PASS","FAIL - No Image")</f>
        <v>PASS</v>
      </c>
      <c r="R441" s="20" t="str">
        <f aca="false">IF(F441&lt;&gt;"","PASS","FAIL - No Brand")</f>
        <v>PASS</v>
      </c>
      <c r="S441" s="20" t="str">
        <f aca="true">IF(K441="","FAIL - No Date",IF(TODAY()-DATEVALUE(K441)&lt;=180,"PASS","FLAG - Stale &gt;180d"))</f>
        <v>FLAG - Stale &gt;180d</v>
      </c>
      <c r="T441" s="20" t="n">
        <f aca="false">COUNTIF(M441:S441,"FAIL*")+COUNTIF(M441:S441,"FLAG*")</f>
        <v>1</v>
      </c>
      <c r="U441" s="20" t="str">
        <f aca="false">IF(T441=0,"CLEAN",IF(T441=1,"MINOR",IF(T441&lt;=3,"MODERATE","CRITICAL")))</f>
        <v>MINOR</v>
      </c>
      <c r="V441" s="20" t="str">
        <f aca="false">IF(U441="CLEAN","None",IF(U441="MINOR","Seller Notify",IF(U441="MODERATE","Listing Suspended","Immediate Removal")))</f>
        <v>Seller Notify</v>
      </c>
    </row>
    <row r="442" customFormat="false" ht="18" hidden="false" customHeight="true" outlineLevel="0" collapsed="false">
      <c r="A442" s="19" t="s">
        <v>6519</v>
      </c>
      <c r="B442" s="19" t="s">
        <v>3130</v>
      </c>
      <c r="C442" s="19" t="s">
        <v>173</v>
      </c>
      <c r="D442" s="19" t="s">
        <v>174</v>
      </c>
      <c r="E442" s="19" t="s">
        <v>65</v>
      </c>
      <c r="F442" s="19" t="s">
        <v>66</v>
      </c>
      <c r="G442" s="19" t="s">
        <v>3132</v>
      </c>
      <c r="H442" s="19" t="s">
        <v>3133</v>
      </c>
      <c r="I442" s="19" t="s">
        <v>1145</v>
      </c>
      <c r="J442" s="19" t="n">
        <v>224.88</v>
      </c>
      <c r="K442" s="19" t="s">
        <v>342</v>
      </c>
      <c r="L442" s="19"/>
      <c r="M442" s="20" t="str">
        <f aca="false">IF(G442&lt;&gt;"","PASS","FAIL - Missing UPC")</f>
        <v>PASS</v>
      </c>
      <c r="N442" s="20" t="str">
        <f aca="false">IF(AND(G442&lt;&gt;"",H442&lt;&gt;""),IF("0"&amp;G442=H442,"PASS","FAIL - GTIN Mismatch"),"SKIP")</f>
        <v>PASS</v>
      </c>
      <c r="O442" s="20" t="str">
        <f aca="false">IF(I442="","FAIL - No Title",IF(LEN(I442)&lt;=126,"PASS","FAIL - Title &gt;"&amp;126&amp;" chars"))</f>
        <v>PASS</v>
      </c>
      <c r="P442" s="20" t="str">
        <f aca="false">IF(J442&gt;0,IF(J442&lt;5000,"PASS","FLAG - Review Price"),"FAIL - Zero Price")</f>
        <v>PASS</v>
      </c>
      <c r="Q442" s="20" t="str">
        <f aca="false">IF('Raw Catalog'!P440&lt;&gt;"","PASS","FAIL - No Image")</f>
        <v>PASS</v>
      </c>
      <c r="R442" s="20" t="str">
        <f aca="false">IF(F442&lt;&gt;"","PASS","FAIL - No Brand")</f>
        <v>PASS</v>
      </c>
      <c r="S442" s="20" t="str">
        <f aca="true">IF(K442="","FAIL - No Date",IF(TODAY()-DATEVALUE(K442)&lt;=180,"PASS","FLAG - Stale &gt;180d"))</f>
        <v>FLAG - Stale &gt;180d</v>
      </c>
      <c r="T442" s="20" t="n">
        <f aca="false">COUNTIF(M442:S442,"FAIL*")+COUNTIF(M442:S442,"FLAG*")</f>
        <v>1</v>
      </c>
      <c r="U442" s="20" t="str">
        <f aca="false">IF(T442=0,"CLEAN",IF(T442=1,"MINOR",IF(T442&lt;=3,"MODERATE","CRITICAL")))</f>
        <v>MINOR</v>
      </c>
      <c r="V442" s="20" t="str">
        <f aca="false">IF(U442="CLEAN","None",IF(U442="MINOR","Seller Notify",IF(U442="MODERATE","Listing Suspended","Immediate Removal")))</f>
        <v>Seller Notify</v>
      </c>
    </row>
    <row r="443" customFormat="false" ht="18" hidden="false" customHeight="true" outlineLevel="0" collapsed="false">
      <c r="A443" s="19" t="s">
        <v>6520</v>
      </c>
      <c r="B443" s="19" t="s">
        <v>3134</v>
      </c>
      <c r="C443" s="19" t="s">
        <v>159</v>
      </c>
      <c r="D443" s="19" t="s">
        <v>160</v>
      </c>
      <c r="E443" s="19" t="s">
        <v>65</v>
      </c>
      <c r="F443" s="19" t="s">
        <v>245</v>
      </c>
      <c r="G443" s="19" t="s">
        <v>3136</v>
      </c>
      <c r="H443" s="19" t="s">
        <v>3137</v>
      </c>
      <c r="I443" s="19" t="s">
        <v>1832</v>
      </c>
      <c r="J443" s="19" t="n">
        <v>363.36</v>
      </c>
      <c r="K443" s="19" t="s">
        <v>2634</v>
      </c>
      <c r="L443" s="19"/>
      <c r="M443" s="20" t="str">
        <f aca="false">IF(G443&lt;&gt;"","PASS","FAIL - Missing UPC")</f>
        <v>PASS</v>
      </c>
      <c r="N443" s="20" t="str">
        <f aca="false">IF(AND(G443&lt;&gt;"",H443&lt;&gt;""),IF("0"&amp;G443=H443,"PASS","FAIL - GTIN Mismatch"),"SKIP")</f>
        <v>PASS</v>
      </c>
      <c r="O443" s="20" t="str">
        <f aca="false">IF(I443="","FAIL - No Title",IF(LEN(I443)&lt;=126,"PASS","FAIL - Title &gt;"&amp;126&amp;" chars"))</f>
        <v>PASS</v>
      </c>
      <c r="P443" s="20" t="str">
        <f aca="false">IF(J443&gt;0,IF(J443&lt;5000,"PASS","FLAG - Review Price"),"FAIL - Zero Price")</f>
        <v>PASS</v>
      </c>
      <c r="Q443" s="20" t="str">
        <f aca="false">IF('Raw Catalog'!P441&lt;&gt;"","PASS","FAIL - No Image")</f>
        <v>PASS</v>
      </c>
      <c r="R443" s="20" t="str">
        <f aca="false">IF(F443&lt;&gt;"","PASS","FAIL - No Brand")</f>
        <v>PASS</v>
      </c>
      <c r="S443" s="20" t="str">
        <f aca="true">IF(K443="","FAIL - No Date",IF(TODAY()-DATEVALUE(K443)&lt;=180,"PASS","FLAG - Stale &gt;180d"))</f>
        <v>FLAG - Stale &gt;180d</v>
      </c>
      <c r="T443" s="20" t="n">
        <f aca="false">COUNTIF(M443:S443,"FAIL*")+COUNTIF(M443:S443,"FLAG*")</f>
        <v>1</v>
      </c>
      <c r="U443" s="20" t="str">
        <f aca="false">IF(T443=0,"CLEAN",IF(T443=1,"MINOR",IF(T443&lt;=3,"MODERATE","CRITICAL")))</f>
        <v>MINOR</v>
      </c>
      <c r="V443" s="20" t="str">
        <f aca="false">IF(U443="CLEAN","None",IF(U443="MINOR","Seller Notify",IF(U443="MODERATE","Listing Suspended","Immediate Removal")))</f>
        <v>Seller Notify</v>
      </c>
    </row>
    <row r="444" customFormat="false" ht="18" hidden="false" customHeight="true" outlineLevel="0" collapsed="false">
      <c r="A444" s="19" t="s">
        <v>6521</v>
      </c>
      <c r="B444" s="19" t="s">
        <v>3138</v>
      </c>
      <c r="C444" s="19" t="s">
        <v>159</v>
      </c>
      <c r="D444" s="19" t="s">
        <v>160</v>
      </c>
      <c r="E444" s="19" t="s">
        <v>91</v>
      </c>
      <c r="F444" s="19" t="s">
        <v>138</v>
      </c>
      <c r="G444" s="19" t="s">
        <v>3140</v>
      </c>
      <c r="H444" s="19" t="s">
        <v>3141</v>
      </c>
      <c r="I444" s="19" t="s">
        <v>3142</v>
      </c>
      <c r="J444" s="19" t="n">
        <v>3466.09</v>
      </c>
      <c r="K444" s="19" t="s">
        <v>3143</v>
      </c>
      <c r="L444" s="19"/>
      <c r="M444" s="20" t="str">
        <f aca="false">IF(G444&lt;&gt;"","PASS","FAIL - Missing UPC")</f>
        <v>PASS</v>
      </c>
      <c r="N444" s="20" t="str">
        <f aca="false">IF(AND(G444&lt;&gt;"",H444&lt;&gt;""),IF("0"&amp;G444=H444,"PASS","FAIL - GTIN Mismatch"),"SKIP")</f>
        <v>PASS</v>
      </c>
      <c r="O444" s="20" t="str">
        <f aca="false">IF(I444="","FAIL - No Title",IF(LEN(I444)&lt;=126,"PASS","FAIL - Title &gt;"&amp;126&amp;" chars"))</f>
        <v>PASS</v>
      </c>
      <c r="P444" s="20" t="str">
        <f aca="false">IF(J444&gt;0,IF(J444&lt;5000,"PASS","FLAG - Review Price"),"FAIL - Zero Price")</f>
        <v>PASS</v>
      </c>
      <c r="Q444" s="20" t="str">
        <f aca="false">IF('Raw Catalog'!P442&lt;&gt;"","PASS","FAIL - No Image")</f>
        <v>PASS</v>
      </c>
      <c r="R444" s="20" t="str">
        <f aca="false">IF(F444&lt;&gt;"","PASS","FAIL - No Brand")</f>
        <v>PASS</v>
      </c>
      <c r="S444" s="20" t="str">
        <f aca="true">IF(K444="","FAIL - No Date",IF(TODAY()-DATEVALUE(K444)&lt;=180,"PASS","FLAG - Stale &gt;180d"))</f>
        <v>FLAG - Stale &gt;180d</v>
      </c>
      <c r="T444" s="20" t="n">
        <f aca="false">COUNTIF(M444:S444,"FAIL*")+COUNTIF(M444:S444,"FLAG*")</f>
        <v>1</v>
      </c>
      <c r="U444" s="20" t="str">
        <f aca="false">IF(T444=0,"CLEAN",IF(T444=1,"MINOR",IF(T444&lt;=3,"MODERATE","CRITICAL")))</f>
        <v>MINOR</v>
      </c>
      <c r="V444" s="20" t="str">
        <f aca="false">IF(U444="CLEAN","None",IF(U444="MINOR","Seller Notify",IF(U444="MODERATE","Listing Suspended","Immediate Removal")))</f>
        <v>Seller Notify</v>
      </c>
    </row>
    <row r="445" customFormat="false" ht="18" hidden="false" customHeight="true" outlineLevel="0" collapsed="false">
      <c r="A445" s="19" t="s">
        <v>6522</v>
      </c>
      <c r="B445" s="19" t="s">
        <v>3144</v>
      </c>
      <c r="C445" s="19" t="s">
        <v>255</v>
      </c>
      <c r="D445" s="19" t="s">
        <v>256</v>
      </c>
      <c r="E445" s="19" t="s">
        <v>65</v>
      </c>
      <c r="F445" s="19" t="s">
        <v>245</v>
      </c>
      <c r="G445" s="19" t="s">
        <v>3146</v>
      </c>
      <c r="H445" s="19" t="s">
        <v>3147</v>
      </c>
      <c r="I445" s="19" t="s">
        <v>1832</v>
      </c>
      <c r="J445" s="19" t="n">
        <v>285.75</v>
      </c>
      <c r="K445" s="19" t="s">
        <v>2474</v>
      </c>
      <c r="L445" s="19"/>
      <c r="M445" s="20" t="str">
        <f aca="false">IF(G445&lt;&gt;"","PASS","FAIL - Missing UPC")</f>
        <v>PASS</v>
      </c>
      <c r="N445" s="20" t="str">
        <f aca="false">IF(AND(G445&lt;&gt;"",H445&lt;&gt;""),IF("0"&amp;G445=H445,"PASS","FAIL - GTIN Mismatch"),"SKIP")</f>
        <v>PASS</v>
      </c>
      <c r="O445" s="20" t="str">
        <f aca="false">IF(I445="","FAIL - No Title",IF(LEN(I445)&lt;=126,"PASS","FAIL - Title &gt;"&amp;126&amp;" chars"))</f>
        <v>PASS</v>
      </c>
      <c r="P445" s="20" t="str">
        <f aca="false">IF(J445&gt;0,IF(J445&lt;5000,"PASS","FLAG - Review Price"),"FAIL - Zero Price")</f>
        <v>PASS</v>
      </c>
      <c r="Q445" s="20" t="str">
        <f aca="false">IF('Raw Catalog'!P443&lt;&gt;"","PASS","FAIL - No Image")</f>
        <v>PASS</v>
      </c>
      <c r="R445" s="20" t="str">
        <f aca="false">IF(F445&lt;&gt;"","PASS","FAIL - No Brand")</f>
        <v>PASS</v>
      </c>
      <c r="S445" s="20" t="str">
        <f aca="true">IF(K445="","FAIL - No Date",IF(TODAY()-DATEVALUE(K445)&lt;=180,"PASS","FLAG - Stale &gt;180d"))</f>
        <v>FLAG - Stale &gt;180d</v>
      </c>
      <c r="T445" s="20" t="n">
        <f aca="false">COUNTIF(M445:S445,"FAIL*")+COUNTIF(M445:S445,"FLAG*")</f>
        <v>1</v>
      </c>
      <c r="U445" s="20" t="str">
        <f aca="false">IF(T445=0,"CLEAN",IF(T445=1,"MINOR",IF(T445&lt;=3,"MODERATE","CRITICAL")))</f>
        <v>MINOR</v>
      </c>
      <c r="V445" s="20" t="str">
        <f aca="false">IF(U445="CLEAN","None",IF(U445="MINOR","Seller Notify",IF(U445="MODERATE","Listing Suspended","Immediate Removal")))</f>
        <v>Seller Notify</v>
      </c>
    </row>
    <row r="446" customFormat="false" ht="18" hidden="false" customHeight="true" outlineLevel="0" collapsed="false">
      <c r="A446" s="19" t="s">
        <v>6523</v>
      </c>
      <c r="B446" s="19" t="s">
        <v>3148</v>
      </c>
      <c r="C446" s="19" t="s">
        <v>113</v>
      </c>
      <c r="D446" s="19" t="s">
        <v>114</v>
      </c>
      <c r="E446" s="19" t="s">
        <v>91</v>
      </c>
      <c r="F446" s="19" t="s">
        <v>138</v>
      </c>
      <c r="G446" s="19" t="s">
        <v>3150</v>
      </c>
      <c r="H446" s="19" t="s">
        <v>3151</v>
      </c>
      <c r="I446" s="19" t="s">
        <v>3152</v>
      </c>
      <c r="J446" s="19" t="n">
        <v>3522.07</v>
      </c>
      <c r="K446" s="19" t="s">
        <v>1685</v>
      </c>
      <c r="L446" s="19"/>
      <c r="M446" s="20" t="str">
        <f aca="false">IF(G446&lt;&gt;"","PASS","FAIL - Missing UPC")</f>
        <v>PASS</v>
      </c>
      <c r="N446" s="20" t="str">
        <f aca="false">IF(AND(G446&lt;&gt;"",H446&lt;&gt;""),IF("0"&amp;G446=H446,"PASS","FAIL - GTIN Mismatch"),"SKIP")</f>
        <v>PASS</v>
      </c>
      <c r="O446" s="20" t="str">
        <f aca="false">IF(I446="","FAIL - No Title",IF(LEN(I446)&lt;=126,"PASS","FAIL - Title &gt;"&amp;126&amp;" chars"))</f>
        <v>PASS</v>
      </c>
      <c r="P446" s="20" t="str">
        <f aca="false">IF(J446&gt;0,IF(J446&lt;5000,"PASS","FLAG - Review Price"),"FAIL - Zero Price")</f>
        <v>PASS</v>
      </c>
      <c r="Q446" s="20" t="str">
        <f aca="false">IF('Raw Catalog'!P444&lt;&gt;"","PASS","FAIL - No Image")</f>
        <v>PASS</v>
      </c>
      <c r="R446" s="20" t="str">
        <f aca="false">IF(F446&lt;&gt;"","PASS","FAIL - No Brand")</f>
        <v>PASS</v>
      </c>
      <c r="S446" s="20" t="str">
        <f aca="true">IF(K446="","FAIL - No Date",IF(TODAY()-DATEVALUE(K446)&lt;=180,"PASS","FLAG - Stale &gt;180d"))</f>
        <v>FLAG - Stale &gt;180d</v>
      </c>
      <c r="T446" s="20" t="n">
        <f aca="false">COUNTIF(M446:S446,"FAIL*")+COUNTIF(M446:S446,"FLAG*")</f>
        <v>1</v>
      </c>
      <c r="U446" s="20" t="str">
        <f aca="false">IF(T446=0,"CLEAN",IF(T446=1,"MINOR",IF(T446&lt;=3,"MODERATE","CRITICAL")))</f>
        <v>MINOR</v>
      </c>
      <c r="V446" s="20" t="str">
        <f aca="false">IF(U446="CLEAN","None",IF(U446="MINOR","Seller Notify",IF(U446="MODERATE","Listing Suspended","Immediate Removal")))</f>
        <v>Seller Notify</v>
      </c>
    </row>
    <row r="447" customFormat="false" ht="18" hidden="false" customHeight="true" outlineLevel="0" collapsed="false">
      <c r="A447" s="19" t="s">
        <v>6524</v>
      </c>
      <c r="B447" s="19" t="s">
        <v>3154</v>
      </c>
      <c r="C447" s="19" t="s">
        <v>63</v>
      </c>
      <c r="D447" s="19" t="s">
        <v>64</v>
      </c>
      <c r="E447" s="19" t="s">
        <v>65</v>
      </c>
      <c r="F447" s="19" t="s">
        <v>127</v>
      </c>
      <c r="G447" s="19" t="s">
        <v>3156</v>
      </c>
      <c r="H447" s="19" t="s">
        <v>3157</v>
      </c>
      <c r="I447" s="19" t="s">
        <v>3158</v>
      </c>
      <c r="J447" s="19" t="n">
        <v>1069.19</v>
      </c>
      <c r="K447" s="19" t="s">
        <v>1283</v>
      </c>
      <c r="L447" s="21" t="s">
        <v>453</v>
      </c>
      <c r="M447" s="20" t="str">
        <f aca="false">IF(G447&lt;&gt;"","PASS","FAIL - Missing UPC")</f>
        <v>PASS</v>
      </c>
      <c r="N447" s="20" t="str">
        <f aca="false">IF(AND(G447&lt;&gt;"",H447&lt;&gt;""),IF("0"&amp;G447=H447,"PASS","FAIL - GTIN Mismatch"),"SKIP")</f>
        <v>PASS</v>
      </c>
      <c r="O447" s="20" t="str">
        <f aca="false">IF(I447="","FAIL - No Title",IF(LEN(I447)&lt;=126,"PASS","FAIL - Title &gt;"&amp;126&amp;" chars"))</f>
        <v>PASS</v>
      </c>
      <c r="P447" s="20" t="str">
        <f aca="false">IF(J447&gt;0,IF(J447&lt;5000,"PASS","FLAG - Review Price"),"FAIL - Zero Price")</f>
        <v>PASS</v>
      </c>
      <c r="Q447" s="20" t="str">
        <f aca="false">IF('Raw Catalog'!P445&lt;&gt;"","PASS","FAIL - No Image")</f>
        <v>PASS</v>
      </c>
      <c r="R447" s="20" t="str">
        <f aca="false">IF(F447&lt;&gt;"","PASS","FAIL - No Brand")</f>
        <v>PASS</v>
      </c>
      <c r="S447" s="20" t="str">
        <f aca="true">IF(K447="","FAIL - No Date",IF(TODAY()-DATEVALUE(K447)&lt;=180,"PASS","FLAG - Stale &gt;180d"))</f>
        <v>FLAG - Stale &gt;180d</v>
      </c>
      <c r="T447" s="20" t="n">
        <f aca="false">COUNTIF(M447:S447,"FAIL*")+COUNTIF(M447:S447,"FLAG*")</f>
        <v>1</v>
      </c>
      <c r="U447" s="20" t="str">
        <f aca="false">IF(T447=0,"CLEAN",IF(T447=1,"MINOR",IF(T447&lt;=3,"MODERATE","CRITICAL")))</f>
        <v>MINOR</v>
      </c>
      <c r="V447" s="20" t="str">
        <f aca="false">IF(U447="CLEAN","None",IF(U447="MINOR","Seller Notify",IF(U447="MODERATE","Listing Suspended","Immediate Removal")))</f>
        <v>Seller Notify</v>
      </c>
    </row>
    <row r="448" customFormat="false" ht="18" hidden="false" customHeight="true" outlineLevel="0" collapsed="false">
      <c r="A448" s="19" t="s">
        <v>6525</v>
      </c>
      <c r="B448" s="19" t="s">
        <v>3160</v>
      </c>
      <c r="C448" s="19" t="s">
        <v>113</v>
      </c>
      <c r="D448" s="19" t="s">
        <v>114</v>
      </c>
      <c r="E448" s="19" t="s">
        <v>79</v>
      </c>
      <c r="F448" s="19" t="s">
        <v>465</v>
      </c>
      <c r="G448" s="19" t="s">
        <v>3162</v>
      </c>
      <c r="H448" s="19" t="s">
        <v>3163</v>
      </c>
      <c r="I448" s="19" t="s">
        <v>3164</v>
      </c>
      <c r="J448" s="19" t="n">
        <v>2208.12</v>
      </c>
      <c r="K448" s="19" t="s">
        <v>3166</v>
      </c>
      <c r="L448" s="19"/>
      <c r="M448" s="20" t="str">
        <f aca="false">IF(G448&lt;&gt;"","PASS","FAIL - Missing UPC")</f>
        <v>PASS</v>
      </c>
      <c r="N448" s="20" t="str">
        <f aca="false">IF(AND(G448&lt;&gt;"",H448&lt;&gt;""),IF("0"&amp;G448=H448,"PASS","FAIL - GTIN Mismatch"),"SKIP")</f>
        <v>PASS</v>
      </c>
      <c r="O448" s="20" t="str">
        <f aca="false">IF(I448="","FAIL - No Title",IF(LEN(I448)&lt;=126,"PASS","FAIL - Title &gt;"&amp;126&amp;" chars"))</f>
        <v>PASS</v>
      </c>
      <c r="P448" s="20" t="str">
        <f aca="false">IF(J448&gt;0,IF(J448&lt;5000,"PASS","FLAG - Review Price"),"FAIL - Zero Price")</f>
        <v>PASS</v>
      </c>
      <c r="Q448" s="20" t="str">
        <f aca="false">IF('Raw Catalog'!P446&lt;&gt;"","PASS","FAIL - No Image")</f>
        <v>PASS</v>
      </c>
      <c r="R448" s="20" t="str">
        <f aca="false">IF(F448&lt;&gt;"","PASS","FAIL - No Brand")</f>
        <v>PASS</v>
      </c>
      <c r="S448" s="20" t="str">
        <f aca="true">IF(K448="","FAIL - No Date",IF(TODAY()-DATEVALUE(K448)&lt;=180,"PASS","FLAG - Stale &gt;180d"))</f>
        <v>FLAG - Stale &gt;180d</v>
      </c>
      <c r="T448" s="20" t="n">
        <f aca="false">COUNTIF(M448:S448,"FAIL*")+COUNTIF(M448:S448,"FLAG*")</f>
        <v>1</v>
      </c>
      <c r="U448" s="20" t="str">
        <f aca="false">IF(T448=0,"CLEAN",IF(T448=1,"MINOR",IF(T448&lt;=3,"MODERATE","CRITICAL")))</f>
        <v>MINOR</v>
      </c>
      <c r="V448" s="20" t="str">
        <f aca="false">IF(U448="CLEAN","None",IF(U448="MINOR","Seller Notify",IF(U448="MODERATE","Listing Suspended","Immediate Removal")))</f>
        <v>Seller Notify</v>
      </c>
    </row>
    <row r="449" customFormat="false" ht="18" hidden="false" customHeight="true" outlineLevel="0" collapsed="false">
      <c r="A449" s="19" t="s">
        <v>6526</v>
      </c>
      <c r="B449" s="19" t="s">
        <v>3167</v>
      </c>
      <c r="C449" s="19" t="s">
        <v>113</v>
      </c>
      <c r="D449" s="19" t="s">
        <v>114</v>
      </c>
      <c r="E449" s="19" t="s">
        <v>91</v>
      </c>
      <c r="F449" s="19" t="s">
        <v>587</v>
      </c>
      <c r="G449" s="19" t="s">
        <v>3169</v>
      </c>
      <c r="H449" s="19" t="s">
        <v>3170</v>
      </c>
      <c r="I449" s="19" t="s">
        <v>3171</v>
      </c>
      <c r="J449" s="19" t="n">
        <v>1990.02</v>
      </c>
      <c r="K449" s="19" t="s">
        <v>741</v>
      </c>
      <c r="L449" s="19"/>
      <c r="M449" s="20" t="str">
        <f aca="false">IF(G449&lt;&gt;"","PASS","FAIL - Missing UPC")</f>
        <v>PASS</v>
      </c>
      <c r="N449" s="20" t="str">
        <f aca="false">IF(AND(G449&lt;&gt;"",H449&lt;&gt;""),IF("0"&amp;G449=H449,"PASS","FAIL - GTIN Mismatch"),"SKIP")</f>
        <v>PASS</v>
      </c>
      <c r="O449" s="20" t="str">
        <f aca="false">IF(I449="","FAIL - No Title",IF(LEN(I449)&lt;=126,"PASS","FAIL - Title &gt;"&amp;126&amp;" chars"))</f>
        <v>PASS</v>
      </c>
      <c r="P449" s="20" t="str">
        <f aca="false">IF(J449&gt;0,IF(J449&lt;5000,"PASS","FLAG - Review Price"),"FAIL - Zero Price")</f>
        <v>PASS</v>
      </c>
      <c r="Q449" s="20" t="str">
        <f aca="false">IF('Raw Catalog'!P447&lt;&gt;"","PASS","FAIL - No Image")</f>
        <v>PASS</v>
      </c>
      <c r="R449" s="20" t="str">
        <f aca="false">IF(F449&lt;&gt;"","PASS","FAIL - No Brand")</f>
        <v>PASS</v>
      </c>
      <c r="S449" s="20" t="str">
        <f aca="true">IF(K449="","FAIL - No Date",IF(TODAY()-DATEVALUE(K449)&lt;=180,"PASS","FLAG - Stale &gt;180d"))</f>
        <v>FLAG - Stale &gt;180d</v>
      </c>
      <c r="T449" s="20" t="n">
        <f aca="false">COUNTIF(M449:S449,"FAIL*")+COUNTIF(M449:S449,"FLAG*")</f>
        <v>1</v>
      </c>
      <c r="U449" s="20" t="str">
        <f aca="false">IF(T449=0,"CLEAN",IF(T449=1,"MINOR",IF(T449&lt;=3,"MODERATE","CRITICAL")))</f>
        <v>MINOR</v>
      </c>
      <c r="V449" s="20" t="str">
        <f aca="false">IF(U449="CLEAN","None",IF(U449="MINOR","Seller Notify",IF(U449="MODERATE","Listing Suspended","Immediate Removal")))</f>
        <v>Seller Notify</v>
      </c>
    </row>
    <row r="450" customFormat="false" ht="18" hidden="false" customHeight="true" outlineLevel="0" collapsed="false">
      <c r="A450" s="19" t="s">
        <v>6527</v>
      </c>
      <c r="B450" s="19" t="s">
        <v>3173</v>
      </c>
      <c r="C450" s="19" t="s">
        <v>125</v>
      </c>
      <c r="D450" s="19" t="s">
        <v>126</v>
      </c>
      <c r="E450" s="19" t="s">
        <v>161</v>
      </c>
      <c r="F450" s="19" t="s">
        <v>162</v>
      </c>
      <c r="G450" s="19" t="s">
        <v>3175</v>
      </c>
      <c r="H450" s="19" t="s">
        <v>3176</v>
      </c>
      <c r="I450" s="19" t="s">
        <v>3177</v>
      </c>
      <c r="J450" s="19" t="n">
        <v>142.65</v>
      </c>
      <c r="K450" s="19" t="s">
        <v>1957</v>
      </c>
      <c r="L450" s="19"/>
      <c r="M450" s="20" t="str">
        <f aca="false">IF(G450&lt;&gt;"","PASS","FAIL - Missing UPC")</f>
        <v>PASS</v>
      </c>
      <c r="N450" s="20" t="str">
        <f aca="false">IF(AND(G450&lt;&gt;"",H450&lt;&gt;""),IF("0"&amp;G450=H450,"PASS","FAIL - GTIN Mismatch"),"SKIP")</f>
        <v>PASS</v>
      </c>
      <c r="O450" s="20" t="str">
        <f aca="false">IF(I450="","FAIL - No Title",IF(LEN(I450)&lt;=126,"PASS","FAIL - Title &gt;"&amp;126&amp;" chars"))</f>
        <v>PASS</v>
      </c>
      <c r="P450" s="20" t="str">
        <f aca="false">IF(J450&gt;0,IF(J450&lt;5000,"PASS","FLAG - Review Price"),"FAIL - Zero Price")</f>
        <v>PASS</v>
      </c>
      <c r="Q450" s="20" t="str">
        <f aca="false">IF('Raw Catalog'!P448&lt;&gt;"","PASS","FAIL - No Image")</f>
        <v>PASS</v>
      </c>
      <c r="R450" s="20" t="str">
        <f aca="false">IF(F450&lt;&gt;"","PASS","FAIL - No Brand")</f>
        <v>PASS</v>
      </c>
      <c r="S450" s="20" t="str">
        <f aca="true">IF(K450="","FAIL - No Date",IF(TODAY()-DATEVALUE(K450)&lt;=180,"PASS","FLAG - Stale &gt;180d"))</f>
        <v>FLAG - Stale &gt;180d</v>
      </c>
      <c r="T450" s="20" t="n">
        <f aca="false">COUNTIF(M450:S450,"FAIL*")+COUNTIF(M450:S450,"FLAG*")</f>
        <v>1</v>
      </c>
      <c r="U450" s="20" t="str">
        <f aca="false">IF(T450=0,"CLEAN",IF(T450=1,"MINOR",IF(T450&lt;=3,"MODERATE","CRITICAL")))</f>
        <v>MINOR</v>
      </c>
      <c r="V450" s="20" t="str">
        <f aca="false">IF(U450="CLEAN","None",IF(U450="MINOR","Seller Notify",IF(U450="MODERATE","Listing Suspended","Immediate Removal")))</f>
        <v>Seller Notify</v>
      </c>
    </row>
    <row r="451" customFormat="false" ht="18" hidden="false" customHeight="true" outlineLevel="0" collapsed="false">
      <c r="A451" s="19" t="s">
        <v>6528</v>
      </c>
      <c r="B451" s="19" t="s">
        <v>3179</v>
      </c>
      <c r="C451" s="19" t="s">
        <v>48</v>
      </c>
      <c r="D451" s="19" t="s">
        <v>49</v>
      </c>
      <c r="E451" s="19" t="s">
        <v>161</v>
      </c>
      <c r="F451" s="19" t="s">
        <v>51</v>
      </c>
      <c r="G451" s="19" t="s">
        <v>3181</v>
      </c>
      <c r="H451" s="19" t="s">
        <v>3182</v>
      </c>
      <c r="I451" s="19" t="s">
        <v>2815</v>
      </c>
      <c r="J451" s="19" t="n">
        <v>436.22</v>
      </c>
      <c r="K451" s="19" t="s">
        <v>1631</v>
      </c>
      <c r="L451" s="21" t="s">
        <v>1107</v>
      </c>
      <c r="M451" s="20" t="str">
        <f aca="false">IF(G451&lt;&gt;"","PASS","FAIL - Missing UPC")</f>
        <v>PASS</v>
      </c>
      <c r="N451" s="20" t="str">
        <f aca="false">IF(AND(G451&lt;&gt;"",H451&lt;&gt;""),IF("0"&amp;G451=H451,"PASS","FAIL - GTIN Mismatch"),"SKIP")</f>
        <v>PASS</v>
      </c>
      <c r="O451" s="20" t="str">
        <f aca="false">IF(I451="","FAIL - No Title",IF(LEN(I451)&lt;=126,"PASS","FAIL - Title &gt;"&amp;126&amp;" chars"))</f>
        <v>PASS</v>
      </c>
      <c r="P451" s="20" t="str">
        <f aca="false">IF(J451&gt;0,IF(J451&lt;5000,"PASS","FLAG - Review Price"),"FAIL - Zero Price")</f>
        <v>PASS</v>
      </c>
      <c r="Q451" s="20" t="str">
        <f aca="false">IF('Raw Catalog'!P449&lt;&gt;"","PASS","FAIL - No Image")</f>
        <v>PASS</v>
      </c>
      <c r="R451" s="20" t="str">
        <f aca="false">IF(F451&lt;&gt;"","PASS","FAIL - No Brand")</f>
        <v>PASS</v>
      </c>
      <c r="S451" s="20" t="str">
        <f aca="true">IF(K451="","FAIL - No Date",IF(TODAY()-DATEVALUE(K451)&lt;=180,"PASS","FLAG - Stale &gt;180d"))</f>
        <v>FLAG - Stale &gt;180d</v>
      </c>
      <c r="T451" s="20" t="n">
        <f aca="false">COUNTIF(M451:S451,"FAIL*")+COUNTIF(M451:S451,"FLAG*")</f>
        <v>1</v>
      </c>
      <c r="U451" s="20" t="str">
        <f aca="false">IF(T451=0,"CLEAN",IF(T451=1,"MINOR",IF(T451&lt;=3,"MODERATE","CRITICAL")))</f>
        <v>MINOR</v>
      </c>
      <c r="V451" s="20" t="str">
        <f aca="false">IF(U451="CLEAN","None",IF(U451="MINOR","Seller Notify",IF(U451="MODERATE","Listing Suspended","Immediate Removal")))</f>
        <v>Seller Notify</v>
      </c>
    </row>
    <row r="452" customFormat="false" ht="18" hidden="false" customHeight="true" outlineLevel="0" collapsed="false">
      <c r="A452" s="19" t="s">
        <v>6529</v>
      </c>
      <c r="B452" s="19" t="s">
        <v>3183</v>
      </c>
      <c r="C452" s="19" t="s">
        <v>113</v>
      </c>
      <c r="D452" s="19" t="s">
        <v>114</v>
      </c>
      <c r="E452" s="19" t="s">
        <v>161</v>
      </c>
      <c r="F452" s="19" t="s">
        <v>185</v>
      </c>
      <c r="G452" s="19" t="s">
        <v>3185</v>
      </c>
      <c r="H452" s="19" t="s">
        <v>3186</v>
      </c>
      <c r="I452" s="19" t="s">
        <v>675</v>
      </c>
      <c r="J452" s="19" t="n">
        <v>215.12</v>
      </c>
      <c r="K452" s="19" t="s">
        <v>1899</v>
      </c>
      <c r="L452" s="19"/>
      <c r="M452" s="20" t="str">
        <f aca="false">IF(G452&lt;&gt;"","PASS","FAIL - Missing UPC")</f>
        <v>PASS</v>
      </c>
      <c r="N452" s="20" t="str">
        <f aca="false">IF(AND(G452&lt;&gt;"",H452&lt;&gt;""),IF("0"&amp;G452=H452,"PASS","FAIL - GTIN Mismatch"),"SKIP")</f>
        <v>PASS</v>
      </c>
      <c r="O452" s="20" t="str">
        <f aca="false">IF(I452="","FAIL - No Title",IF(LEN(I452)&lt;=126,"PASS","FAIL - Title &gt;"&amp;126&amp;" chars"))</f>
        <v>PASS</v>
      </c>
      <c r="P452" s="20" t="str">
        <f aca="false">IF(J452&gt;0,IF(J452&lt;5000,"PASS","FLAG - Review Price"),"FAIL - Zero Price")</f>
        <v>PASS</v>
      </c>
      <c r="Q452" s="20" t="str">
        <f aca="false">IF('Raw Catalog'!P450&lt;&gt;"","PASS","FAIL - No Image")</f>
        <v>PASS</v>
      </c>
      <c r="R452" s="20" t="str">
        <f aca="false">IF(F452&lt;&gt;"","PASS","FAIL - No Brand")</f>
        <v>PASS</v>
      </c>
      <c r="S452" s="20" t="str">
        <f aca="true">IF(K452="","FAIL - No Date",IF(TODAY()-DATEVALUE(K452)&lt;=180,"PASS","FLAG - Stale &gt;180d"))</f>
        <v>FLAG - Stale &gt;180d</v>
      </c>
      <c r="T452" s="20" t="n">
        <f aca="false">COUNTIF(M452:S452,"FAIL*")+COUNTIF(M452:S452,"FLAG*")</f>
        <v>1</v>
      </c>
      <c r="U452" s="20" t="str">
        <f aca="false">IF(T452=0,"CLEAN",IF(T452=1,"MINOR",IF(T452&lt;=3,"MODERATE","CRITICAL")))</f>
        <v>MINOR</v>
      </c>
      <c r="V452" s="20" t="str">
        <f aca="false">IF(U452="CLEAN","None",IF(U452="MINOR","Seller Notify",IF(U452="MODERATE","Listing Suspended","Immediate Removal")))</f>
        <v>Seller Notify</v>
      </c>
    </row>
    <row r="453" customFormat="false" ht="18" hidden="false" customHeight="true" outlineLevel="0" collapsed="false">
      <c r="A453" s="19" t="s">
        <v>6530</v>
      </c>
      <c r="B453" s="19" t="s">
        <v>3187</v>
      </c>
      <c r="C453" s="19" t="s">
        <v>113</v>
      </c>
      <c r="D453" s="19" t="s">
        <v>114</v>
      </c>
      <c r="E453" s="19" t="s">
        <v>91</v>
      </c>
      <c r="F453" s="19" t="s">
        <v>185</v>
      </c>
      <c r="G453" s="19" t="s">
        <v>3189</v>
      </c>
      <c r="H453" s="19" t="s">
        <v>3190</v>
      </c>
      <c r="I453" s="19" t="s">
        <v>3191</v>
      </c>
      <c r="J453" s="19" t="n">
        <v>1314.38</v>
      </c>
      <c r="K453" s="19" t="s">
        <v>360</v>
      </c>
      <c r="L453" s="19"/>
      <c r="M453" s="20" t="str">
        <f aca="false">IF(G453&lt;&gt;"","PASS","FAIL - Missing UPC")</f>
        <v>PASS</v>
      </c>
      <c r="N453" s="20" t="str">
        <f aca="false">IF(AND(G453&lt;&gt;"",H453&lt;&gt;""),IF("0"&amp;G453=H453,"PASS","FAIL - GTIN Mismatch"),"SKIP")</f>
        <v>PASS</v>
      </c>
      <c r="O453" s="20" t="str">
        <f aca="false">IF(I453="","FAIL - No Title",IF(LEN(I453)&lt;=126,"PASS","FAIL - Title &gt;"&amp;126&amp;" chars"))</f>
        <v>PASS</v>
      </c>
      <c r="P453" s="20" t="str">
        <f aca="false">IF(J453&gt;0,IF(J453&lt;5000,"PASS","FLAG - Review Price"),"FAIL - Zero Price")</f>
        <v>PASS</v>
      </c>
      <c r="Q453" s="20" t="str">
        <f aca="false">IF('Raw Catalog'!P451&lt;&gt;"","PASS","FAIL - No Image")</f>
        <v>PASS</v>
      </c>
      <c r="R453" s="20" t="str">
        <f aca="false">IF(F453&lt;&gt;"","PASS","FAIL - No Brand")</f>
        <v>PASS</v>
      </c>
      <c r="S453" s="20" t="str">
        <f aca="true">IF(K453="","FAIL - No Date",IF(TODAY()-DATEVALUE(K453)&lt;=180,"PASS","FLAG - Stale &gt;180d"))</f>
        <v>FLAG - Stale &gt;180d</v>
      </c>
      <c r="T453" s="20" t="n">
        <f aca="false">COUNTIF(M453:S453,"FAIL*")+COUNTIF(M453:S453,"FLAG*")</f>
        <v>1</v>
      </c>
      <c r="U453" s="20" t="str">
        <f aca="false">IF(T453=0,"CLEAN",IF(T453=1,"MINOR",IF(T453&lt;=3,"MODERATE","CRITICAL")))</f>
        <v>MINOR</v>
      </c>
      <c r="V453" s="20" t="str">
        <f aca="false">IF(U453="CLEAN","None",IF(U453="MINOR","Seller Notify",IF(U453="MODERATE","Listing Suspended","Immediate Removal")))</f>
        <v>Seller Notify</v>
      </c>
    </row>
    <row r="454" customFormat="false" ht="18" hidden="false" customHeight="true" outlineLevel="0" collapsed="false">
      <c r="A454" s="19" t="s">
        <v>6531</v>
      </c>
      <c r="B454" s="19" t="s">
        <v>3192</v>
      </c>
      <c r="C454" s="19" t="s">
        <v>255</v>
      </c>
      <c r="D454" s="19" t="s">
        <v>256</v>
      </c>
      <c r="E454" s="19" t="s">
        <v>65</v>
      </c>
      <c r="F454" s="19" t="s">
        <v>66</v>
      </c>
      <c r="G454" s="19" t="s">
        <v>3194</v>
      </c>
      <c r="H454" s="19" t="s">
        <v>3195</v>
      </c>
      <c r="I454" s="19" t="s">
        <v>1696</v>
      </c>
      <c r="J454" s="19" t="n">
        <v>97.59</v>
      </c>
      <c r="K454" s="19" t="s">
        <v>462</v>
      </c>
      <c r="L454" s="19"/>
      <c r="M454" s="20" t="str">
        <f aca="false">IF(G454&lt;&gt;"","PASS","FAIL - Missing UPC")</f>
        <v>PASS</v>
      </c>
      <c r="N454" s="20" t="str">
        <f aca="false">IF(AND(G454&lt;&gt;"",H454&lt;&gt;""),IF("0"&amp;G454=H454,"PASS","FAIL - GTIN Mismatch"),"SKIP")</f>
        <v>PASS</v>
      </c>
      <c r="O454" s="20" t="str">
        <f aca="false">IF(I454="","FAIL - No Title",IF(LEN(I454)&lt;=126,"PASS","FAIL - Title &gt;"&amp;126&amp;" chars"))</f>
        <v>PASS</v>
      </c>
      <c r="P454" s="20" t="str">
        <f aca="false">IF(J454&gt;0,IF(J454&lt;5000,"PASS","FLAG - Review Price"),"FAIL - Zero Price")</f>
        <v>PASS</v>
      </c>
      <c r="Q454" s="20" t="str">
        <f aca="false">IF('Raw Catalog'!P452&lt;&gt;"","PASS","FAIL - No Image")</f>
        <v>PASS</v>
      </c>
      <c r="R454" s="20" t="str">
        <f aca="false">IF(F454&lt;&gt;"","PASS","FAIL - No Brand")</f>
        <v>PASS</v>
      </c>
      <c r="S454" s="20" t="str">
        <f aca="true">IF(K454="","FAIL - No Date",IF(TODAY()-DATEVALUE(K454)&lt;=180,"PASS","FLAG - Stale &gt;180d"))</f>
        <v>FLAG - Stale &gt;180d</v>
      </c>
      <c r="T454" s="20" t="n">
        <f aca="false">COUNTIF(M454:S454,"FAIL*")+COUNTIF(M454:S454,"FLAG*")</f>
        <v>1</v>
      </c>
      <c r="U454" s="20" t="str">
        <f aca="false">IF(T454=0,"CLEAN",IF(T454=1,"MINOR",IF(T454&lt;=3,"MODERATE","CRITICAL")))</f>
        <v>MINOR</v>
      </c>
      <c r="V454" s="20" t="str">
        <f aca="false">IF(U454="CLEAN","None",IF(U454="MINOR","Seller Notify",IF(U454="MODERATE","Listing Suspended","Immediate Removal")))</f>
        <v>Seller Notify</v>
      </c>
    </row>
    <row r="455" customFormat="false" ht="18" hidden="false" customHeight="true" outlineLevel="0" collapsed="false">
      <c r="A455" s="19" t="s">
        <v>6532</v>
      </c>
      <c r="B455" s="19" t="s">
        <v>3196</v>
      </c>
      <c r="C455" s="19" t="s">
        <v>77</v>
      </c>
      <c r="D455" s="19" t="s">
        <v>78</v>
      </c>
      <c r="E455" s="19" t="s">
        <v>50</v>
      </c>
      <c r="F455" s="19" t="s">
        <v>503</v>
      </c>
      <c r="G455" s="19" t="s">
        <v>3198</v>
      </c>
      <c r="H455" s="19" t="s">
        <v>3199</v>
      </c>
      <c r="I455" s="19" t="s">
        <v>3200</v>
      </c>
      <c r="J455" s="19" t="n">
        <v>157.45</v>
      </c>
      <c r="K455" s="19" t="s">
        <v>806</v>
      </c>
      <c r="L455" s="19"/>
      <c r="M455" s="20" t="str">
        <f aca="false">IF(G455&lt;&gt;"","PASS","FAIL - Missing UPC")</f>
        <v>PASS</v>
      </c>
      <c r="N455" s="20" t="str">
        <f aca="false">IF(AND(G455&lt;&gt;"",H455&lt;&gt;""),IF("0"&amp;G455=H455,"PASS","FAIL - GTIN Mismatch"),"SKIP")</f>
        <v>PASS</v>
      </c>
      <c r="O455" s="20" t="str">
        <f aca="false">IF(I455="","FAIL - No Title",IF(LEN(I455)&lt;=126,"PASS","FAIL - Title &gt;"&amp;126&amp;" chars"))</f>
        <v>PASS</v>
      </c>
      <c r="P455" s="20" t="str">
        <f aca="false">IF(J455&gt;0,IF(J455&lt;5000,"PASS","FLAG - Review Price"),"FAIL - Zero Price")</f>
        <v>PASS</v>
      </c>
      <c r="Q455" s="20" t="str">
        <f aca="false">IF('Raw Catalog'!P453&lt;&gt;"","PASS","FAIL - No Image")</f>
        <v>PASS</v>
      </c>
      <c r="R455" s="20" t="str">
        <f aca="false">IF(F455&lt;&gt;"","PASS","FAIL - No Brand")</f>
        <v>PASS</v>
      </c>
      <c r="S455" s="20" t="str">
        <f aca="true">IF(K455="","FAIL - No Date",IF(TODAY()-DATEVALUE(K455)&lt;=180,"PASS","FLAG - Stale &gt;180d"))</f>
        <v>FLAG - Stale &gt;180d</v>
      </c>
      <c r="T455" s="20" t="n">
        <f aca="false">COUNTIF(M455:S455,"FAIL*")+COUNTIF(M455:S455,"FLAG*")</f>
        <v>1</v>
      </c>
      <c r="U455" s="20" t="str">
        <f aca="false">IF(T455=0,"CLEAN",IF(T455=1,"MINOR",IF(T455&lt;=3,"MODERATE","CRITICAL")))</f>
        <v>MINOR</v>
      </c>
      <c r="V455" s="20" t="str">
        <f aca="false">IF(U455="CLEAN","None",IF(U455="MINOR","Seller Notify",IF(U455="MODERATE","Listing Suspended","Immediate Removal")))</f>
        <v>Seller Notify</v>
      </c>
    </row>
    <row r="456" customFormat="false" ht="18" hidden="false" customHeight="true" outlineLevel="0" collapsed="false">
      <c r="A456" s="19" t="s">
        <v>6533</v>
      </c>
      <c r="B456" s="19" t="s">
        <v>3201</v>
      </c>
      <c r="C456" s="19" t="s">
        <v>48</v>
      </c>
      <c r="D456" s="19" t="s">
        <v>49</v>
      </c>
      <c r="E456" s="19" t="s">
        <v>79</v>
      </c>
      <c r="F456" s="19" t="s">
        <v>127</v>
      </c>
      <c r="G456" s="19" t="s">
        <v>3203</v>
      </c>
      <c r="H456" s="19" t="s">
        <v>3204</v>
      </c>
      <c r="I456" s="19" t="s">
        <v>3205</v>
      </c>
      <c r="J456" s="19" t="n">
        <v>2151.36</v>
      </c>
      <c r="K456" s="19" t="s">
        <v>3206</v>
      </c>
      <c r="L456" s="19"/>
      <c r="M456" s="20" t="str">
        <f aca="false">IF(G456&lt;&gt;"","PASS","FAIL - Missing UPC")</f>
        <v>PASS</v>
      </c>
      <c r="N456" s="20" t="str">
        <f aca="false">IF(AND(G456&lt;&gt;"",H456&lt;&gt;""),IF("0"&amp;G456=H456,"PASS","FAIL - GTIN Mismatch"),"SKIP")</f>
        <v>PASS</v>
      </c>
      <c r="O456" s="20" t="str">
        <f aca="false">IF(I456="","FAIL - No Title",IF(LEN(I456)&lt;=126,"PASS","FAIL - Title &gt;"&amp;126&amp;" chars"))</f>
        <v>PASS</v>
      </c>
      <c r="P456" s="20" t="str">
        <f aca="false">IF(J456&gt;0,IF(J456&lt;5000,"PASS","FLAG - Review Price"),"FAIL - Zero Price")</f>
        <v>PASS</v>
      </c>
      <c r="Q456" s="20" t="str">
        <f aca="false">IF('Raw Catalog'!P454&lt;&gt;"","PASS","FAIL - No Image")</f>
        <v>PASS</v>
      </c>
      <c r="R456" s="20" t="str">
        <f aca="false">IF(F456&lt;&gt;"","PASS","FAIL - No Brand")</f>
        <v>PASS</v>
      </c>
      <c r="S456" s="20" t="str">
        <f aca="true">IF(K456="","FAIL - No Date",IF(TODAY()-DATEVALUE(K456)&lt;=180,"PASS","FLAG - Stale &gt;180d"))</f>
        <v>FLAG - Stale &gt;180d</v>
      </c>
      <c r="T456" s="20" t="n">
        <f aca="false">COUNTIF(M456:S456,"FAIL*")+COUNTIF(M456:S456,"FLAG*")</f>
        <v>1</v>
      </c>
      <c r="U456" s="20" t="str">
        <f aca="false">IF(T456=0,"CLEAN",IF(T456=1,"MINOR",IF(T456&lt;=3,"MODERATE","CRITICAL")))</f>
        <v>MINOR</v>
      </c>
      <c r="V456" s="20" t="str">
        <f aca="false">IF(U456="CLEAN","None",IF(U456="MINOR","Seller Notify",IF(U456="MODERATE","Listing Suspended","Immediate Removal")))</f>
        <v>Seller Notify</v>
      </c>
    </row>
    <row r="457" customFormat="false" ht="18" hidden="false" customHeight="true" outlineLevel="0" collapsed="false">
      <c r="A457" s="19" t="s">
        <v>6534</v>
      </c>
      <c r="B457" s="19" t="s">
        <v>3207</v>
      </c>
      <c r="C457" s="19" t="s">
        <v>48</v>
      </c>
      <c r="D457" s="19" t="s">
        <v>49</v>
      </c>
      <c r="E457" s="19" t="s">
        <v>161</v>
      </c>
      <c r="F457" s="19" t="s">
        <v>162</v>
      </c>
      <c r="G457" s="19" t="s">
        <v>3209</v>
      </c>
      <c r="H457" s="19" t="s">
        <v>3210</v>
      </c>
      <c r="I457" s="19" t="s">
        <v>3211</v>
      </c>
      <c r="J457" s="19" t="n">
        <v>297.65</v>
      </c>
      <c r="K457" s="19" t="s">
        <v>788</v>
      </c>
      <c r="L457" s="19"/>
      <c r="M457" s="20" t="str">
        <f aca="false">IF(G457&lt;&gt;"","PASS","FAIL - Missing UPC")</f>
        <v>PASS</v>
      </c>
      <c r="N457" s="20" t="str">
        <f aca="false">IF(AND(G457&lt;&gt;"",H457&lt;&gt;""),IF("0"&amp;G457=H457,"PASS","FAIL - GTIN Mismatch"),"SKIP")</f>
        <v>PASS</v>
      </c>
      <c r="O457" s="20" t="str">
        <f aca="false">IF(I457="","FAIL - No Title",IF(LEN(I457)&lt;=126,"PASS","FAIL - Title &gt;"&amp;126&amp;" chars"))</f>
        <v>PASS</v>
      </c>
      <c r="P457" s="20" t="str">
        <f aca="false">IF(J457&gt;0,IF(J457&lt;5000,"PASS","FLAG - Review Price"),"FAIL - Zero Price")</f>
        <v>PASS</v>
      </c>
      <c r="Q457" s="20" t="str">
        <f aca="false">IF('Raw Catalog'!P455&lt;&gt;"","PASS","FAIL - No Image")</f>
        <v>PASS</v>
      </c>
      <c r="R457" s="20" t="str">
        <f aca="false">IF(F457&lt;&gt;"","PASS","FAIL - No Brand")</f>
        <v>PASS</v>
      </c>
      <c r="S457" s="20" t="str">
        <f aca="true">IF(K457="","FAIL - No Date",IF(TODAY()-DATEVALUE(K457)&lt;=180,"PASS","FLAG - Stale &gt;180d"))</f>
        <v>FLAG - Stale &gt;180d</v>
      </c>
      <c r="T457" s="20" t="n">
        <f aca="false">COUNTIF(M457:S457,"FAIL*")+COUNTIF(M457:S457,"FLAG*")</f>
        <v>1</v>
      </c>
      <c r="U457" s="20" t="str">
        <f aca="false">IF(T457=0,"CLEAN",IF(T457=1,"MINOR",IF(T457&lt;=3,"MODERATE","CRITICAL")))</f>
        <v>MINOR</v>
      </c>
      <c r="V457" s="20" t="str">
        <f aca="false">IF(U457="CLEAN","None",IF(U457="MINOR","Seller Notify",IF(U457="MODERATE","Listing Suspended","Immediate Removal")))</f>
        <v>Seller Notify</v>
      </c>
    </row>
    <row r="458" customFormat="false" ht="18" hidden="false" customHeight="true" outlineLevel="0" collapsed="false">
      <c r="A458" s="19" t="s">
        <v>6535</v>
      </c>
      <c r="B458" s="19" t="s">
        <v>3214</v>
      </c>
      <c r="C458" s="19" t="s">
        <v>255</v>
      </c>
      <c r="D458" s="19" t="s">
        <v>256</v>
      </c>
      <c r="E458" s="19" t="s">
        <v>161</v>
      </c>
      <c r="F458" s="19" t="s">
        <v>306</v>
      </c>
      <c r="G458" s="19" t="s">
        <v>3216</v>
      </c>
      <c r="H458" s="19" t="s">
        <v>3217</v>
      </c>
      <c r="I458" s="19" t="s">
        <v>3218</v>
      </c>
      <c r="J458" s="19" t="n">
        <v>399.82</v>
      </c>
      <c r="K458" s="19" t="s">
        <v>2276</v>
      </c>
      <c r="L458" s="19"/>
      <c r="M458" s="20" t="str">
        <f aca="false">IF(G458&lt;&gt;"","PASS","FAIL - Missing UPC")</f>
        <v>PASS</v>
      </c>
      <c r="N458" s="20" t="str">
        <f aca="false">IF(AND(G458&lt;&gt;"",H458&lt;&gt;""),IF("0"&amp;G458=H458,"PASS","FAIL - GTIN Mismatch"),"SKIP")</f>
        <v>PASS</v>
      </c>
      <c r="O458" s="20" t="str">
        <f aca="false">IF(I458="","FAIL - No Title",IF(LEN(I458)&lt;=126,"PASS","FAIL - Title &gt;"&amp;126&amp;" chars"))</f>
        <v>PASS</v>
      </c>
      <c r="P458" s="20" t="str">
        <f aca="false">IF(J458&gt;0,IF(J458&lt;5000,"PASS","FLAG - Review Price"),"FAIL - Zero Price")</f>
        <v>PASS</v>
      </c>
      <c r="Q458" s="20" t="str">
        <f aca="false">IF('Raw Catalog'!P456&lt;&gt;"","PASS","FAIL - No Image")</f>
        <v>PASS</v>
      </c>
      <c r="R458" s="20" t="str">
        <f aca="false">IF(F458&lt;&gt;"","PASS","FAIL - No Brand")</f>
        <v>PASS</v>
      </c>
      <c r="S458" s="20" t="str">
        <f aca="true">IF(K458="","FAIL - No Date",IF(TODAY()-DATEVALUE(K458)&lt;=180,"PASS","FLAG - Stale &gt;180d"))</f>
        <v>FLAG - Stale &gt;180d</v>
      </c>
      <c r="T458" s="20" t="n">
        <f aca="false">COUNTIF(M458:S458,"FAIL*")+COUNTIF(M458:S458,"FLAG*")</f>
        <v>1</v>
      </c>
      <c r="U458" s="20" t="str">
        <f aca="false">IF(T458=0,"CLEAN",IF(T458=1,"MINOR",IF(T458&lt;=3,"MODERATE","CRITICAL")))</f>
        <v>MINOR</v>
      </c>
      <c r="V458" s="20" t="str">
        <f aca="false">IF(U458="CLEAN","None",IF(U458="MINOR","Seller Notify",IF(U458="MODERATE","Listing Suspended","Immediate Removal")))</f>
        <v>Seller Notify</v>
      </c>
    </row>
    <row r="459" customFormat="false" ht="18" hidden="false" customHeight="true" outlineLevel="0" collapsed="false">
      <c r="A459" s="19" t="s">
        <v>6536</v>
      </c>
      <c r="B459" s="19" t="s">
        <v>3220</v>
      </c>
      <c r="C459" s="19" t="s">
        <v>48</v>
      </c>
      <c r="D459" s="19" t="s">
        <v>49</v>
      </c>
      <c r="E459" s="19" t="s">
        <v>65</v>
      </c>
      <c r="F459" s="19" t="s">
        <v>66</v>
      </c>
      <c r="G459" s="19" t="s">
        <v>3222</v>
      </c>
      <c r="H459" s="19" t="s">
        <v>3223</v>
      </c>
      <c r="I459" s="19" t="s">
        <v>1175</v>
      </c>
      <c r="J459" s="19" t="n">
        <v>89.5</v>
      </c>
      <c r="K459" s="19" t="s">
        <v>2622</v>
      </c>
      <c r="L459" s="19"/>
      <c r="M459" s="20" t="str">
        <f aca="false">IF(G459&lt;&gt;"","PASS","FAIL - Missing UPC")</f>
        <v>PASS</v>
      </c>
      <c r="N459" s="20" t="str">
        <f aca="false">IF(AND(G459&lt;&gt;"",H459&lt;&gt;""),IF("0"&amp;G459=H459,"PASS","FAIL - GTIN Mismatch"),"SKIP")</f>
        <v>PASS</v>
      </c>
      <c r="O459" s="20" t="str">
        <f aca="false">IF(I459="","FAIL - No Title",IF(LEN(I459)&lt;=126,"PASS","FAIL - Title &gt;"&amp;126&amp;" chars"))</f>
        <v>PASS</v>
      </c>
      <c r="P459" s="20" t="str">
        <f aca="false">IF(J459&gt;0,IF(J459&lt;5000,"PASS","FLAG - Review Price"),"FAIL - Zero Price")</f>
        <v>PASS</v>
      </c>
      <c r="Q459" s="20" t="str">
        <f aca="false">IF('Raw Catalog'!P457&lt;&gt;"","PASS","FAIL - No Image")</f>
        <v>PASS</v>
      </c>
      <c r="R459" s="20" t="str">
        <f aca="false">IF(F459&lt;&gt;"","PASS","FAIL - No Brand")</f>
        <v>PASS</v>
      </c>
      <c r="S459" s="20" t="str">
        <f aca="true">IF(K459="","FAIL - No Date",IF(TODAY()-DATEVALUE(K459)&lt;=180,"PASS","FLAG - Stale &gt;180d"))</f>
        <v>FLAG - Stale &gt;180d</v>
      </c>
      <c r="T459" s="20" t="n">
        <f aca="false">COUNTIF(M459:S459,"FAIL*")+COUNTIF(M459:S459,"FLAG*")</f>
        <v>1</v>
      </c>
      <c r="U459" s="20" t="str">
        <f aca="false">IF(T459=0,"CLEAN",IF(T459=1,"MINOR",IF(T459&lt;=3,"MODERATE","CRITICAL")))</f>
        <v>MINOR</v>
      </c>
      <c r="V459" s="20" t="str">
        <f aca="false">IF(U459="CLEAN","None",IF(U459="MINOR","Seller Notify",IF(U459="MODERATE","Listing Suspended","Immediate Removal")))</f>
        <v>Seller Notify</v>
      </c>
    </row>
    <row r="460" customFormat="false" ht="18" hidden="false" customHeight="true" outlineLevel="0" collapsed="false">
      <c r="A460" s="19" t="s">
        <v>6537</v>
      </c>
      <c r="B460" s="19" t="s">
        <v>3224</v>
      </c>
      <c r="C460" s="19" t="s">
        <v>125</v>
      </c>
      <c r="D460" s="19" t="s">
        <v>126</v>
      </c>
      <c r="E460" s="19" t="s">
        <v>91</v>
      </c>
      <c r="F460" s="19" t="s">
        <v>587</v>
      </c>
      <c r="G460" s="19" t="s">
        <v>3226</v>
      </c>
      <c r="H460" s="19" t="s">
        <v>3227</v>
      </c>
      <c r="I460" s="19" t="s">
        <v>3228</v>
      </c>
      <c r="J460" s="19" t="n">
        <v>1467.33</v>
      </c>
      <c r="K460" s="19" t="s">
        <v>1827</v>
      </c>
      <c r="L460" s="19"/>
      <c r="M460" s="20" t="str">
        <f aca="false">IF(G460&lt;&gt;"","PASS","FAIL - Missing UPC")</f>
        <v>PASS</v>
      </c>
      <c r="N460" s="20" t="str">
        <f aca="false">IF(AND(G460&lt;&gt;"",H460&lt;&gt;""),IF("0"&amp;G460=H460,"PASS","FAIL - GTIN Mismatch"),"SKIP")</f>
        <v>PASS</v>
      </c>
      <c r="O460" s="20" t="str">
        <f aca="false">IF(I460="","FAIL - No Title",IF(LEN(I460)&lt;=126,"PASS","FAIL - Title &gt;"&amp;126&amp;" chars"))</f>
        <v>PASS</v>
      </c>
      <c r="P460" s="20" t="str">
        <f aca="false">IF(J460&gt;0,IF(J460&lt;5000,"PASS","FLAG - Review Price"),"FAIL - Zero Price")</f>
        <v>PASS</v>
      </c>
      <c r="Q460" s="20" t="str">
        <f aca="false">IF('Raw Catalog'!P458&lt;&gt;"","PASS","FAIL - No Image")</f>
        <v>PASS</v>
      </c>
      <c r="R460" s="20" t="str">
        <f aca="false">IF(F460&lt;&gt;"","PASS","FAIL - No Brand")</f>
        <v>PASS</v>
      </c>
      <c r="S460" s="20" t="str">
        <f aca="true">IF(K460="","FAIL - No Date",IF(TODAY()-DATEVALUE(K460)&lt;=180,"PASS","FLAG - Stale &gt;180d"))</f>
        <v>FLAG - Stale &gt;180d</v>
      </c>
      <c r="T460" s="20" t="n">
        <f aca="false">COUNTIF(M460:S460,"FAIL*")+COUNTIF(M460:S460,"FLAG*")</f>
        <v>1</v>
      </c>
      <c r="U460" s="20" t="str">
        <f aca="false">IF(T460=0,"CLEAN",IF(T460=1,"MINOR",IF(T460&lt;=3,"MODERATE","CRITICAL")))</f>
        <v>MINOR</v>
      </c>
      <c r="V460" s="20" t="str">
        <f aca="false">IF(U460="CLEAN","None",IF(U460="MINOR","Seller Notify",IF(U460="MODERATE","Listing Suspended","Immediate Removal")))</f>
        <v>Seller Notify</v>
      </c>
    </row>
    <row r="461" customFormat="false" ht="18" hidden="false" customHeight="true" outlineLevel="0" collapsed="false">
      <c r="A461" s="19" t="s">
        <v>6538</v>
      </c>
      <c r="B461" s="19" t="s">
        <v>3229</v>
      </c>
      <c r="C461" s="19" t="s">
        <v>48</v>
      </c>
      <c r="D461" s="19" t="s">
        <v>49</v>
      </c>
      <c r="E461" s="19" t="s">
        <v>91</v>
      </c>
      <c r="F461" s="19" t="s">
        <v>185</v>
      </c>
      <c r="G461" s="19" t="s">
        <v>3231</v>
      </c>
      <c r="H461" s="19" t="s">
        <v>3232</v>
      </c>
      <c r="I461" s="19" t="s">
        <v>3233</v>
      </c>
      <c r="J461" s="19" t="n">
        <v>3087.68</v>
      </c>
      <c r="K461" s="19" t="s">
        <v>2503</v>
      </c>
      <c r="L461" s="19"/>
      <c r="M461" s="20" t="str">
        <f aca="false">IF(G461&lt;&gt;"","PASS","FAIL - Missing UPC")</f>
        <v>PASS</v>
      </c>
      <c r="N461" s="20" t="str">
        <f aca="false">IF(AND(G461&lt;&gt;"",H461&lt;&gt;""),IF("0"&amp;G461=H461,"PASS","FAIL - GTIN Mismatch"),"SKIP")</f>
        <v>PASS</v>
      </c>
      <c r="O461" s="20" t="str">
        <f aca="false">IF(I461="","FAIL - No Title",IF(LEN(I461)&lt;=126,"PASS","FAIL - Title &gt;"&amp;126&amp;" chars"))</f>
        <v>PASS</v>
      </c>
      <c r="P461" s="20" t="str">
        <f aca="false">IF(J461&gt;0,IF(J461&lt;5000,"PASS","FLAG - Review Price"),"FAIL - Zero Price")</f>
        <v>PASS</v>
      </c>
      <c r="Q461" s="20" t="str">
        <f aca="false">IF('Raw Catalog'!P459&lt;&gt;"","PASS","FAIL - No Image")</f>
        <v>PASS</v>
      </c>
      <c r="R461" s="20" t="str">
        <f aca="false">IF(F461&lt;&gt;"","PASS","FAIL - No Brand")</f>
        <v>PASS</v>
      </c>
      <c r="S461" s="20" t="str">
        <f aca="true">IF(K461="","FAIL - No Date",IF(TODAY()-DATEVALUE(K461)&lt;=180,"PASS","FLAG - Stale &gt;180d"))</f>
        <v>FLAG - Stale &gt;180d</v>
      </c>
      <c r="T461" s="20" t="n">
        <f aca="false">COUNTIF(M461:S461,"FAIL*")+COUNTIF(M461:S461,"FLAG*")</f>
        <v>1</v>
      </c>
      <c r="U461" s="20" t="str">
        <f aca="false">IF(T461=0,"CLEAN",IF(T461=1,"MINOR",IF(T461&lt;=3,"MODERATE","CRITICAL")))</f>
        <v>MINOR</v>
      </c>
      <c r="V461" s="20" t="str">
        <f aca="false">IF(U461="CLEAN","None",IF(U461="MINOR","Seller Notify",IF(U461="MODERATE","Listing Suspended","Immediate Removal")))</f>
        <v>Seller Notify</v>
      </c>
    </row>
    <row r="462" customFormat="false" ht="18" hidden="false" customHeight="true" outlineLevel="0" collapsed="false">
      <c r="A462" s="19" t="s">
        <v>6539</v>
      </c>
      <c r="B462" s="19" t="s">
        <v>3235</v>
      </c>
      <c r="C462" s="19" t="s">
        <v>125</v>
      </c>
      <c r="D462" s="19" t="s">
        <v>126</v>
      </c>
      <c r="E462" s="19" t="s">
        <v>161</v>
      </c>
      <c r="F462" s="19" t="s">
        <v>51</v>
      </c>
      <c r="G462" s="19" t="s">
        <v>3237</v>
      </c>
      <c r="H462" s="19" t="s">
        <v>3238</v>
      </c>
      <c r="I462" s="19" t="s">
        <v>3239</v>
      </c>
      <c r="J462" s="19" t="n">
        <v>370.43</v>
      </c>
      <c r="K462" s="19" t="s">
        <v>3240</v>
      </c>
      <c r="L462" s="19"/>
      <c r="M462" s="20" t="str">
        <f aca="false">IF(G462&lt;&gt;"","PASS","FAIL - Missing UPC")</f>
        <v>PASS</v>
      </c>
      <c r="N462" s="20" t="str">
        <f aca="false">IF(AND(G462&lt;&gt;"",H462&lt;&gt;""),IF("0"&amp;G462=H462,"PASS","FAIL - GTIN Mismatch"),"SKIP")</f>
        <v>PASS</v>
      </c>
      <c r="O462" s="20" t="str">
        <f aca="false">IF(I462="","FAIL - No Title",IF(LEN(I462)&lt;=126,"PASS","FAIL - Title &gt;"&amp;126&amp;" chars"))</f>
        <v>PASS</v>
      </c>
      <c r="P462" s="20" t="str">
        <f aca="false">IF(J462&gt;0,IF(J462&lt;5000,"PASS","FLAG - Review Price"),"FAIL - Zero Price")</f>
        <v>PASS</v>
      </c>
      <c r="Q462" s="20" t="str">
        <f aca="false">IF('Raw Catalog'!P460&lt;&gt;"","PASS","FAIL - No Image")</f>
        <v>PASS</v>
      </c>
      <c r="R462" s="20" t="str">
        <f aca="false">IF(F462&lt;&gt;"","PASS","FAIL - No Brand")</f>
        <v>PASS</v>
      </c>
      <c r="S462" s="20" t="str">
        <f aca="true">IF(K462="","FAIL - No Date",IF(TODAY()-DATEVALUE(K462)&lt;=180,"PASS","FLAG - Stale &gt;180d"))</f>
        <v>FLAG - Stale &gt;180d</v>
      </c>
      <c r="T462" s="20" t="n">
        <f aca="false">COUNTIF(M462:S462,"FAIL*")+COUNTIF(M462:S462,"FLAG*")</f>
        <v>1</v>
      </c>
      <c r="U462" s="20" t="str">
        <f aca="false">IF(T462=0,"CLEAN",IF(T462=1,"MINOR",IF(T462&lt;=3,"MODERATE","CRITICAL")))</f>
        <v>MINOR</v>
      </c>
      <c r="V462" s="20" t="str">
        <f aca="false">IF(U462="CLEAN","None",IF(U462="MINOR","Seller Notify",IF(U462="MODERATE","Listing Suspended","Immediate Removal")))</f>
        <v>Seller Notify</v>
      </c>
    </row>
    <row r="463" customFormat="false" ht="18" hidden="false" customHeight="true" outlineLevel="0" collapsed="false">
      <c r="A463" s="19" t="s">
        <v>6540</v>
      </c>
      <c r="B463" s="19" t="s">
        <v>1815</v>
      </c>
      <c r="C463" s="19" t="s">
        <v>255</v>
      </c>
      <c r="D463" s="19" t="s">
        <v>256</v>
      </c>
      <c r="E463" s="19" t="s">
        <v>50</v>
      </c>
      <c r="F463" s="19" t="s">
        <v>51</v>
      </c>
      <c r="G463" s="19" t="s">
        <v>1817</v>
      </c>
      <c r="H463" s="19" t="s">
        <v>1818</v>
      </c>
      <c r="I463" s="19" t="s">
        <v>1819</v>
      </c>
      <c r="J463" s="19" t="n">
        <v>492.18</v>
      </c>
      <c r="K463" s="19" t="s">
        <v>1821</v>
      </c>
      <c r="L463" s="21" t="s">
        <v>283</v>
      </c>
      <c r="M463" s="20" t="str">
        <f aca="false">IF(G463&lt;&gt;"","PASS","FAIL - Missing UPC")</f>
        <v>PASS</v>
      </c>
      <c r="N463" s="20" t="str">
        <f aca="false">IF(AND(G463&lt;&gt;"",H463&lt;&gt;""),IF("0"&amp;G463=H463,"PASS","FAIL - GTIN Mismatch"),"SKIP")</f>
        <v>PASS</v>
      </c>
      <c r="O463" s="20" t="str">
        <f aca="false">IF(I463="","FAIL - No Title",IF(LEN(I463)&lt;=126,"PASS","FAIL - Title &gt;"&amp;126&amp;" chars"))</f>
        <v>PASS</v>
      </c>
      <c r="P463" s="20" t="str">
        <f aca="false">IF(J463&gt;0,IF(J463&lt;5000,"PASS","FLAG - Review Price"),"FAIL - Zero Price")</f>
        <v>PASS</v>
      </c>
      <c r="Q463" s="20" t="str">
        <f aca="false">IF('Raw Catalog'!P461&lt;&gt;"","PASS","FAIL - No Image")</f>
        <v>PASS</v>
      </c>
      <c r="R463" s="20" t="str">
        <f aca="false">IF(F463&lt;&gt;"","PASS","FAIL - No Brand")</f>
        <v>PASS</v>
      </c>
      <c r="S463" s="20" t="str">
        <f aca="true">IF(K463="","FAIL - No Date",IF(TODAY()-DATEVALUE(K463)&lt;=180,"PASS","FLAG - Stale &gt;180d"))</f>
        <v>FLAG - Stale &gt;180d</v>
      </c>
      <c r="T463" s="20" t="n">
        <f aca="false">COUNTIF(M463:S463,"FAIL*")+COUNTIF(M463:S463,"FLAG*")</f>
        <v>1</v>
      </c>
      <c r="U463" s="20" t="str">
        <f aca="false">IF(T463=0,"CLEAN",IF(T463=1,"MINOR",IF(T463&lt;=3,"MODERATE","CRITICAL")))</f>
        <v>MINOR</v>
      </c>
      <c r="V463" s="20" t="str">
        <f aca="false">IF(U463="CLEAN","None",IF(U463="MINOR","Seller Notify",IF(U463="MODERATE","Listing Suspended","Immediate Removal")))</f>
        <v>Seller Notify</v>
      </c>
    </row>
    <row r="464" customFormat="false" ht="18" hidden="false" customHeight="true" outlineLevel="0" collapsed="false">
      <c r="A464" s="19" t="s">
        <v>6541</v>
      </c>
      <c r="B464" s="19" t="s">
        <v>3241</v>
      </c>
      <c r="C464" s="19" t="s">
        <v>159</v>
      </c>
      <c r="D464" s="19" t="s">
        <v>160</v>
      </c>
      <c r="E464" s="19" t="s">
        <v>79</v>
      </c>
      <c r="F464" s="19" t="s">
        <v>127</v>
      </c>
      <c r="G464" s="19" t="s">
        <v>3243</v>
      </c>
      <c r="H464" s="19" t="s">
        <v>3244</v>
      </c>
      <c r="I464" s="19" t="s">
        <v>3245</v>
      </c>
      <c r="J464" s="19" t="n">
        <v>420.67</v>
      </c>
      <c r="K464" s="19" t="s">
        <v>3246</v>
      </c>
      <c r="L464" s="19"/>
      <c r="M464" s="20" t="str">
        <f aca="false">IF(G464&lt;&gt;"","PASS","FAIL - Missing UPC")</f>
        <v>PASS</v>
      </c>
      <c r="N464" s="20" t="str">
        <f aca="false">IF(AND(G464&lt;&gt;"",H464&lt;&gt;""),IF("0"&amp;G464=H464,"PASS","FAIL - GTIN Mismatch"),"SKIP")</f>
        <v>PASS</v>
      </c>
      <c r="O464" s="20" t="str">
        <f aca="false">IF(I464="","FAIL - No Title",IF(LEN(I464)&lt;=126,"PASS","FAIL - Title &gt;"&amp;126&amp;" chars"))</f>
        <v>PASS</v>
      </c>
      <c r="P464" s="20" t="str">
        <f aca="false">IF(J464&gt;0,IF(J464&lt;5000,"PASS","FLAG - Review Price"),"FAIL - Zero Price")</f>
        <v>PASS</v>
      </c>
      <c r="Q464" s="20" t="str">
        <f aca="false">IF('Raw Catalog'!P462&lt;&gt;"","PASS","FAIL - No Image")</f>
        <v>PASS</v>
      </c>
      <c r="R464" s="20" t="str">
        <f aca="false">IF(F464&lt;&gt;"","PASS","FAIL - No Brand")</f>
        <v>PASS</v>
      </c>
      <c r="S464" s="20" t="str">
        <f aca="true">IF(K464="","FAIL - No Date",IF(TODAY()-DATEVALUE(K464)&lt;=180,"PASS","FLAG - Stale &gt;180d"))</f>
        <v>FLAG - Stale &gt;180d</v>
      </c>
      <c r="T464" s="20" t="n">
        <f aca="false">COUNTIF(M464:S464,"FAIL*")+COUNTIF(M464:S464,"FLAG*")</f>
        <v>1</v>
      </c>
      <c r="U464" s="20" t="str">
        <f aca="false">IF(T464=0,"CLEAN",IF(T464=1,"MINOR",IF(T464&lt;=3,"MODERATE","CRITICAL")))</f>
        <v>MINOR</v>
      </c>
      <c r="V464" s="20" t="str">
        <f aca="false">IF(U464="CLEAN","None",IF(U464="MINOR","Seller Notify",IF(U464="MODERATE","Listing Suspended","Immediate Removal")))</f>
        <v>Seller Notify</v>
      </c>
    </row>
    <row r="465" customFormat="false" ht="18" hidden="false" customHeight="true" outlineLevel="0" collapsed="false">
      <c r="A465" s="19" t="s">
        <v>6542</v>
      </c>
      <c r="B465" s="19" t="s">
        <v>3247</v>
      </c>
      <c r="C465" s="19" t="s">
        <v>159</v>
      </c>
      <c r="D465" s="19" t="s">
        <v>160</v>
      </c>
      <c r="E465" s="19" t="s">
        <v>161</v>
      </c>
      <c r="F465" s="19" t="s">
        <v>822</v>
      </c>
      <c r="G465" s="19" t="s">
        <v>3249</v>
      </c>
      <c r="H465" s="19" t="s">
        <v>3250</v>
      </c>
      <c r="I465" s="19" t="s">
        <v>3251</v>
      </c>
      <c r="J465" s="19" t="n">
        <v>209.37</v>
      </c>
      <c r="K465" s="19" t="s">
        <v>1845</v>
      </c>
      <c r="L465" s="19"/>
      <c r="M465" s="20" t="str">
        <f aca="false">IF(G465&lt;&gt;"","PASS","FAIL - Missing UPC")</f>
        <v>PASS</v>
      </c>
      <c r="N465" s="20" t="str">
        <f aca="false">IF(AND(G465&lt;&gt;"",H465&lt;&gt;""),IF("0"&amp;G465=H465,"PASS","FAIL - GTIN Mismatch"),"SKIP")</f>
        <v>PASS</v>
      </c>
      <c r="O465" s="20" t="str">
        <f aca="false">IF(I465="","FAIL - No Title",IF(LEN(I465)&lt;=126,"PASS","FAIL - Title &gt;"&amp;126&amp;" chars"))</f>
        <v>PASS</v>
      </c>
      <c r="P465" s="20" t="str">
        <f aca="false">IF(J465&gt;0,IF(J465&lt;5000,"PASS","FLAG - Review Price"),"FAIL - Zero Price")</f>
        <v>PASS</v>
      </c>
      <c r="Q465" s="20" t="str">
        <f aca="false">IF('Raw Catalog'!P463&lt;&gt;"","PASS","FAIL - No Image")</f>
        <v>PASS</v>
      </c>
      <c r="R465" s="20" t="str">
        <f aca="false">IF(F465&lt;&gt;"","PASS","FAIL - No Brand")</f>
        <v>PASS</v>
      </c>
      <c r="S465" s="20" t="str">
        <f aca="true">IF(K465="","FAIL - No Date",IF(TODAY()-DATEVALUE(K465)&lt;=180,"PASS","FLAG - Stale &gt;180d"))</f>
        <v>FLAG - Stale &gt;180d</v>
      </c>
      <c r="T465" s="20" t="n">
        <f aca="false">COUNTIF(M465:S465,"FAIL*")+COUNTIF(M465:S465,"FLAG*")</f>
        <v>1</v>
      </c>
      <c r="U465" s="20" t="str">
        <f aca="false">IF(T465=0,"CLEAN",IF(T465=1,"MINOR",IF(T465&lt;=3,"MODERATE","CRITICAL")))</f>
        <v>MINOR</v>
      </c>
      <c r="V465" s="20" t="str">
        <f aca="false">IF(U465="CLEAN","None",IF(U465="MINOR","Seller Notify",IF(U465="MODERATE","Listing Suspended","Immediate Removal")))</f>
        <v>Seller Notify</v>
      </c>
    </row>
    <row r="466" customFormat="false" ht="18" hidden="false" customHeight="true" outlineLevel="0" collapsed="false">
      <c r="A466" s="19" t="s">
        <v>6543</v>
      </c>
      <c r="B466" s="19" t="s">
        <v>3255</v>
      </c>
      <c r="C466" s="19" t="s">
        <v>48</v>
      </c>
      <c r="D466" s="19" t="s">
        <v>49</v>
      </c>
      <c r="E466" s="19" t="s">
        <v>79</v>
      </c>
      <c r="F466" s="19" t="s">
        <v>513</v>
      </c>
      <c r="G466" s="19" t="s">
        <v>3257</v>
      </c>
      <c r="H466" s="19" t="s">
        <v>3258</v>
      </c>
      <c r="I466" s="19" t="s">
        <v>1892</v>
      </c>
      <c r="J466" s="19" t="n">
        <v>9045.32</v>
      </c>
      <c r="K466" s="19" t="s">
        <v>1510</v>
      </c>
      <c r="L466" s="21" t="s">
        <v>343</v>
      </c>
      <c r="M466" s="20" t="str">
        <f aca="false">IF(G466&lt;&gt;"","PASS","FAIL - Missing UPC")</f>
        <v>PASS</v>
      </c>
      <c r="N466" s="20" t="str">
        <f aca="false">IF(AND(G466&lt;&gt;"",H466&lt;&gt;""),IF("0"&amp;G466=H466,"PASS","FAIL - GTIN Mismatch"),"SKIP")</f>
        <v>PASS</v>
      </c>
      <c r="O466" s="20" t="str">
        <f aca="false">IF(I466="","FAIL - No Title",IF(LEN(I466)&lt;=126,"PASS","FAIL - Title &gt;"&amp;126&amp;" chars"))</f>
        <v>PASS</v>
      </c>
      <c r="P466" s="20" t="str">
        <f aca="false">IF(J466&gt;0,IF(J466&lt;5000,"PASS","FLAG - Review Price"),"FAIL - Zero Price")</f>
        <v>FLAG - Review Price</v>
      </c>
      <c r="Q466" s="20" t="str">
        <f aca="false">IF('Raw Catalog'!P464&lt;&gt;"","PASS","FAIL - No Image")</f>
        <v>PASS</v>
      </c>
      <c r="R466" s="20" t="str">
        <f aca="false">IF(F466&lt;&gt;"","PASS","FAIL - No Brand")</f>
        <v>PASS</v>
      </c>
      <c r="S466" s="20" t="str">
        <f aca="true">IF(K466="","FAIL - No Date",IF(TODAY()-DATEVALUE(K466)&lt;=180,"PASS","FLAG - Stale &gt;180d"))</f>
        <v>FLAG - Stale &gt;180d</v>
      </c>
      <c r="T466" s="20" t="n">
        <f aca="false">COUNTIF(M466:S466,"FAIL*")+COUNTIF(M466:S466,"FLAG*")</f>
        <v>2</v>
      </c>
      <c r="U466" s="20" t="str">
        <f aca="false">IF(T466=0,"CLEAN",IF(T466=1,"MINOR",IF(T466&lt;=3,"MODERATE","CRITICAL")))</f>
        <v>MODERATE</v>
      </c>
      <c r="V466" s="20" t="str">
        <f aca="false">IF(U466="CLEAN","None",IF(U466="MINOR","Seller Notify",IF(U466="MODERATE","Listing Suspended","Immediate Removal")))</f>
        <v>Listing Suspended</v>
      </c>
    </row>
    <row r="467" customFormat="false" ht="18" hidden="false" customHeight="true" outlineLevel="0" collapsed="false">
      <c r="A467" s="19" t="s">
        <v>6544</v>
      </c>
      <c r="B467" s="19" t="s">
        <v>3260</v>
      </c>
      <c r="C467" s="19" t="s">
        <v>77</v>
      </c>
      <c r="D467" s="19" t="s">
        <v>78</v>
      </c>
      <c r="E467" s="19" t="s">
        <v>161</v>
      </c>
      <c r="F467" s="19" t="s">
        <v>162</v>
      </c>
      <c r="G467" s="19" t="s">
        <v>3262</v>
      </c>
      <c r="H467" s="19" t="s">
        <v>3263</v>
      </c>
      <c r="I467" s="19" t="s">
        <v>3264</v>
      </c>
      <c r="J467" s="19" t="n">
        <v>506.76</v>
      </c>
      <c r="K467" s="19" t="s">
        <v>1409</v>
      </c>
      <c r="L467" s="19"/>
      <c r="M467" s="20" t="str">
        <f aca="false">IF(G467&lt;&gt;"","PASS","FAIL - Missing UPC")</f>
        <v>PASS</v>
      </c>
      <c r="N467" s="20" t="str">
        <f aca="false">IF(AND(G467&lt;&gt;"",H467&lt;&gt;""),IF("0"&amp;G467=H467,"PASS","FAIL - GTIN Mismatch"),"SKIP")</f>
        <v>PASS</v>
      </c>
      <c r="O467" s="20" t="str">
        <f aca="false">IF(I467="","FAIL - No Title",IF(LEN(I467)&lt;=126,"PASS","FAIL - Title &gt;"&amp;126&amp;" chars"))</f>
        <v>PASS</v>
      </c>
      <c r="P467" s="20" t="str">
        <f aca="false">IF(J467&gt;0,IF(J467&lt;5000,"PASS","FLAG - Review Price"),"FAIL - Zero Price")</f>
        <v>PASS</v>
      </c>
      <c r="Q467" s="20" t="str">
        <f aca="false">IF('Raw Catalog'!P465&lt;&gt;"","PASS","FAIL - No Image")</f>
        <v>PASS</v>
      </c>
      <c r="R467" s="20" t="str">
        <f aca="false">IF(F467&lt;&gt;"","PASS","FAIL - No Brand")</f>
        <v>PASS</v>
      </c>
      <c r="S467" s="20" t="str">
        <f aca="true">IF(K467="","FAIL - No Date",IF(TODAY()-DATEVALUE(K467)&lt;=180,"PASS","FLAG - Stale &gt;180d"))</f>
        <v>FLAG - Stale &gt;180d</v>
      </c>
      <c r="T467" s="20" t="n">
        <f aca="false">COUNTIF(M467:S467,"FAIL*")+COUNTIF(M467:S467,"FLAG*")</f>
        <v>1</v>
      </c>
      <c r="U467" s="20" t="str">
        <f aca="false">IF(T467=0,"CLEAN",IF(T467=1,"MINOR",IF(T467&lt;=3,"MODERATE","CRITICAL")))</f>
        <v>MINOR</v>
      </c>
      <c r="V467" s="20" t="str">
        <f aca="false">IF(U467="CLEAN","None",IF(U467="MINOR","Seller Notify",IF(U467="MODERATE","Listing Suspended","Immediate Removal")))</f>
        <v>Seller Notify</v>
      </c>
    </row>
    <row r="468" customFormat="false" ht="18" hidden="false" customHeight="true" outlineLevel="0" collapsed="false">
      <c r="A468" s="19" t="s">
        <v>6545</v>
      </c>
      <c r="B468" s="19" t="s">
        <v>3265</v>
      </c>
      <c r="C468" s="19" t="s">
        <v>125</v>
      </c>
      <c r="D468" s="19" t="s">
        <v>126</v>
      </c>
      <c r="E468" s="19" t="s">
        <v>50</v>
      </c>
      <c r="F468" s="19" t="s">
        <v>138</v>
      </c>
      <c r="G468" s="19" t="s">
        <v>3267</v>
      </c>
      <c r="H468" s="19" t="s">
        <v>3268</v>
      </c>
      <c r="I468" s="19" t="s">
        <v>3269</v>
      </c>
      <c r="J468" s="19" t="n">
        <v>961.16</v>
      </c>
      <c r="K468" s="19" t="s">
        <v>2581</v>
      </c>
      <c r="L468" s="19"/>
      <c r="M468" s="20" t="str">
        <f aca="false">IF(G468&lt;&gt;"","PASS","FAIL - Missing UPC")</f>
        <v>PASS</v>
      </c>
      <c r="N468" s="20" t="str">
        <f aca="false">IF(AND(G468&lt;&gt;"",H468&lt;&gt;""),IF("0"&amp;G468=H468,"PASS","FAIL - GTIN Mismatch"),"SKIP")</f>
        <v>PASS</v>
      </c>
      <c r="O468" s="20" t="str">
        <f aca="false">IF(I468="","FAIL - No Title",IF(LEN(I468)&lt;=126,"PASS","FAIL - Title &gt;"&amp;126&amp;" chars"))</f>
        <v>PASS</v>
      </c>
      <c r="P468" s="20" t="str">
        <f aca="false">IF(J468&gt;0,IF(J468&lt;5000,"PASS","FLAG - Review Price"),"FAIL - Zero Price")</f>
        <v>PASS</v>
      </c>
      <c r="Q468" s="20" t="str">
        <f aca="false">IF('Raw Catalog'!P466&lt;&gt;"","PASS","FAIL - No Image")</f>
        <v>PASS</v>
      </c>
      <c r="R468" s="20" t="str">
        <f aca="false">IF(F468&lt;&gt;"","PASS","FAIL - No Brand")</f>
        <v>PASS</v>
      </c>
      <c r="S468" s="20" t="str">
        <f aca="true">IF(K468="","FAIL - No Date",IF(TODAY()-DATEVALUE(K468)&lt;=180,"PASS","FLAG - Stale &gt;180d"))</f>
        <v>FLAG - Stale &gt;180d</v>
      </c>
      <c r="T468" s="20" t="n">
        <f aca="false">COUNTIF(M468:S468,"FAIL*")+COUNTIF(M468:S468,"FLAG*")</f>
        <v>1</v>
      </c>
      <c r="U468" s="20" t="str">
        <f aca="false">IF(T468=0,"CLEAN",IF(T468=1,"MINOR",IF(T468&lt;=3,"MODERATE","CRITICAL")))</f>
        <v>MINOR</v>
      </c>
      <c r="V468" s="20" t="str">
        <f aca="false">IF(U468="CLEAN","None",IF(U468="MINOR","Seller Notify",IF(U468="MODERATE","Listing Suspended","Immediate Removal")))</f>
        <v>Seller Notify</v>
      </c>
    </row>
    <row r="469" customFormat="false" ht="18" hidden="false" customHeight="true" outlineLevel="0" collapsed="false">
      <c r="A469" s="19" t="s">
        <v>6546</v>
      </c>
      <c r="B469" s="19" t="s">
        <v>3271</v>
      </c>
      <c r="C469" s="19" t="s">
        <v>173</v>
      </c>
      <c r="D469" s="19" t="s">
        <v>174</v>
      </c>
      <c r="E469" s="19" t="s">
        <v>65</v>
      </c>
      <c r="F469" s="19" t="s">
        <v>66</v>
      </c>
      <c r="G469" s="19" t="s">
        <v>3273</v>
      </c>
      <c r="H469" s="19" t="s">
        <v>3274</v>
      </c>
      <c r="I469" s="19" t="s">
        <v>71</v>
      </c>
      <c r="J469" s="19" t="n">
        <v>247.41</v>
      </c>
      <c r="K469" s="19" t="s">
        <v>1611</v>
      </c>
      <c r="L469" s="19"/>
      <c r="M469" s="20" t="str">
        <f aca="false">IF(G469&lt;&gt;"","PASS","FAIL - Missing UPC")</f>
        <v>PASS</v>
      </c>
      <c r="N469" s="20" t="str">
        <f aca="false">IF(AND(G469&lt;&gt;"",H469&lt;&gt;""),IF("0"&amp;G469=H469,"PASS","FAIL - GTIN Mismatch"),"SKIP")</f>
        <v>PASS</v>
      </c>
      <c r="O469" s="20" t="str">
        <f aca="false">IF(I469="","FAIL - No Title",IF(LEN(I469)&lt;=126,"PASS","FAIL - Title &gt;"&amp;126&amp;" chars"))</f>
        <v>PASS</v>
      </c>
      <c r="P469" s="20" t="str">
        <f aca="false">IF(J469&gt;0,IF(J469&lt;5000,"PASS","FLAG - Review Price"),"FAIL - Zero Price")</f>
        <v>PASS</v>
      </c>
      <c r="Q469" s="20" t="str">
        <f aca="false">IF('Raw Catalog'!P467&lt;&gt;"","PASS","FAIL - No Image")</f>
        <v>PASS</v>
      </c>
      <c r="R469" s="20" t="str">
        <f aca="false">IF(F469&lt;&gt;"","PASS","FAIL - No Brand")</f>
        <v>PASS</v>
      </c>
      <c r="S469" s="20" t="str">
        <f aca="true">IF(K469="","FAIL - No Date",IF(TODAY()-DATEVALUE(K469)&lt;=180,"PASS","FLAG - Stale &gt;180d"))</f>
        <v>FLAG - Stale &gt;180d</v>
      </c>
      <c r="T469" s="20" t="n">
        <f aca="false">COUNTIF(M469:S469,"FAIL*")+COUNTIF(M469:S469,"FLAG*")</f>
        <v>1</v>
      </c>
      <c r="U469" s="20" t="str">
        <f aca="false">IF(T469=0,"CLEAN",IF(T469=1,"MINOR",IF(T469&lt;=3,"MODERATE","CRITICAL")))</f>
        <v>MINOR</v>
      </c>
      <c r="V469" s="20" t="str">
        <f aca="false">IF(U469="CLEAN","None",IF(U469="MINOR","Seller Notify",IF(U469="MODERATE","Listing Suspended","Immediate Removal")))</f>
        <v>Seller Notify</v>
      </c>
    </row>
    <row r="470" customFormat="false" ht="18" hidden="false" customHeight="true" outlineLevel="0" collapsed="false">
      <c r="A470" s="19" t="s">
        <v>6547</v>
      </c>
      <c r="B470" s="19" t="s">
        <v>3275</v>
      </c>
      <c r="C470" s="19" t="s">
        <v>113</v>
      </c>
      <c r="D470" s="19" t="s">
        <v>114</v>
      </c>
      <c r="E470" s="19" t="s">
        <v>79</v>
      </c>
      <c r="F470" s="19" t="s">
        <v>1531</v>
      </c>
      <c r="G470" s="19" t="s">
        <v>3277</v>
      </c>
      <c r="H470" s="19" t="s">
        <v>3278</v>
      </c>
      <c r="I470" s="19" t="s">
        <v>3279</v>
      </c>
      <c r="J470" s="19" t="n">
        <v>1418.28</v>
      </c>
      <c r="K470" s="19" t="s">
        <v>2581</v>
      </c>
      <c r="L470" s="19"/>
      <c r="M470" s="20" t="str">
        <f aca="false">IF(G470&lt;&gt;"","PASS","FAIL - Missing UPC")</f>
        <v>PASS</v>
      </c>
      <c r="N470" s="20" t="str">
        <f aca="false">IF(AND(G470&lt;&gt;"",H470&lt;&gt;""),IF("0"&amp;G470=H470,"PASS","FAIL - GTIN Mismatch"),"SKIP")</f>
        <v>PASS</v>
      </c>
      <c r="O470" s="20" t="str">
        <f aca="false">IF(I470="","FAIL - No Title",IF(LEN(I470)&lt;=126,"PASS","FAIL - Title &gt;"&amp;126&amp;" chars"))</f>
        <v>PASS</v>
      </c>
      <c r="P470" s="20" t="str">
        <f aca="false">IF(J470&gt;0,IF(J470&lt;5000,"PASS","FLAG - Review Price"),"FAIL - Zero Price")</f>
        <v>PASS</v>
      </c>
      <c r="Q470" s="20" t="str">
        <f aca="false">IF('Raw Catalog'!P468&lt;&gt;"","PASS","FAIL - No Image")</f>
        <v>PASS</v>
      </c>
      <c r="R470" s="20" t="str">
        <f aca="false">IF(F470&lt;&gt;"","PASS","FAIL - No Brand")</f>
        <v>PASS</v>
      </c>
      <c r="S470" s="20" t="str">
        <f aca="true">IF(K470="","FAIL - No Date",IF(TODAY()-DATEVALUE(K470)&lt;=180,"PASS","FLAG - Stale &gt;180d"))</f>
        <v>FLAG - Stale &gt;180d</v>
      </c>
      <c r="T470" s="20" t="n">
        <f aca="false">COUNTIF(M470:S470,"FAIL*")+COUNTIF(M470:S470,"FLAG*")</f>
        <v>1</v>
      </c>
      <c r="U470" s="20" t="str">
        <f aca="false">IF(T470=0,"CLEAN",IF(T470=1,"MINOR",IF(T470&lt;=3,"MODERATE","CRITICAL")))</f>
        <v>MINOR</v>
      </c>
      <c r="V470" s="20" t="str">
        <f aca="false">IF(U470="CLEAN","None",IF(U470="MINOR","Seller Notify",IF(U470="MODERATE","Listing Suspended","Immediate Removal")))</f>
        <v>Seller Notify</v>
      </c>
    </row>
    <row r="471" customFormat="false" ht="18" hidden="false" customHeight="true" outlineLevel="0" collapsed="false">
      <c r="A471" s="19" t="s">
        <v>6548</v>
      </c>
      <c r="B471" s="19" t="s">
        <v>3282</v>
      </c>
      <c r="C471" s="19" t="s">
        <v>173</v>
      </c>
      <c r="D471" s="19" t="s">
        <v>174</v>
      </c>
      <c r="E471" s="19" t="s">
        <v>79</v>
      </c>
      <c r="F471" s="19" t="s">
        <v>127</v>
      </c>
      <c r="G471" s="19" t="s">
        <v>3284</v>
      </c>
      <c r="H471" s="19" t="s">
        <v>3285</v>
      </c>
      <c r="I471" s="19" t="s">
        <v>3286</v>
      </c>
      <c r="J471" s="19" t="n">
        <v>978.83</v>
      </c>
      <c r="K471" s="19" t="s">
        <v>3288</v>
      </c>
      <c r="L471" s="19"/>
      <c r="M471" s="20" t="str">
        <f aca="false">IF(G471&lt;&gt;"","PASS","FAIL - Missing UPC")</f>
        <v>PASS</v>
      </c>
      <c r="N471" s="20" t="str">
        <f aca="false">IF(AND(G471&lt;&gt;"",H471&lt;&gt;""),IF("0"&amp;G471=H471,"PASS","FAIL - GTIN Mismatch"),"SKIP")</f>
        <v>PASS</v>
      </c>
      <c r="O471" s="20" t="str">
        <f aca="false">IF(I471="","FAIL - No Title",IF(LEN(I471)&lt;=126,"PASS","FAIL - Title &gt;"&amp;126&amp;" chars"))</f>
        <v>PASS</v>
      </c>
      <c r="P471" s="20" t="str">
        <f aca="false">IF(J471&gt;0,IF(J471&lt;5000,"PASS","FLAG - Review Price"),"FAIL - Zero Price")</f>
        <v>PASS</v>
      </c>
      <c r="Q471" s="20" t="str">
        <f aca="false">IF('Raw Catalog'!P469&lt;&gt;"","PASS","FAIL - No Image")</f>
        <v>PASS</v>
      </c>
      <c r="R471" s="20" t="str">
        <f aca="false">IF(F471&lt;&gt;"","PASS","FAIL - No Brand")</f>
        <v>PASS</v>
      </c>
      <c r="S471" s="20" t="str">
        <f aca="true">IF(K471="","FAIL - No Date",IF(TODAY()-DATEVALUE(K471)&lt;=180,"PASS","FLAG - Stale &gt;180d"))</f>
        <v>FLAG - Stale &gt;180d</v>
      </c>
      <c r="T471" s="20" t="n">
        <f aca="false">COUNTIF(M471:S471,"FAIL*")+COUNTIF(M471:S471,"FLAG*")</f>
        <v>1</v>
      </c>
      <c r="U471" s="20" t="str">
        <f aca="false">IF(T471=0,"CLEAN",IF(T471=1,"MINOR",IF(T471&lt;=3,"MODERATE","CRITICAL")))</f>
        <v>MINOR</v>
      </c>
      <c r="V471" s="20" t="str">
        <f aca="false">IF(U471="CLEAN","None",IF(U471="MINOR","Seller Notify",IF(U471="MODERATE","Listing Suspended","Immediate Removal")))</f>
        <v>Seller Notify</v>
      </c>
    </row>
    <row r="472" customFormat="false" ht="18" hidden="false" customHeight="true" outlineLevel="0" collapsed="false">
      <c r="A472" s="19" t="s">
        <v>6549</v>
      </c>
      <c r="B472" s="19" t="s">
        <v>3289</v>
      </c>
      <c r="C472" s="19" t="s">
        <v>113</v>
      </c>
      <c r="D472" s="19" t="s">
        <v>114</v>
      </c>
      <c r="E472" s="19" t="s">
        <v>79</v>
      </c>
      <c r="F472" s="19" t="s">
        <v>1531</v>
      </c>
      <c r="G472" s="19" t="s">
        <v>3291</v>
      </c>
      <c r="H472" s="19" t="s">
        <v>3292</v>
      </c>
      <c r="I472" s="19" t="s">
        <v>3293</v>
      </c>
      <c r="J472" s="19" t="n">
        <v>1369.55</v>
      </c>
      <c r="K472" s="19" t="s">
        <v>75</v>
      </c>
      <c r="L472" s="19"/>
      <c r="M472" s="20" t="str">
        <f aca="false">IF(G472&lt;&gt;"","PASS","FAIL - Missing UPC")</f>
        <v>PASS</v>
      </c>
      <c r="N472" s="20" t="str">
        <f aca="false">IF(AND(G472&lt;&gt;"",H472&lt;&gt;""),IF("0"&amp;G472=H472,"PASS","FAIL - GTIN Mismatch"),"SKIP")</f>
        <v>PASS</v>
      </c>
      <c r="O472" s="20" t="str">
        <f aca="false">IF(I472="","FAIL - No Title",IF(LEN(I472)&lt;=126,"PASS","FAIL - Title &gt;"&amp;126&amp;" chars"))</f>
        <v>PASS</v>
      </c>
      <c r="P472" s="20" t="str">
        <f aca="false">IF(J472&gt;0,IF(J472&lt;5000,"PASS","FLAG - Review Price"),"FAIL - Zero Price")</f>
        <v>PASS</v>
      </c>
      <c r="Q472" s="20" t="str">
        <f aca="false">IF('Raw Catalog'!P470&lt;&gt;"","PASS","FAIL - No Image")</f>
        <v>PASS</v>
      </c>
      <c r="R472" s="20" t="str">
        <f aca="false">IF(F472&lt;&gt;"","PASS","FAIL - No Brand")</f>
        <v>PASS</v>
      </c>
      <c r="S472" s="20" t="str">
        <f aca="true">IF(K472="","FAIL - No Date",IF(TODAY()-DATEVALUE(K472)&lt;=180,"PASS","FLAG - Stale &gt;180d"))</f>
        <v>FLAG - Stale &gt;180d</v>
      </c>
      <c r="T472" s="20" t="n">
        <f aca="false">COUNTIF(M472:S472,"FAIL*")+COUNTIF(M472:S472,"FLAG*")</f>
        <v>1</v>
      </c>
      <c r="U472" s="20" t="str">
        <f aca="false">IF(T472=0,"CLEAN",IF(T472=1,"MINOR",IF(T472&lt;=3,"MODERATE","CRITICAL")))</f>
        <v>MINOR</v>
      </c>
      <c r="V472" s="20" t="str">
        <f aca="false">IF(U472="CLEAN","None",IF(U472="MINOR","Seller Notify",IF(U472="MODERATE","Listing Suspended","Immediate Removal")))</f>
        <v>Seller Notify</v>
      </c>
    </row>
    <row r="473" customFormat="false" ht="18" hidden="false" customHeight="true" outlineLevel="0" collapsed="false">
      <c r="A473" s="19" t="s">
        <v>6550</v>
      </c>
      <c r="B473" s="19" t="s">
        <v>3296</v>
      </c>
      <c r="C473" s="19" t="s">
        <v>63</v>
      </c>
      <c r="D473" s="19" t="s">
        <v>64</v>
      </c>
      <c r="E473" s="19" t="s">
        <v>79</v>
      </c>
      <c r="F473" s="19" t="s">
        <v>196</v>
      </c>
      <c r="G473" s="19" t="s">
        <v>3298</v>
      </c>
      <c r="H473" s="19" t="s">
        <v>3299</v>
      </c>
      <c r="I473" s="19" t="s">
        <v>3300</v>
      </c>
      <c r="J473" s="19" t="n">
        <v>1972.6</v>
      </c>
      <c r="K473" s="19" t="s">
        <v>2892</v>
      </c>
      <c r="L473" s="19"/>
      <c r="M473" s="20" t="str">
        <f aca="false">IF(G473&lt;&gt;"","PASS","FAIL - Missing UPC")</f>
        <v>PASS</v>
      </c>
      <c r="N473" s="20" t="str">
        <f aca="false">IF(AND(G473&lt;&gt;"",H473&lt;&gt;""),IF("0"&amp;G473=H473,"PASS","FAIL - GTIN Mismatch"),"SKIP")</f>
        <v>PASS</v>
      </c>
      <c r="O473" s="20" t="str">
        <f aca="false">IF(I473="","FAIL - No Title",IF(LEN(I473)&lt;=126,"PASS","FAIL - Title &gt;"&amp;126&amp;" chars"))</f>
        <v>PASS</v>
      </c>
      <c r="P473" s="20" t="str">
        <f aca="false">IF(J473&gt;0,IF(J473&lt;5000,"PASS","FLAG - Review Price"),"FAIL - Zero Price")</f>
        <v>PASS</v>
      </c>
      <c r="Q473" s="20" t="str">
        <f aca="false">IF('Raw Catalog'!P471&lt;&gt;"","PASS","FAIL - No Image")</f>
        <v>PASS</v>
      </c>
      <c r="R473" s="20" t="str">
        <f aca="false">IF(F473&lt;&gt;"","PASS","FAIL - No Brand")</f>
        <v>PASS</v>
      </c>
      <c r="S473" s="20" t="str">
        <f aca="true">IF(K473="","FAIL - No Date",IF(TODAY()-DATEVALUE(K473)&lt;=180,"PASS","FLAG - Stale &gt;180d"))</f>
        <v>FLAG - Stale &gt;180d</v>
      </c>
      <c r="T473" s="20" t="n">
        <f aca="false">COUNTIF(M473:S473,"FAIL*")+COUNTIF(M473:S473,"FLAG*")</f>
        <v>1</v>
      </c>
      <c r="U473" s="20" t="str">
        <f aca="false">IF(T473=0,"CLEAN",IF(T473=1,"MINOR",IF(T473&lt;=3,"MODERATE","CRITICAL")))</f>
        <v>MINOR</v>
      </c>
      <c r="V473" s="20" t="str">
        <f aca="false">IF(U473="CLEAN","None",IF(U473="MINOR","Seller Notify",IF(U473="MODERATE","Listing Suspended","Immediate Removal")))</f>
        <v>Seller Notify</v>
      </c>
    </row>
    <row r="474" customFormat="false" ht="18" hidden="false" customHeight="true" outlineLevel="0" collapsed="false">
      <c r="A474" s="19" t="s">
        <v>6551</v>
      </c>
      <c r="B474" s="19" t="s">
        <v>3304</v>
      </c>
      <c r="C474" s="19" t="s">
        <v>125</v>
      </c>
      <c r="D474" s="19" t="s">
        <v>126</v>
      </c>
      <c r="E474" s="19" t="s">
        <v>79</v>
      </c>
      <c r="F474" s="19" t="s">
        <v>1531</v>
      </c>
      <c r="G474" s="19" t="s">
        <v>3306</v>
      </c>
      <c r="H474" s="19" t="s">
        <v>3307</v>
      </c>
      <c r="I474" s="19" t="s">
        <v>3308</v>
      </c>
      <c r="J474" s="19" t="n">
        <v>442.08</v>
      </c>
      <c r="K474" s="19" t="s">
        <v>3310</v>
      </c>
      <c r="L474" s="19"/>
      <c r="M474" s="20" t="str">
        <f aca="false">IF(G474&lt;&gt;"","PASS","FAIL - Missing UPC")</f>
        <v>PASS</v>
      </c>
      <c r="N474" s="20" t="str">
        <f aca="false">IF(AND(G474&lt;&gt;"",H474&lt;&gt;""),IF("0"&amp;G474=H474,"PASS","FAIL - GTIN Mismatch"),"SKIP")</f>
        <v>PASS</v>
      </c>
      <c r="O474" s="20" t="str">
        <f aca="false">IF(I474="","FAIL - No Title",IF(LEN(I474)&lt;=126,"PASS","FAIL - Title &gt;"&amp;126&amp;" chars"))</f>
        <v>PASS</v>
      </c>
      <c r="P474" s="20" t="str">
        <f aca="false">IF(J474&gt;0,IF(J474&lt;5000,"PASS","FLAG - Review Price"),"FAIL - Zero Price")</f>
        <v>PASS</v>
      </c>
      <c r="Q474" s="20" t="str">
        <f aca="false">IF('Raw Catalog'!P472&lt;&gt;"","PASS","FAIL - No Image")</f>
        <v>PASS</v>
      </c>
      <c r="R474" s="20" t="str">
        <f aca="false">IF(F474&lt;&gt;"","PASS","FAIL - No Brand")</f>
        <v>PASS</v>
      </c>
      <c r="S474" s="20" t="str">
        <f aca="true">IF(K474="","FAIL - No Date",IF(TODAY()-DATEVALUE(K474)&lt;=180,"PASS","FLAG - Stale &gt;180d"))</f>
        <v>FLAG - Stale &gt;180d</v>
      </c>
      <c r="T474" s="20" t="n">
        <f aca="false">COUNTIF(M474:S474,"FAIL*")+COUNTIF(M474:S474,"FLAG*")</f>
        <v>1</v>
      </c>
      <c r="U474" s="20" t="str">
        <f aca="false">IF(T474=0,"CLEAN",IF(T474=1,"MINOR",IF(T474&lt;=3,"MODERATE","CRITICAL")))</f>
        <v>MINOR</v>
      </c>
      <c r="V474" s="20" t="str">
        <f aca="false">IF(U474="CLEAN","None",IF(U474="MINOR","Seller Notify",IF(U474="MODERATE","Listing Suspended","Immediate Removal")))</f>
        <v>Seller Notify</v>
      </c>
    </row>
    <row r="475" customFormat="false" ht="18" hidden="false" customHeight="true" outlineLevel="0" collapsed="false">
      <c r="A475" s="19" t="s">
        <v>6552</v>
      </c>
      <c r="B475" s="19" t="s">
        <v>3311</v>
      </c>
      <c r="C475" s="19" t="s">
        <v>77</v>
      </c>
      <c r="D475" s="19" t="s">
        <v>78</v>
      </c>
      <c r="E475" s="19" t="s">
        <v>65</v>
      </c>
      <c r="F475" s="19" t="s">
        <v>438</v>
      </c>
      <c r="G475" s="19" t="s">
        <v>3313</v>
      </c>
      <c r="H475" s="19" t="s">
        <v>3314</v>
      </c>
      <c r="I475" s="19" t="s">
        <v>2046</v>
      </c>
      <c r="J475" s="19" t="n">
        <v>205.99</v>
      </c>
      <c r="K475" s="19" t="s">
        <v>788</v>
      </c>
      <c r="L475" s="19"/>
      <c r="M475" s="20" t="str">
        <f aca="false">IF(G475&lt;&gt;"","PASS","FAIL - Missing UPC")</f>
        <v>PASS</v>
      </c>
      <c r="N475" s="20" t="str">
        <f aca="false">IF(AND(G475&lt;&gt;"",H475&lt;&gt;""),IF("0"&amp;G475=H475,"PASS","FAIL - GTIN Mismatch"),"SKIP")</f>
        <v>PASS</v>
      </c>
      <c r="O475" s="20" t="str">
        <f aca="false">IF(I475="","FAIL - No Title",IF(LEN(I475)&lt;=126,"PASS","FAIL - Title &gt;"&amp;126&amp;" chars"))</f>
        <v>PASS</v>
      </c>
      <c r="P475" s="20" t="str">
        <f aca="false">IF(J475&gt;0,IF(J475&lt;5000,"PASS","FLAG - Review Price"),"FAIL - Zero Price")</f>
        <v>PASS</v>
      </c>
      <c r="Q475" s="20" t="str">
        <f aca="false">IF('Raw Catalog'!P473&lt;&gt;"","PASS","FAIL - No Image")</f>
        <v>PASS</v>
      </c>
      <c r="R475" s="20" t="str">
        <f aca="false">IF(F475&lt;&gt;"","PASS","FAIL - No Brand")</f>
        <v>PASS</v>
      </c>
      <c r="S475" s="20" t="str">
        <f aca="true">IF(K475="","FAIL - No Date",IF(TODAY()-DATEVALUE(K475)&lt;=180,"PASS","FLAG - Stale &gt;180d"))</f>
        <v>FLAG - Stale &gt;180d</v>
      </c>
      <c r="T475" s="20" t="n">
        <f aca="false">COUNTIF(M475:S475,"FAIL*")+COUNTIF(M475:S475,"FLAG*")</f>
        <v>1</v>
      </c>
      <c r="U475" s="20" t="str">
        <f aca="false">IF(T475=0,"CLEAN",IF(T475=1,"MINOR",IF(T475&lt;=3,"MODERATE","CRITICAL")))</f>
        <v>MINOR</v>
      </c>
      <c r="V475" s="20" t="str">
        <f aca="false">IF(U475="CLEAN","None",IF(U475="MINOR","Seller Notify",IF(U475="MODERATE","Listing Suspended","Immediate Removal")))</f>
        <v>Seller Notify</v>
      </c>
    </row>
    <row r="476" customFormat="false" ht="18" hidden="false" customHeight="true" outlineLevel="0" collapsed="false">
      <c r="A476" s="19" t="s">
        <v>6553</v>
      </c>
      <c r="B476" s="19" t="s">
        <v>3315</v>
      </c>
      <c r="C476" s="19" t="s">
        <v>255</v>
      </c>
      <c r="D476" s="19" t="s">
        <v>256</v>
      </c>
      <c r="E476" s="19" t="s">
        <v>79</v>
      </c>
      <c r="F476" s="19" t="s">
        <v>51</v>
      </c>
      <c r="G476" s="19" t="s">
        <v>3317</v>
      </c>
      <c r="H476" s="19" t="s">
        <v>3318</v>
      </c>
      <c r="I476" s="19" t="s">
        <v>3319</v>
      </c>
      <c r="J476" s="19" t="n">
        <v>271</v>
      </c>
      <c r="K476" s="19" t="s">
        <v>2136</v>
      </c>
      <c r="L476" s="21" t="s">
        <v>453</v>
      </c>
      <c r="M476" s="20" t="str">
        <f aca="false">IF(G476&lt;&gt;"","PASS","FAIL - Missing UPC")</f>
        <v>PASS</v>
      </c>
      <c r="N476" s="20" t="str">
        <f aca="false">IF(AND(G476&lt;&gt;"",H476&lt;&gt;""),IF("0"&amp;G476=H476,"PASS","FAIL - GTIN Mismatch"),"SKIP")</f>
        <v>PASS</v>
      </c>
      <c r="O476" s="20" t="str">
        <f aca="false">IF(I476="","FAIL - No Title",IF(LEN(I476)&lt;=126,"PASS","FAIL - Title &gt;"&amp;126&amp;" chars"))</f>
        <v>PASS</v>
      </c>
      <c r="P476" s="20" t="str">
        <f aca="false">IF(J476&gt;0,IF(J476&lt;5000,"PASS","FLAG - Review Price"),"FAIL - Zero Price")</f>
        <v>PASS</v>
      </c>
      <c r="Q476" s="20" t="str">
        <f aca="false">IF('Raw Catalog'!P474&lt;&gt;"","PASS","FAIL - No Image")</f>
        <v>PASS</v>
      </c>
      <c r="R476" s="20" t="str">
        <f aca="false">IF(F476&lt;&gt;"","PASS","FAIL - No Brand")</f>
        <v>PASS</v>
      </c>
      <c r="S476" s="20" t="str">
        <f aca="true">IF(K476="","FAIL - No Date",IF(TODAY()-DATEVALUE(K476)&lt;=180,"PASS","FLAG - Stale &gt;180d"))</f>
        <v>FLAG - Stale &gt;180d</v>
      </c>
      <c r="T476" s="20" t="n">
        <f aca="false">COUNTIF(M476:S476,"FAIL*")+COUNTIF(M476:S476,"FLAG*")</f>
        <v>1</v>
      </c>
      <c r="U476" s="20" t="str">
        <f aca="false">IF(T476=0,"CLEAN",IF(T476=1,"MINOR",IF(T476&lt;=3,"MODERATE","CRITICAL")))</f>
        <v>MINOR</v>
      </c>
      <c r="V476" s="20" t="str">
        <f aca="false">IF(U476="CLEAN","None",IF(U476="MINOR","Seller Notify",IF(U476="MODERATE","Listing Suspended","Immediate Removal")))</f>
        <v>Seller Notify</v>
      </c>
    </row>
    <row r="477" customFormat="false" ht="18" hidden="false" customHeight="true" outlineLevel="0" collapsed="false">
      <c r="A477" s="19" t="s">
        <v>6554</v>
      </c>
      <c r="B477" s="19" t="s">
        <v>3320</v>
      </c>
      <c r="C477" s="19" t="s">
        <v>255</v>
      </c>
      <c r="D477" s="19" t="s">
        <v>256</v>
      </c>
      <c r="E477" s="19" t="s">
        <v>91</v>
      </c>
      <c r="F477" s="19" t="s">
        <v>185</v>
      </c>
      <c r="G477" s="19" t="s">
        <v>3322</v>
      </c>
      <c r="H477" s="19" t="s">
        <v>3323</v>
      </c>
      <c r="I477" s="19" t="s">
        <v>3324</v>
      </c>
      <c r="J477" s="19" t="n">
        <v>2512.56</v>
      </c>
      <c r="K477" s="19" t="s">
        <v>829</v>
      </c>
      <c r="L477" s="19"/>
      <c r="M477" s="20" t="str">
        <f aca="false">IF(G477&lt;&gt;"","PASS","FAIL - Missing UPC")</f>
        <v>PASS</v>
      </c>
      <c r="N477" s="20" t="str">
        <f aca="false">IF(AND(G477&lt;&gt;"",H477&lt;&gt;""),IF("0"&amp;G477=H477,"PASS","FAIL - GTIN Mismatch"),"SKIP")</f>
        <v>PASS</v>
      </c>
      <c r="O477" s="20" t="str">
        <f aca="false">IF(I477="","FAIL - No Title",IF(LEN(I477)&lt;=126,"PASS","FAIL - Title &gt;"&amp;126&amp;" chars"))</f>
        <v>PASS</v>
      </c>
      <c r="P477" s="20" t="str">
        <f aca="false">IF(J477&gt;0,IF(J477&lt;5000,"PASS","FLAG - Review Price"),"FAIL - Zero Price")</f>
        <v>PASS</v>
      </c>
      <c r="Q477" s="20" t="str">
        <f aca="false">IF('Raw Catalog'!P475&lt;&gt;"","PASS","FAIL - No Image")</f>
        <v>PASS</v>
      </c>
      <c r="R477" s="20" t="str">
        <f aca="false">IF(F477&lt;&gt;"","PASS","FAIL - No Brand")</f>
        <v>PASS</v>
      </c>
      <c r="S477" s="20" t="str">
        <f aca="true">IF(K477="","FAIL - No Date",IF(TODAY()-DATEVALUE(K477)&lt;=180,"PASS","FLAG - Stale &gt;180d"))</f>
        <v>FLAG - Stale &gt;180d</v>
      </c>
      <c r="T477" s="20" t="n">
        <f aca="false">COUNTIF(M477:S477,"FAIL*")+COUNTIF(M477:S477,"FLAG*")</f>
        <v>1</v>
      </c>
      <c r="U477" s="20" t="str">
        <f aca="false">IF(T477=0,"CLEAN",IF(T477=1,"MINOR",IF(T477&lt;=3,"MODERATE","CRITICAL")))</f>
        <v>MINOR</v>
      </c>
      <c r="V477" s="20" t="str">
        <f aca="false">IF(U477="CLEAN","None",IF(U477="MINOR","Seller Notify",IF(U477="MODERATE","Listing Suspended","Immediate Removal")))</f>
        <v>Seller Notify</v>
      </c>
    </row>
    <row r="478" customFormat="false" ht="18" hidden="false" customHeight="true" outlineLevel="0" collapsed="false">
      <c r="A478" s="19" t="s">
        <v>6555</v>
      </c>
      <c r="B478" s="19" t="s">
        <v>3325</v>
      </c>
      <c r="C478" s="19" t="s">
        <v>63</v>
      </c>
      <c r="D478" s="19" t="s">
        <v>64</v>
      </c>
      <c r="E478" s="19" t="s">
        <v>65</v>
      </c>
      <c r="F478" s="19" t="s">
        <v>390</v>
      </c>
      <c r="G478" s="19" t="s">
        <v>3327</v>
      </c>
      <c r="H478" s="19" t="s">
        <v>3328</v>
      </c>
      <c r="I478" s="19" t="s">
        <v>1750</v>
      </c>
      <c r="J478" s="19" t="n">
        <v>36.35</v>
      </c>
      <c r="K478" s="19" t="s">
        <v>1652</v>
      </c>
      <c r="L478" s="19"/>
      <c r="M478" s="20" t="str">
        <f aca="false">IF(G478&lt;&gt;"","PASS","FAIL - Missing UPC")</f>
        <v>PASS</v>
      </c>
      <c r="N478" s="20" t="str">
        <f aca="false">IF(AND(G478&lt;&gt;"",H478&lt;&gt;""),IF("0"&amp;G478=H478,"PASS","FAIL - GTIN Mismatch"),"SKIP")</f>
        <v>PASS</v>
      </c>
      <c r="O478" s="20" t="str">
        <f aca="false">IF(I478="","FAIL - No Title",IF(LEN(I478)&lt;=126,"PASS","FAIL - Title &gt;"&amp;126&amp;" chars"))</f>
        <v>PASS</v>
      </c>
      <c r="P478" s="20" t="str">
        <f aca="false">IF(J478&gt;0,IF(J478&lt;5000,"PASS","FLAG - Review Price"),"FAIL - Zero Price")</f>
        <v>PASS</v>
      </c>
      <c r="Q478" s="20" t="str">
        <f aca="false">IF('Raw Catalog'!P476&lt;&gt;"","PASS","FAIL - No Image")</f>
        <v>PASS</v>
      </c>
      <c r="R478" s="20" t="str">
        <f aca="false">IF(F478&lt;&gt;"","PASS","FAIL - No Brand")</f>
        <v>PASS</v>
      </c>
      <c r="S478" s="20" t="str">
        <f aca="true">IF(K478="","FAIL - No Date",IF(TODAY()-DATEVALUE(K478)&lt;=180,"PASS","FLAG - Stale &gt;180d"))</f>
        <v>FLAG - Stale &gt;180d</v>
      </c>
      <c r="T478" s="20" t="n">
        <f aca="false">COUNTIF(M478:S478,"FAIL*")+COUNTIF(M478:S478,"FLAG*")</f>
        <v>1</v>
      </c>
      <c r="U478" s="20" t="str">
        <f aca="false">IF(T478=0,"CLEAN",IF(T478=1,"MINOR",IF(T478&lt;=3,"MODERATE","CRITICAL")))</f>
        <v>MINOR</v>
      </c>
      <c r="V478" s="20" t="str">
        <f aca="false">IF(U478="CLEAN","None",IF(U478="MINOR","Seller Notify",IF(U478="MODERATE","Listing Suspended","Immediate Removal")))</f>
        <v>Seller Notify</v>
      </c>
    </row>
    <row r="479" customFormat="false" ht="18" hidden="false" customHeight="true" outlineLevel="0" collapsed="false">
      <c r="A479" s="19" t="s">
        <v>6556</v>
      </c>
      <c r="B479" s="19" t="s">
        <v>3329</v>
      </c>
      <c r="C479" s="19" t="s">
        <v>255</v>
      </c>
      <c r="D479" s="19" t="s">
        <v>256</v>
      </c>
      <c r="E479" s="19" t="s">
        <v>50</v>
      </c>
      <c r="F479" s="19" t="s">
        <v>503</v>
      </c>
      <c r="G479" s="19" t="s">
        <v>3331</v>
      </c>
      <c r="H479" s="19" t="s">
        <v>3332</v>
      </c>
      <c r="I479" s="19" t="s">
        <v>3333</v>
      </c>
      <c r="J479" s="19" t="n">
        <v>1231.82</v>
      </c>
      <c r="K479" s="19" t="s">
        <v>611</v>
      </c>
      <c r="L479" s="19"/>
      <c r="M479" s="20" t="str">
        <f aca="false">IF(G479&lt;&gt;"","PASS","FAIL - Missing UPC")</f>
        <v>PASS</v>
      </c>
      <c r="N479" s="20" t="str">
        <f aca="false">IF(AND(G479&lt;&gt;"",H479&lt;&gt;""),IF("0"&amp;G479=H479,"PASS","FAIL - GTIN Mismatch"),"SKIP")</f>
        <v>PASS</v>
      </c>
      <c r="O479" s="20" t="str">
        <f aca="false">IF(I479="","FAIL - No Title",IF(LEN(I479)&lt;=126,"PASS","FAIL - Title &gt;"&amp;126&amp;" chars"))</f>
        <v>PASS</v>
      </c>
      <c r="P479" s="20" t="str">
        <f aca="false">IF(J479&gt;0,IF(J479&lt;5000,"PASS","FLAG - Review Price"),"FAIL - Zero Price")</f>
        <v>PASS</v>
      </c>
      <c r="Q479" s="20" t="str">
        <f aca="false">IF('Raw Catalog'!P477&lt;&gt;"","PASS","FAIL - No Image")</f>
        <v>PASS</v>
      </c>
      <c r="R479" s="20" t="str">
        <f aca="false">IF(F479&lt;&gt;"","PASS","FAIL - No Brand")</f>
        <v>PASS</v>
      </c>
      <c r="S479" s="20" t="str">
        <f aca="true">IF(K479="","FAIL - No Date",IF(TODAY()-DATEVALUE(K479)&lt;=180,"PASS","FLAG - Stale &gt;180d"))</f>
        <v>FLAG - Stale &gt;180d</v>
      </c>
      <c r="T479" s="20" t="n">
        <f aca="false">COUNTIF(M479:S479,"FAIL*")+COUNTIF(M479:S479,"FLAG*")</f>
        <v>1</v>
      </c>
      <c r="U479" s="20" t="str">
        <f aca="false">IF(T479=0,"CLEAN",IF(T479=1,"MINOR",IF(T479&lt;=3,"MODERATE","CRITICAL")))</f>
        <v>MINOR</v>
      </c>
      <c r="V479" s="20" t="str">
        <f aca="false">IF(U479="CLEAN","None",IF(U479="MINOR","Seller Notify",IF(U479="MODERATE","Listing Suspended","Immediate Removal")))</f>
        <v>Seller Notify</v>
      </c>
    </row>
    <row r="480" customFormat="false" ht="18" hidden="false" customHeight="true" outlineLevel="0" collapsed="false">
      <c r="A480" s="19" t="s">
        <v>6557</v>
      </c>
      <c r="B480" s="19" t="s">
        <v>3334</v>
      </c>
      <c r="C480" s="19" t="s">
        <v>125</v>
      </c>
      <c r="D480" s="19" t="s">
        <v>126</v>
      </c>
      <c r="E480" s="19" t="s">
        <v>161</v>
      </c>
      <c r="F480" s="19" t="s">
        <v>51</v>
      </c>
      <c r="G480" s="19" t="s">
        <v>3336</v>
      </c>
      <c r="H480" s="19" t="s">
        <v>3337</v>
      </c>
      <c r="I480" s="19" t="s">
        <v>3239</v>
      </c>
      <c r="J480" s="19" t="n">
        <v>482.67</v>
      </c>
      <c r="K480" s="19" t="s">
        <v>3022</v>
      </c>
      <c r="L480" s="19"/>
      <c r="M480" s="20" t="str">
        <f aca="false">IF(G480&lt;&gt;"","PASS","FAIL - Missing UPC")</f>
        <v>PASS</v>
      </c>
      <c r="N480" s="20" t="str">
        <f aca="false">IF(AND(G480&lt;&gt;"",H480&lt;&gt;""),IF("0"&amp;G480=H480,"PASS","FAIL - GTIN Mismatch"),"SKIP")</f>
        <v>PASS</v>
      </c>
      <c r="O480" s="20" t="str">
        <f aca="false">IF(I480="","FAIL - No Title",IF(LEN(I480)&lt;=126,"PASS","FAIL - Title &gt;"&amp;126&amp;" chars"))</f>
        <v>PASS</v>
      </c>
      <c r="P480" s="20" t="str">
        <f aca="false">IF(J480&gt;0,IF(J480&lt;5000,"PASS","FLAG - Review Price"),"FAIL - Zero Price")</f>
        <v>PASS</v>
      </c>
      <c r="Q480" s="20" t="str">
        <f aca="false">IF('Raw Catalog'!P478&lt;&gt;"","PASS","FAIL - No Image")</f>
        <v>PASS</v>
      </c>
      <c r="R480" s="20" t="str">
        <f aca="false">IF(F480&lt;&gt;"","PASS","FAIL - No Brand")</f>
        <v>PASS</v>
      </c>
      <c r="S480" s="20" t="str">
        <f aca="true">IF(K480="","FAIL - No Date",IF(TODAY()-DATEVALUE(K480)&lt;=180,"PASS","FLAG - Stale &gt;180d"))</f>
        <v>FLAG - Stale &gt;180d</v>
      </c>
      <c r="T480" s="20" t="n">
        <f aca="false">COUNTIF(M480:S480,"FAIL*")+COUNTIF(M480:S480,"FLAG*")</f>
        <v>1</v>
      </c>
      <c r="U480" s="20" t="str">
        <f aca="false">IF(T480=0,"CLEAN",IF(T480=1,"MINOR",IF(T480&lt;=3,"MODERATE","CRITICAL")))</f>
        <v>MINOR</v>
      </c>
      <c r="V480" s="20" t="str">
        <f aca="false">IF(U480="CLEAN","None",IF(U480="MINOR","Seller Notify",IF(U480="MODERATE","Listing Suspended","Immediate Removal")))</f>
        <v>Seller Notify</v>
      </c>
    </row>
    <row r="481" customFormat="false" ht="18" hidden="false" customHeight="true" outlineLevel="0" collapsed="false">
      <c r="A481" s="19" t="s">
        <v>6558</v>
      </c>
      <c r="B481" s="19" t="s">
        <v>3338</v>
      </c>
      <c r="C481" s="19" t="s">
        <v>113</v>
      </c>
      <c r="D481" s="19" t="s">
        <v>114</v>
      </c>
      <c r="E481" s="19" t="s">
        <v>50</v>
      </c>
      <c r="F481" s="19" t="s">
        <v>138</v>
      </c>
      <c r="G481" s="19" t="s">
        <v>3340</v>
      </c>
      <c r="H481" s="19" t="s">
        <v>3341</v>
      </c>
      <c r="I481" s="19" t="s">
        <v>877</v>
      </c>
      <c r="J481" s="19" t="n">
        <v>553.83</v>
      </c>
      <c r="K481" s="19" t="s">
        <v>838</v>
      </c>
      <c r="L481" s="19"/>
      <c r="M481" s="20" t="str">
        <f aca="false">IF(G481&lt;&gt;"","PASS","FAIL - Missing UPC")</f>
        <v>PASS</v>
      </c>
      <c r="N481" s="20" t="str">
        <f aca="false">IF(AND(G481&lt;&gt;"",H481&lt;&gt;""),IF("0"&amp;G481=H481,"PASS","FAIL - GTIN Mismatch"),"SKIP")</f>
        <v>PASS</v>
      </c>
      <c r="O481" s="20" t="str">
        <f aca="false">IF(I481="","FAIL - No Title",IF(LEN(I481)&lt;=126,"PASS","FAIL - Title &gt;"&amp;126&amp;" chars"))</f>
        <v>PASS</v>
      </c>
      <c r="P481" s="20" t="str">
        <f aca="false">IF(J481&gt;0,IF(J481&lt;5000,"PASS","FLAG - Review Price"),"FAIL - Zero Price")</f>
        <v>PASS</v>
      </c>
      <c r="Q481" s="20" t="str">
        <f aca="false">IF('Raw Catalog'!P479&lt;&gt;"","PASS","FAIL - No Image")</f>
        <v>PASS</v>
      </c>
      <c r="R481" s="20" t="str">
        <f aca="false">IF(F481&lt;&gt;"","PASS","FAIL - No Brand")</f>
        <v>PASS</v>
      </c>
      <c r="S481" s="20" t="str">
        <f aca="true">IF(K481="","FAIL - No Date",IF(TODAY()-DATEVALUE(K481)&lt;=180,"PASS","FLAG - Stale &gt;180d"))</f>
        <v>FLAG - Stale &gt;180d</v>
      </c>
      <c r="T481" s="20" t="n">
        <f aca="false">COUNTIF(M481:S481,"FAIL*")+COUNTIF(M481:S481,"FLAG*")</f>
        <v>1</v>
      </c>
      <c r="U481" s="20" t="str">
        <f aca="false">IF(T481=0,"CLEAN",IF(T481=1,"MINOR",IF(T481&lt;=3,"MODERATE","CRITICAL")))</f>
        <v>MINOR</v>
      </c>
      <c r="V481" s="20" t="str">
        <f aca="false">IF(U481="CLEAN","None",IF(U481="MINOR","Seller Notify",IF(U481="MODERATE","Listing Suspended","Immediate Removal")))</f>
        <v>Seller Notify</v>
      </c>
    </row>
    <row r="482" customFormat="false" ht="18" hidden="false" customHeight="true" outlineLevel="0" collapsed="false">
      <c r="A482" s="19" t="s">
        <v>6559</v>
      </c>
      <c r="B482" s="19" t="s">
        <v>3342</v>
      </c>
      <c r="C482" s="19" t="s">
        <v>48</v>
      </c>
      <c r="D482" s="19" t="s">
        <v>49</v>
      </c>
      <c r="E482" s="19" t="s">
        <v>65</v>
      </c>
      <c r="F482" s="19"/>
      <c r="G482" s="19" t="s">
        <v>3344</v>
      </c>
      <c r="H482" s="19" t="s">
        <v>3345</v>
      </c>
      <c r="I482" s="19" t="s">
        <v>2220</v>
      </c>
      <c r="J482" s="19" t="n">
        <v>326.88</v>
      </c>
      <c r="K482" s="19" t="s">
        <v>60</v>
      </c>
      <c r="L482" s="21" t="s">
        <v>89</v>
      </c>
      <c r="M482" s="20" t="str">
        <f aca="false">IF(G482&lt;&gt;"","PASS","FAIL - Missing UPC")</f>
        <v>PASS</v>
      </c>
      <c r="N482" s="20" t="str">
        <f aca="false">IF(AND(G482&lt;&gt;"",H482&lt;&gt;""),IF("0"&amp;G482=H482,"PASS","FAIL - GTIN Mismatch"),"SKIP")</f>
        <v>PASS</v>
      </c>
      <c r="O482" s="20" t="str">
        <f aca="false">IF(I482="","FAIL - No Title",IF(LEN(I482)&lt;=126,"PASS","FAIL - Title &gt;"&amp;126&amp;" chars"))</f>
        <v>PASS</v>
      </c>
      <c r="P482" s="20" t="str">
        <f aca="false">IF(J482&gt;0,IF(J482&lt;5000,"PASS","FLAG - Review Price"),"FAIL - Zero Price")</f>
        <v>PASS</v>
      </c>
      <c r="Q482" s="20" t="str">
        <f aca="false">IF('Raw Catalog'!P480&lt;&gt;"","PASS","FAIL - No Image")</f>
        <v>PASS</v>
      </c>
      <c r="R482" s="20" t="str">
        <f aca="false">IF(F482&lt;&gt;"","PASS","FAIL - No Brand")</f>
        <v>FAIL - No Brand</v>
      </c>
      <c r="S482" s="20" t="str">
        <f aca="true">IF(K482="","FAIL - No Date",IF(TODAY()-DATEVALUE(K482)&lt;=180,"PASS","FLAG - Stale &gt;180d"))</f>
        <v>FLAG - Stale &gt;180d</v>
      </c>
      <c r="T482" s="20" t="n">
        <f aca="false">COUNTIF(M482:S482,"FAIL*")+COUNTIF(M482:S482,"FLAG*")</f>
        <v>2</v>
      </c>
      <c r="U482" s="20" t="str">
        <f aca="false">IF(T482=0,"CLEAN",IF(T482=1,"MINOR",IF(T482&lt;=3,"MODERATE","CRITICAL")))</f>
        <v>MODERATE</v>
      </c>
      <c r="V482" s="20" t="str">
        <f aca="false">IF(U482="CLEAN","None",IF(U482="MINOR","Seller Notify",IF(U482="MODERATE","Listing Suspended","Immediate Removal")))</f>
        <v>Listing Suspended</v>
      </c>
    </row>
    <row r="483" customFormat="false" ht="18" hidden="false" customHeight="true" outlineLevel="0" collapsed="false">
      <c r="A483" s="19" t="s">
        <v>6560</v>
      </c>
      <c r="B483" s="19" t="s">
        <v>3346</v>
      </c>
      <c r="C483" s="19" t="s">
        <v>125</v>
      </c>
      <c r="D483" s="19" t="s">
        <v>126</v>
      </c>
      <c r="E483" s="19" t="s">
        <v>91</v>
      </c>
      <c r="F483" s="19" t="s">
        <v>419</v>
      </c>
      <c r="G483" s="19" t="s">
        <v>3348</v>
      </c>
      <c r="H483" s="19" t="s">
        <v>3349</v>
      </c>
      <c r="I483" s="19" t="s">
        <v>3350</v>
      </c>
      <c r="J483" s="19" t="n">
        <v>614.39</v>
      </c>
      <c r="K483" s="19" t="s">
        <v>2366</v>
      </c>
      <c r="L483" s="19"/>
      <c r="M483" s="20" t="str">
        <f aca="false">IF(G483&lt;&gt;"","PASS","FAIL - Missing UPC")</f>
        <v>PASS</v>
      </c>
      <c r="N483" s="20" t="str">
        <f aca="false">IF(AND(G483&lt;&gt;"",H483&lt;&gt;""),IF("0"&amp;G483=H483,"PASS","FAIL - GTIN Mismatch"),"SKIP")</f>
        <v>PASS</v>
      </c>
      <c r="O483" s="20" t="str">
        <f aca="false">IF(I483="","FAIL - No Title",IF(LEN(I483)&lt;=126,"PASS","FAIL - Title &gt;"&amp;126&amp;" chars"))</f>
        <v>PASS</v>
      </c>
      <c r="P483" s="20" t="str">
        <f aca="false">IF(J483&gt;0,IF(J483&lt;5000,"PASS","FLAG - Review Price"),"FAIL - Zero Price")</f>
        <v>PASS</v>
      </c>
      <c r="Q483" s="20" t="str">
        <f aca="false">IF('Raw Catalog'!P481&lt;&gt;"","PASS","FAIL - No Image")</f>
        <v>PASS</v>
      </c>
      <c r="R483" s="20" t="str">
        <f aca="false">IF(F483&lt;&gt;"","PASS","FAIL - No Brand")</f>
        <v>PASS</v>
      </c>
      <c r="S483" s="20" t="str">
        <f aca="true">IF(K483="","FAIL - No Date",IF(TODAY()-DATEVALUE(K483)&lt;=180,"PASS","FLAG - Stale &gt;180d"))</f>
        <v>FLAG - Stale &gt;180d</v>
      </c>
      <c r="T483" s="20" t="n">
        <f aca="false">COUNTIF(M483:S483,"FAIL*")+COUNTIF(M483:S483,"FLAG*")</f>
        <v>1</v>
      </c>
      <c r="U483" s="20" t="str">
        <f aca="false">IF(T483=0,"CLEAN",IF(T483=1,"MINOR",IF(T483&lt;=3,"MODERATE","CRITICAL")))</f>
        <v>MINOR</v>
      </c>
      <c r="V483" s="20" t="str">
        <f aca="false">IF(U483="CLEAN","None",IF(U483="MINOR","Seller Notify",IF(U483="MODERATE","Listing Suspended","Immediate Removal")))</f>
        <v>Seller Notify</v>
      </c>
    </row>
    <row r="484" customFormat="false" ht="18" hidden="false" customHeight="true" outlineLevel="0" collapsed="false">
      <c r="A484" s="19" t="s">
        <v>6561</v>
      </c>
      <c r="B484" s="19" t="s">
        <v>3351</v>
      </c>
      <c r="C484" s="19" t="s">
        <v>255</v>
      </c>
      <c r="D484" s="19" t="s">
        <v>256</v>
      </c>
      <c r="E484" s="19" t="s">
        <v>50</v>
      </c>
      <c r="F484" s="19" t="s">
        <v>51</v>
      </c>
      <c r="G484" s="19" t="s">
        <v>3353</v>
      </c>
      <c r="H484" s="19" t="s">
        <v>3354</v>
      </c>
      <c r="I484" s="19" t="s">
        <v>2904</v>
      </c>
      <c r="J484" s="19" t="n">
        <v>1037.27</v>
      </c>
      <c r="K484" s="19" t="s">
        <v>1642</v>
      </c>
      <c r="L484" s="19"/>
      <c r="M484" s="20" t="str">
        <f aca="false">IF(G484&lt;&gt;"","PASS","FAIL - Missing UPC")</f>
        <v>PASS</v>
      </c>
      <c r="N484" s="20" t="str">
        <f aca="false">IF(AND(G484&lt;&gt;"",H484&lt;&gt;""),IF("0"&amp;G484=H484,"PASS","FAIL - GTIN Mismatch"),"SKIP")</f>
        <v>PASS</v>
      </c>
      <c r="O484" s="20" t="str">
        <f aca="false">IF(I484="","FAIL - No Title",IF(LEN(I484)&lt;=126,"PASS","FAIL - Title &gt;"&amp;126&amp;" chars"))</f>
        <v>PASS</v>
      </c>
      <c r="P484" s="20" t="str">
        <f aca="false">IF(J484&gt;0,IF(J484&lt;5000,"PASS","FLAG - Review Price"),"FAIL - Zero Price")</f>
        <v>PASS</v>
      </c>
      <c r="Q484" s="20" t="str">
        <f aca="false">IF('Raw Catalog'!P482&lt;&gt;"","PASS","FAIL - No Image")</f>
        <v>PASS</v>
      </c>
      <c r="R484" s="20" t="str">
        <f aca="false">IF(F484&lt;&gt;"","PASS","FAIL - No Brand")</f>
        <v>PASS</v>
      </c>
      <c r="S484" s="20" t="str">
        <f aca="true">IF(K484="","FAIL - No Date",IF(TODAY()-DATEVALUE(K484)&lt;=180,"PASS","FLAG - Stale &gt;180d"))</f>
        <v>FLAG - Stale &gt;180d</v>
      </c>
      <c r="T484" s="20" t="n">
        <f aca="false">COUNTIF(M484:S484,"FAIL*")+COUNTIF(M484:S484,"FLAG*")</f>
        <v>1</v>
      </c>
      <c r="U484" s="20" t="str">
        <f aca="false">IF(T484=0,"CLEAN",IF(T484=1,"MINOR",IF(T484&lt;=3,"MODERATE","CRITICAL")))</f>
        <v>MINOR</v>
      </c>
      <c r="V484" s="20" t="str">
        <f aca="false">IF(U484="CLEAN","None",IF(U484="MINOR","Seller Notify",IF(U484="MODERATE","Listing Suspended","Immediate Removal")))</f>
        <v>Seller Notify</v>
      </c>
    </row>
    <row r="485" customFormat="false" ht="18" hidden="false" customHeight="true" outlineLevel="0" collapsed="false">
      <c r="A485" s="19" t="s">
        <v>6562</v>
      </c>
      <c r="B485" s="19" t="s">
        <v>3356</v>
      </c>
      <c r="C485" s="19" t="s">
        <v>125</v>
      </c>
      <c r="D485" s="19" t="s">
        <v>126</v>
      </c>
      <c r="E485" s="19" t="s">
        <v>50</v>
      </c>
      <c r="F485" s="19" t="s">
        <v>115</v>
      </c>
      <c r="G485" s="19" t="s">
        <v>3358</v>
      </c>
      <c r="H485" s="19" t="s">
        <v>3359</v>
      </c>
      <c r="I485" s="19" t="s">
        <v>3360</v>
      </c>
      <c r="J485" s="19" t="n">
        <v>430.44</v>
      </c>
      <c r="K485" s="19" t="s">
        <v>2136</v>
      </c>
      <c r="L485" s="21" t="s">
        <v>243</v>
      </c>
      <c r="M485" s="20" t="str">
        <f aca="false">IF(G485&lt;&gt;"","PASS","FAIL - Missing UPC")</f>
        <v>PASS</v>
      </c>
      <c r="N485" s="20" t="str">
        <f aca="false">IF(AND(G485&lt;&gt;"",H485&lt;&gt;""),IF("0"&amp;G485=H485,"PASS","FAIL - GTIN Mismatch"),"SKIP")</f>
        <v>FAIL - GTIN Mismatch</v>
      </c>
      <c r="O485" s="20" t="str">
        <f aca="false">IF(I485="","FAIL - No Title",IF(LEN(I485)&lt;=126,"PASS","FAIL - Title &gt;"&amp;126&amp;" chars"))</f>
        <v>PASS</v>
      </c>
      <c r="P485" s="20" t="str">
        <f aca="false">IF(J485&gt;0,IF(J485&lt;5000,"PASS","FLAG - Review Price"),"FAIL - Zero Price")</f>
        <v>PASS</v>
      </c>
      <c r="Q485" s="20" t="str">
        <f aca="false">IF('Raw Catalog'!P483&lt;&gt;"","PASS","FAIL - No Image")</f>
        <v>PASS</v>
      </c>
      <c r="R485" s="20" t="str">
        <f aca="false">IF(F485&lt;&gt;"","PASS","FAIL - No Brand")</f>
        <v>PASS</v>
      </c>
      <c r="S485" s="20" t="str">
        <f aca="true">IF(K485="","FAIL - No Date",IF(TODAY()-DATEVALUE(K485)&lt;=180,"PASS","FLAG - Stale &gt;180d"))</f>
        <v>FLAG - Stale &gt;180d</v>
      </c>
      <c r="T485" s="20" t="n">
        <f aca="false">COUNTIF(M485:S485,"FAIL*")+COUNTIF(M485:S485,"FLAG*")</f>
        <v>2</v>
      </c>
      <c r="U485" s="20" t="str">
        <f aca="false">IF(T485=0,"CLEAN",IF(T485=1,"MINOR",IF(T485&lt;=3,"MODERATE","CRITICAL")))</f>
        <v>MODERATE</v>
      </c>
      <c r="V485" s="20" t="str">
        <f aca="false">IF(U485="CLEAN","None",IF(U485="MINOR","Seller Notify",IF(U485="MODERATE","Listing Suspended","Immediate Removal")))</f>
        <v>Listing Suspended</v>
      </c>
    </row>
    <row r="486" customFormat="false" ht="18" hidden="false" customHeight="true" outlineLevel="0" collapsed="false">
      <c r="A486" s="19" t="s">
        <v>6563</v>
      </c>
      <c r="B486" s="19" t="s">
        <v>3362</v>
      </c>
      <c r="C486" s="19" t="s">
        <v>77</v>
      </c>
      <c r="D486" s="19" t="s">
        <v>78</v>
      </c>
      <c r="E486" s="19" t="s">
        <v>79</v>
      </c>
      <c r="F486" s="19" t="s">
        <v>196</v>
      </c>
      <c r="G486" s="19" t="s">
        <v>3364</v>
      </c>
      <c r="H486" s="19" t="s">
        <v>3365</v>
      </c>
      <c r="I486" s="19" t="s">
        <v>3366</v>
      </c>
      <c r="J486" s="19" t="n">
        <v>424.92</v>
      </c>
      <c r="K486" s="19" t="s">
        <v>1700</v>
      </c>
      <c r="L486" s="19"/>
      <c r="M486" s="20" t="str">
        <f aca="false">IF(G486&lt;&gt;"","PASS","FAIL - Missing UPC")</f>
        <v>PASS</v>
      </c>
      <c r="N486" s="20" t="str">
        <f aca="false">IF(AND(G486&lt;&gt;"",H486&lt;&gt;""),IF("0"&amp;G486=H486,"PASS","FAIL - GTIN Mismatch"),"SKIP")</f>
        <v>PASS</v>
      </c>
      <c r="O486" s="20" t="str">
        <f aca="false">IF(I486="","FAIL - No Title",IF(LEN(I486)&lt;=126,"PASS","FAIL - Title &gt;"&amp;126&amp;" chars"))</f>
        <v>PASS</v>
      </c>
      <c r="P486" s="20" t="str">
        <f aca="false">IF(J486&gt;0,IF(J486&lt;5000,"PASS","FLAG - Review Price"),"FAIL - Zero Price")</f>
        <v>PASS</v>
      </c>
      <c r="Q486" s="20" t="str">
        <f aca="false">IF('Raw Catalog'!P484&lt;&gt;"","PASS","FAIL - No Image")</f>
        <v>PASS</v>
      </c>
      <c r="R486" s="20" t="str">
        <f aca="false">IF(F486&lt;&gt;"","PASS","FAIL - No Brand")</f>
        <v>PASS</v>
      </c>
      <c r="S486" s="20" t="str">
        <f aca="true">IF(K486="","FAIL - No Date",IF(TODAY()-DATEVALUE(K486)&lt;=180,"PASS","FLAG - Stale &gt;180d"))</f>
        <v>FLAG - Stale &gt;180d</v>
      </c>
      <c r="T486" s="20" t="n">
        <f aca="false">COUNTIF(M486:S486,"FAIL*")+COUNTIF(M486:S486,"FLAG*")</f>
        <v>1</v>
      </c>
      <c r="U486" s="20" t="str">
        <f aca="false">IF(T486=0,"CLEAN",IF(T486=1,"MINOR",IF(T486&lt;=3,"MODERATE","CRITICAL")))</f>
        <v>MINOR</v>
      </c>
      <c r="V486" s="20" t="str">
        <f aca="false">IF(U486="CLEAN","None",IF(U486="MINOR","Seller Notify",IF(U486="MODERATE","Listing Suspended","Immediate Removal")))</f>
        <v>Seller Notify</v>
      </c>
    </row>
    <row r="487" customFormat="false" ht="18" hidden="false" customHeight="true" outlineLevel="0" collapsed="false">
      <c r="A487" s="19" t="s">
        <v>6564</v>
      </c>
      <c r="B487" s="19" t="s">
        <v>3368</v>
      </c>
      <c r="C487" s="19" t="s">
        <v>159</v>
      </c>
      <c r="D487" s="19" t="s">
        <v>160</v>
      </c>
      <c r="E487" s="19" t="s">
        <v>65</v>
      </c>
      <c r="F487" s="19" t="s">
        <v>115</v>
      </c>
      <c r="G487" s="19" t="s">
        <v>3370</v>
      </c>
      <c r="H487" s="19" t="s">
        <v>3371</v>
      </c>
      <c r="I487" s="19" t="s">
        <v>496</v>
      </c>
      <c r="J487" s="19" t="n">
        <v>157.16</v>
      </c>
      <c r="K487" s="19" t="s">
        <v>2164</v>
      </c>
      <c r="L487" s="19"/>
      <c r="M487" s="20" t="str">
        <f aca="false">IF(G487&lt;&gt;"","PASS","FAIL - Missing UPC")</f>
        <v>PASS</v>
      </c>
      <c r="N487" s="20" t="str">
        <f aca="false">IF(AND(G487&lt;&gt;"",H487&lt;&gt;""),IF("0"&amp;G487=H487,"PASS","FAIL - GTIN Mismatch"),"SKIP")</f>
        <v>PASS</v>
      </c>
      <c r="O487" s="20" t="str">
        <f aca="false">IF(I487="","FAIL - No Title",IF(LEN(I487)&lt;=126,"PASS","FAIL - Title &gt;"&amp;126&amp;" chars"))</f>
        <v>PASS</v>
      </c>
      <c r="P487" s="20" t="str">
        <f aca="false">IF(J487&gt;0,IF(J487&lt;5000,"PASS","FLAG - Review Price"),"FAIL - Zero Price")</f>
        <v>PASS</v>
      </c>
      <c r="Q487" s="20" t="str">
        <f aca="false">IF('Raw Catalog'!P485&lt;&gt;"","PASS","FAIL - No Image")</f>
        <v>PASS</v>
      </c>
      <c r="R487" s="20" t="str">
        <f aca="false">IF(F487&lt;&gt;"","PASS","FAIL - No Brand")</f>
        <v>PASS</v>
      </c>
      <c r="S487" s="20" t="str">
        <f aca="true">IF(K487="","FAIL - No Date",IF(TODAY()-DATEVALUE(K487)&lt;=180,"PASS","FLAG - Stale &gt;180d"))</f>
        <v>FLAG - Stale &gt;180d</v>
      </c>
      <c r="T487" s="20" t="n">
        <f aca="false">COUNTIF(M487:S487,"FAIL*")+COUNTIF(M487:S487,"FLAG*")</f>
        <v>1</v>
      </c>
      <c r="U487" s="20" t="str">
        <f aca="false">IF(T487=0,"CLEAN",IF(T487=1,"MINOR",IF(T487&lt;=3,"MODERATE","CRITICAL")))</f>
        <v>MINOR</v>
      </c>
      <c r="V487" s="20" t="str">
        <f aca="false">IF(U487="CLEAN","None",IF(U487="MINOR","Seller Notify",IF(U487="MODERATE","Listing Suspended","Immediate Removal")))</f>
        <v>Seller Notify</v>
      </c>
    </row>
    <row r="488" customFormat="false" ht="18" hidden="false" customHeight="true" outlineLevel="0" collapsed="false">
      <c r="A488" s="19" t="s">
        <v>6565</v>
      </c>
      <c r="B488" s="19" t="s">
        <v>3372</v>
      </c>
      <c r="C488" s="19" t="s">
        <v>159</v>
      </c>
      <c r="D488" s="19" t="s">
        <v>160</v>
      </c>
      <c r="E488" s="19" t="s">
        <v>50</v>
      </c>
      <c r="F488" s="19" t="s">
        <v>115</v>
      </c>
      <c r="G488" s="19" t="s">
        <v>3374</v>
      </c>
      <c r="H488" s="19" t="s">
        <v>3375</v>
      </c>
      <c r="I488" s="19" t="s">
        <v>3376</v>
      </c>
      <c r="J488" s="19" t="n">
        <v>1122.82</v>
      </c>
      <c r="K488" s="19" t="s">
        <v>171</v>
      </c>
      <c r="L488" s="19"/>
      <c r="M488" s="20" t="str">
        <f aca="false">IF(G488&lt;&gt;"","PASS","FAIL - Missing UPC")</f>
        <v>PASS</v>
      </c>
      <c r="N488" s="20" t="str">
        <f aca="false">IF(AND(G488&lt;&gt;"",H488&lt;&gt;""),IF("0"&amp;G488=H488,"PASS","FAIL - GTIN Mismatch"),"SKIP")</f>
        <v>PASS</v>
      </c>
      <c r="O488" s="20" t="str">
        <f aca="false">IF(I488="","FAIL - No Title",IF(LEN(I488)&lt;=126,"PASS","FAIL - Title &gt;"&amp;126&amp;" chars"))</f>
        <v>PASS</v>
      </c>
      <c r="P488" s="20" t="str">
        <f aca="false">IF(J488&gt;0,IF(J488&lt;5000,"PASS","FLAG - Review Price"),"FAIL - Zero Price")</f>
        <v>PASS</v>
      </c>
      <c r="Q488" s="20" t="str">
        <f aca="false">IF('Raw Catalog'!P486&lt;&gt;"","PASS","FAIL - No Image")</f>
        <v>PASS</v>
      </c>
      <c r="R488" s="20" t="str">
        <f aca="false">IF(F488&lt;&gt;"","PASS","FAIL - No Brand")</f>
        <v>PASS</v>
      </c>
      <c r="S488" s="20" t="str">
        <f aca="true">IF(K488="","FAIL - No Date",IF(TODAY()-DATEVALUE(K488)&lt;=180,"PASS","FLAG - Stale &gt;180d"))</f>
        <v>FLAG - Stale &gt;180d</v>
      </c>
      <c r="T488" s="20" t="n">
        <f aca="false">COUNTIF(M488:S488,"FAIL*")+COUNTIF(M488:S488,"FLAG*")</f>
        <v>1</v>
      </c>
      <c r="U488" s="20" t="str">
        <f aca="false">IF(T488=0,"CLEAN",IF(T488=1,"MINOR",IF(T488&lt;=3,"MODERATE","CRITICAL")))</f>
        <v>MINOR</v>
      </c>
      <c r="V488" s="20" t="str">
        <f aca="false">IF(U488="CLEAN","None",IF(U488="MINOR","Seller Notify",IF(U488="MODERATE","Listing Suspended","Immediate Removal")))</f>
        <v>Seller Notify</v>
      </c>
    </row>
    <row r="489" customFormat="false" ht="18" hidden="false" customHeight="true" outlineLevel="0" collapsed="false">
      <c r="A489" s="19" t="s">
        <v>6566</v>
      </c>
      <c r="B489" s="19" t="s">
        <v>3378</v>
      </c>
      <c r="C489" s="19" t="s">
        <v>159</v>
      </c>
      <c r="D489" s="19" t="s">
        <v>160</v>
      </c>
      <c r="E489" s="19" t="s">
        <v>161</v>
      </c>
      <c r="F489" s="19" t="s">
        <v>51</v>
      </c>
      <c r="G489" s="19" t="s">
        <v>3380</v>
      </c>
      <c r="H489" s="19" t="s">
        <v>3381</v>
      </c>
      <c r="I489" s="19" t="s">
        <v>3382</v>
      </c>
      <c r="J489" s="19" t="n">
        <v>270.15</v>
      </c>
      <c r="K489" s="19" t="s">
        <v>1026</v>
      </c>
      <c r="L489" s="19"/>
      <c r="M489" s="20" t="str">
        <f aca="false">IF(G489&lt;&gt;"","PASS","FAIL - Missing UPC")</f>
        <v>PASS</v>
      </c>
      <c r="N489" s="20" t="str">
        <f aca="false">IF(AND(G489&lt;&gt;"",H489&lt;&gt;""),IF("0"&amp;G489=H489,"PASS","FAIL - GTIN Mismatch"),"SKIP")</f>
        <v>PASS</v>
      </c>
      <c r="O489" s="20" t="str">
        <f aca="false">IF(I489="","FAIL - No Title",IF(LEN(I489)&lt;=126,"PASS","FAIL - Title &gt;"&amp;126&amp;" chars"))</f>
        <v>PASS</v>
      </c>
      <c r="P489" s="20" t="str">
        <f aca="false">IF(J489&gt;0,IF(J489&lt;5000,"PASS","FLAG - Review Price"),"FAIL - Zero Price")</f>
        <v>PASS</v>
      </c>
      <c r="Q489" s="20" t="str">
        <f aca="false">IF('Raw Catalog'!P487&lt;&gt;"","PASS","FAIL - No Image")</f>
        <v>PASS</v>
      </c>
      <c r="R489" s="20" t="str">
        <f aca="false">IF(F489&lt;&gt;"","PASS","FAIL - No Brand")</f>
        <v>PASS</v>
      </c>
      <c r="S489" s="20" t="str">
        <f aca="true">IF(K489="","FAIL - No Date",IF(TODAY()-DATEVALUE(K489)&lt;=180,"PASS","FLAG - Stale &gt;180d"))</f>
        <v>FLAG - Stale &gt;180d</v>
      </c>
      <c r="T489" s="20" t="n">
        <f aca="false">COUNTIF(M489:S489,"FAIL*")+COUNTIF(M489:S489,"FLAG*")</f>
        <v>1</v>
      </c>
      <c r="U489" s="20" t="str">
        <f aca="false">IF(T489=0,"CLEAN",IF(T489=1,"MINOR",IF(T489&lt;=3,"MODERATE","CRITICAL")))</f>
        <v>MINOR</v>
      </c>
      <c r="V489" s="20" t="str">
        <f aca="false">IF(U489="CLEAN","None",IF(U489="MINOR","Seller Notify",IF(U489="MODERATE","Listing Suspended","Immediate Removal")))</f>
        <v>Seller Notify</v>
      </c>
    </row>
    <row r="490" customFormat="false" ht="18" hidden="false" customHeight="true" outlineLevel="0" collapsed="false">
      <c r="A490" s="19" t="s">
        <v>6567</v>
      </c>
      <c r="B490" s="19" t="s">
        <v>3383</v>
      </c>
      <c r="C490" s="19" t="s">
        <v>77</v>
      </c>
      <c r="D490" s="19" t="s">
        <v>78</v>
      </c>
      <c r="E490" s="19" t="s">
        <v>79</v>
      </c>
      <c r="F490" s="19" t="s">
        <v>1531</v>
      </c>
      <c r="G490" s="19" t="s">
        <v>3385</v>
      </c>
      <c r="H490" s="19" t="s">
        <v>3386</v>
      </c>
      <c r="I490" s="19" t="s">
        <v>3387</v>
      </c>
      <c r="J490" s="19" t="n">
        <v>635.06</v>
      </c>
      <c r="K490" s="19" t="s">
        <v>855</v>
      </c>
      <c r="L490" s="19"/>
      <c r="M490" s="20" t="str">
        <f aca="false">IF(G490&lt;&gt;"","PASS","FAIL - Missing UPC")</f>
        <v>PASS</v>
      </c>
      <c r="N490" s="20" t="str">
        <f aca="false">IF(AND(G490&lt;&gt;"",H490&lt;&gt;""),IF("0"&amp;G490=H490,"PASS","FAIL - GTIN Mismatch"),"SKIP")</f>
        <v>PASS</v>
      </c>
      <c r="O490" s="20" t="str">
        <f aca="false">IF(I490="","FAIL - No Title",IF(LEN(I490)&lt;=126,"PASS","FAIL - Title &gt;"&amp;126&amp;" chars"))</f>
        <v>PASS</v>
      </c>
      <c r="P490" s="20" t="str">
        <f aca="false">IF(J490&gt;0,IF(J490&lt;5000,"PASS","FLAG - Review Price"),"FAIL - Zero Price")</f>
        <v>PASS</v>
      </c>
      <c r="Q490" s="20" t="str">
        <f aca="false">IF('Raw Catalog'!P488&lt;&gt;"","PASS","FAIL - No Image")</f>
        <v>PASS</v>
      </c>
      <c r="R490" s="20" t="str">
        <f aca="false">IF(F490&lt;&gt;"","PASS","FAIL - No Brand")</f>
        <v>PASS</v>
      </c>
      <c r="S490" s="20" t="str">
        <f aca="true">IF(K490="","FAIL - No Date",IF(TODAY()-DATEVALUE(K490)&lt;=180,"PASS","FLAG - Stale &gt;180d"))</f>
        <v>FLAG - Stale &gt;180d</v>
      </c>
      <c r="T490" s="20" t="n">
        <f aca="false">COUNTIF(M490:S490,"FAIL*")+COUNTIF(M490:S490,"FLAG*")</f>
        <v>1</v>
      </c>
      <c r="U490" s="20" t="str">
        <f aca="false">IF(T490=0,"CLEAN",IF(T490=1,"MINOR",IF(T490&lt;=3,"MODERATE","CRITICAL")))</f>
        <v>MINOR</v>
      </c>
      <c r="V490" s="20" t="str">
        <f aca="false">IF(U490="CLEAN","None",IF(U490="MINOR","Seller Notify",IF(U490="MODERATE","Listing Suspended","Immediate Removal")))</f>
        <v>Seller Notify</v>
      </c>
    </row>
    <row r="491" customFormat="false" ht="18" hidden="false" customHeight="true" outlineLevel="0" collapsed="false">
      <c r="A491" s="19" t="s">
        <v>6568</v>
      </c>
      <c r="B491" s="19" t="s">
        <v>3391</v>
      </c>
      <c r="C491" s="19" t="s">
        <v>255</v>
      </c>
      <c r="D491" s="19" t="s">
        <v>256</v>
      </c>
      <c r="E491" s="19" t="s">
        <v>161</v>
      </c>
      <c r="F491" s="19" t="s">
        <v>51</v>
      </c>
      <c r="G491" s="19" t="s">
        <v>3393</v>
      </c>
      <c r="H491" s="19" t="s">
        <v>3394</v>
      </c>
      <c r="I491" s="19" t="s">
        <v>2737</v>
      </c>
      <c r="J491" s="19" t="n">
        <v>246.3</v>
      </c>
      <c r="K491" s="19" t="s">
        <v>3395</v>
      </c>
      <c r="L491" s="19"/>
      <c r="M491" s="20" t="str">
        <f aca="false">IF(G491&lt;&gt;"","PASS","FAIL - Missing UPC")</f>
        <v>PASS</v>
      </c>
      <c r="N491" s="20" t="str">
        <f aca="false">IF(AND(G491&lt;&gt;"",H491&lt;&gt;""),IF("0"&amp;G491=H491,"PASS","FAIL - GTIN Mismatch"),"SKIP")</f>
        <v>PASS</v>
      </c>
      <c r="O491" s="20" t="str">
        <f aca="false">IF(I491="","FAIL - No Title",IF(LEN(I491)&lt;=126,"PASS","FAIL - Title &gt;"&amp;126&amp;" chars"))</f>
        <v>PASS</v>
      </c>
      <c r="P491" s="20" t="str">
        <f aca="false">IF(J491&gt;0,IF(J491&lt;5000,"PASS","FLAG - Review Price"),"FAIL - Zero Price")</f>
        <v>PASS</v>
      </c>
      <c r="Q491" s="20" t="str">
        <f aca="false">IF('Raw Catalog'!P489&lt;&gt;"","PASS","FAIL - No Image")</f>
        <v>PASS</v>
      </c>
      <c r="R491" s="20" t="str">
        <f aca="false">IF(F491&lt;&gt;"","PASS","FAIL - No Brand")</f>
        <v>PASS</v>
      </c>
      <c r="S491" s="20" t="str">
        <f aca="true">IF(K491="","FAIL - No Date",IF(TODAY()-DATEVALUE(K491)&lt;=180,"PASS","FLAG - Stale &gt;180d"))</f>
        <v>FLAG - Stale &gt;180d</v>
      </c>
      <c r="T491" s="20" t="n">
        <f aca="false">COUNTIF(M491:S491,"FAIL*")+COUNTIF(M491:S491,"FLAG*")</f>
        <v>1</v>
      </c>
      <c r="U491" s="20" t="str">
        <f aca="false">IF(T491=0,"CLEAN",IF(T491=1,"MINOR",IF(T491&lt;=3,"MODERATE","CRITICAL")))</f>
        <v>MINOR</v>
      </c>
      <c r="V491" s="20" t="str">
        <f aca="false">IF(U491="CLEAN","None",IF(U491="MINOR","Seller Notify",IF(U491="MODERATE","Listing Suspended","Immediate Removal")))</f>
        <v>Seller Notify</v>
      </c>
    </row>
    <row r="492" customFormat="false" ht="18" hidden="false" customHeight="true" outlineLevel="0" collapsed="false">
      <c r="A492" s="19" t="s">
        <v>6569</v>
      </c>
      <c r="B492" s="19" t="s">
        <v>3396</v>
      </c>
      <c r="C492" s="19" t="s">
        <v>63</v>
      </c>
      <c r="D492" s="19" t="s">
        <v>64</v>
      </c>
      <c r="E492" s="19" t="s">
        <v>91</v>
      </c>
      <c r="F492" s="19" t="s">
        <v>185</v>
      </c>
      <c r="G492" s="19" t="s">
        <v>3398</v>
      </c>
      <c r="H492" s="19" t="s">
        <v>3399</v>
      </c>
      <c r="I492" s="19" t="s">
        <v>3324</v>
      </c>
      <c r="J492" s="19" t="n">
        <v>3559.21</v>
      </c>
      <c r="K492" s="19" t="s">
        <v>3400</v>
      </c>
      <c r="L492" s="19"/>
      <c r="M492" s="20" t="str">
        <f aca="false">IF(G492&lt;&gt;"","PASS","FAIL - Missing UPC")</f>
        <v>PASS</v>
      </c>
      <c r="N492" s="20" t="str">
        <f aca="false">IF(AND(G492&lt;&gt;"",H492&lt;&gt;""),IF("0"&amp;G492=H492,"PASS","FAIL - GTIN Mismatch"),"SKIP")</f>
        <v>PASS</v>
      </c>
      <c r="O492" s="20" t="str">
        <f aca="false">IF(I492="","FAIL - No Title",IF(LEN(I492)&lt;=126,"PASS","FAIL - Title &gt;"&amp;126&amp;" chars"))</f>
        <v>PASS</v>
      </c>
      <c r="P492" s="20" t="str">
        <f aca="false">IF(J492&gt;0,IF(J492&lt;5000,"PASS","FLAG - Review Price"),"FAIL - Zero Price")</f>
        <v>PASS</v>
      </c>
      <c r="Q492" s="20" t="str">
        <f aca="false">IF('Raw Catalog'!P490&lt;&gt;"","PASS","FAIL - No Image")</f>
        <v>PASS</v>
      </c>
      <c r="R492" s="20" t="str">
        <f aca="false">IF(F492&lt;&gt;"","PASS","FAIL - No Brand")</f>
        <v>PASS</v>
      </c>
      <c r="S492" s="20" t="str">
        <f aca="true">IF(K492="","FAIL - No Date",IF(TODAY()-DATEVALUE(K492)&lt;=180,"PASS","FLAG - Stale &gt;180d"))</f>
        <v>FLAG - Stale &gt;180d</v>
      </c>
      <c r="T492" s="20" t="n">
        <f aca="false">COUNTIF(M492:S492,"FAIL*")+COUNTIF(M492:S492,"FLAG*")</f>
        <v>1</v>
      </c>
      <c r="U492" s="20" t="str">
        <f aca="false">IF(T492=0,"CLEAN",IF(T492=1,"MINOR",IF(T492&lt;=3,"MODERATE","CRITICAL")))</f>
        <v>MINOR</v>
      </c>
      <c r="V492" s="20" t="str">
        <f aca="false">IF(U492="CLEAN","None",IF(U492="MINOR","Seller Notify",IF(U492="MODERATE","Listing Suspended","Immediate Removal")))</f>
        <v>Seller Notify</v>
      </c>
    </row>
    <row r="493" customFormat="false" ht="18" hidden="false" customHeight="true" outlineLevel="0" collapsed="false">
      <c r="A493" s="19" t="s">
        <v>6570</v>
      </c>
      <c r="B493" s="19" t="s">
        <v>3401</v>
      </c>
      <c r="C493" s="19" t="s">
        <v>63</v>
      </c>
      <c r="D493" s="19" t="s">
        <v>64</v>
      </c>
      <c r="E493" s="19" t="s">
        <v>50</v>
      </c>
      <c r="F493" s="19" t="s">
        <v>127</v>
      </c>
      <c r="G493" s="19" t="s">
        <v>3403</v>
      </c>
      <c r="H493" s="19" t="s">
        <v>3404</v>
      </c>
      <c r="I493" s="19"/>
      <c r="J493" s="19" t="n">
        <v>1249.66</v>
      </c>
      <c r="K493" s="19" t="s">
        <v>3405</v>
      </c>
      <c r="L493" s="21" t="s">
        <v>243</v>
      </c>
      <c r="M493" s="20" t="str">
        <f aca="false">IF(G493&lt;&gt;"","PASS","FAIL - Missing UPC")</f>
        <v>PASS</v>
      </c>
      <c r="N493" s="20" t="str">
        <f aca="false">IF(AND(G493&lt;&gt;"",H493&lt;&gt;""),IF("0"&amp;G493=H493,"PASS","FAIL - GTIN Mismatch"),"SKIP")</f>
        <v>FAIL - GTIN Mismatch</v>
      </c>
      <c r="O493" s="20" t="str">
        <f aca="false">IF(I493="","FAIL - No Title",IF(LEN(I493)&lt;=126,"PASS","FAIL - Title &gt;"&amp;126&amp;" chars"))</f>
        <v>FAIL - No Title</v>
      </c>
      <c r="P493" s="20" t="str">
        <f aca="false">IF(J493&gt;0,IF(J493&lt;5000,"PASS","FLAG - Review Price"),"FAIL - Zero Price")</f>
        <v>PASS</v>
      </c>
      <c r="Q493" s="20" t="str">
        <f aca="false">IF('Raw Catalog'!P491&lt;&gt;"","PASS","FAIL - No Image")</f>
        <v>PASS</v>
      </c>
      <c r="R493" s="20" t="str">
        <f aca="false">IF(F493&lt;&gt;"","PASS","FAIL - No Brand")</f>
        <v>PASS</v>
      </c>
      <c r="S493" s="20" t="str">
        <f aca="true">IF(K493="","FAIL - No Date",IF(TODAY()-DATEVALUE(K493)&lt;=180,"PASS","FLAG - Stale &gt;180d"))</f>
        <v>FLAG - Stale &gt;180d</v>
      </c>
      <c r="T493" s="20" t="n">
        <f aca="false">COUNTIF(M493:S493,"FAIL*")+COUNTIF(M493:S493,"FLAG*")</f>
        <v>3</v>
      </c>
      <c r="U493" s="20" t="str">
        <f aca="false">IF(T493=0,"CLEAN",IF(T493=1,"MINOR",IF(T493&lt;=3,"MODERATE","CRITICAL")))</f>
        <v>MODERATE</v>
      </c>
      <c r="V493" s="20" t="str">
        <f aca="false">IF(U493="CLEAN","None",IF(U493="MINOR","Seller Notify",IF(U493="MODERATE","Listing Suspended","Immediate Removal")))</f>
        <v>Listing Suspended</v>
      </c>
    </row>
    <row r="494" customFormat="false" ht="18" hidden="false" customHeight="true" outlineLevel="0" collapsed="false">
      <c r="A494" s="19" t="s">
        <v>6571</v>
      </c>
      <c r="B494" s="19" t="s">
        <v>3406</v>
      </c>
      <c r="C494" s="19" t="s">
        <v>48</v>
      </c>
      <c r="D494" s="19" t="s">
        <v>49</v>
      </c>
      <c r="E494" s="19" t="s">
        <v>65</v>
      </c>
      <c r="F494" s="19" t="s">
        <v>245</v>
      </c>
      <c r="G494" s="19" t="s">
        <v>3408</v>
      </c>
      <c r="H494" s="19" t="s">
        <v>3409</v>
      </c>
      <c r="I494" s="19" t="s">
        <v>3410</v>
      </c>
      <c r="J494" s="19" t="n">
        <v>454.05</v>
      </c>
      <c r="K494" s="19" t="s">
        <v>2151</v>
      </c>
      <c r="L494" s="19"/>
      <c r="M494" s="20" t="str">
        <f aca="false">IF(G494&lt;&gt;"","PASS","FAIL - Missing UPC")</f>
        <v>PASS</v>
      </c>
      <c r="N494" s="20" t="str">
        <f aca="false">IF(AND(G494&lt;&gt;"",H494&lt;&gt;""),IF("0"&amp;G494=H494,"PASS","FAIL - GTIN Mismatch"),"SKIP")</f>
        <v>PASS</v>
      </c>
      <c r="O494" s="20" t="str">
        <f aca="false">IF(I494="","FAIL - No Title",IF(LEN(I494)&lt;=126,"PASS","FAIL - Title &gt;"&amp;126&amp;" chars"))</f>
        <v>PASS</v>
      </c>
      <c r="P494" s="20" t="str">
        <f aca="false">IF(J494&gt;0,IF(J494&lt;5000,"PASS","FLAG - Review Price"),"FAIL - Zero Price")</f>
        <v>PASS</v>
      </c>
      <c r="Q494" s="20" t="str">
        <f aca="false">IF('Raw Catalog'!P492&lt;&gt;"","PASS","FAIL - No Image")</f>
        <v>PASS</v>
      </c>
      <c r="R494" s="20" t="str">
        <f aca="false">IF(F494&lt;&gt;"","PASS","FAIL - No Brand")</f>
        <v>PASS</v>
      </c>
      <c r="S494" s="20" t="str">
        <f aca="true">IF(K494="","FAIL - No Date",IF(TODAY()-DATEVALUE(K494)&lt;=180,"PASS","FLAG - Stale &gt;180d"))</f>
        <v>FLAG - Stale &gt;180d</v>
      </c>
      <c r="T494" s="20" t="n">
        <f aca="false">COUNTIF(M494:S494,"FAIL*")+COUNTIF(M494:S494,"FLAG*")</f>
        <v>1</v>
      </c>
      <c r="U494" s="20" t="str">
        <f aca="false">IF(T494=0,"CLEAN",IF(T494=1,"MINOR",IF(T494&lt;=3,"MODERATE","CRITICAL")))</f>
        <v>MINOR</v>
      </c>
      <c r="V494" s="20" t="str">
        <f aca="false">IF(U494="CLEAN","None",IF(U494="MINOR","Seller Notify",IF(U494="MODERATE","Listing Suspended","Immediate Removal")))</f>
        <v>Seller Notify</v>
      </c>
    </row>
    <row r="495" customFormat="false" ht="18" hidden="false" customHeight="true" outlineLevel="0" collapsed="false">
      <c r="A495" s="19" t="s">
        <v>6572</v>
      </c>
      <c r="B495" s="19" t="s">
        <v>3413</v>
      </c>
      <c r="C495" s="19" t="s">
        <v>48</v>
      </c>
      <c r="D495" s="19" t="s">
        <v>49</v>
      </c>
      <c r="E495" s="19" t="s">
        <v>65</v>
      </c>
      <c r="F495" s="19" t="s">
        <v>66</v>
      </c>
      <c r="G495" s="19" t="s">
        <v>3415</v>
      </c>
      <c r="H495" s="19" t="s">
        <v>3416</v>
      </c>
      <c r="I495" s="19" t="s">
        <v>1145</v>
      </c>
      <c r="J495" s="19" t="n">
        <v>442.26</v>
      </c>
      <c r="K495" s="19" t="s">
        <v>3417</v>
      </c>
      <c r="L495" s="19"/>
      <c r="M495" s="20" t="str">
        <f aca="false">IF(G495&lt;&gt;"","PASS","FAIL - Missing UPC")</f>
        <v>PASS</v>
      </c>
      <c r="N495" s="20" t="str">
        <f aca="false">IF(AND(G495&lt;&gt;"",H495&lt;&gt;""),IF("0"&amp;G495=H495,"PASS","FAIL - GTIN Mismatch"),"SKIP")</f>
        <v>PASS</v>
      </c>
      <c r="O495" s="20" t="str">
        <f aca="false">IF(I495="","FAIL - No Title",IF(LEN(I495)&lt;=126,"PASS","FAIL - Title &gt;"&amp;126&amp;" chars"))</f>
        <v>PASS</v>
      </c>
      <c r="P495" s="20" t="str">
        <f aca="false">IF(J495&gt;0,IF(J495&lt;5000,"PASS","FLAG - Review Price"),"FAIL - Zero Price")</f>
        <v>PASS</v>
      </c>
      <c r="Q495" s="20" t="str">
        <f aca="false">IF('Raw Catalog'!P493&lt;&gt;"","PASS","FAIL - No Image")</f>
        <v>PASS</v>
      </c>
      <c r="R495" s="20" t="str">
        <f aca="false">IF(F495&lt;&gt;"","PASS","FAIL - No Brand")</f>
        <v>PASS</v>
      </c>
      <c r="S495" s="20" t="str">
        <f aca="true">IF(K495="","FAIL - No Date",IF(TODAY()-DATEVALUE(K495)&lt;=180,"PASS","FLAG - Stale &gt;180d"))</f>
        <v>FLAG - Stale &gt;180d</v>
      </c>
      <c r="T495" s="20" t="n">
        <f aca="false">COUNTIF(M495:S495,"FAIL*")+COUNTIF(M495:S495,"FLAG*")</f>
        <v>1</v>
      </c>
      <c r="U495" s="20" t="str">
        <f aca="false">IF(T495=0,"CLEAN",IF(T495=1,"MINOR",IF(T495&lt;=3,"MODERATE","CRITICAL")))</f>
        <v>MINOR</v>
      </c>
      <c r="V495" s="20" t="str">
        <f aca="false">IF(U495="CLEAN","None",IF(U495="MINOR","Seller Notify",IF(U495="MODERATE","Listing Suspended","Immediate Removal")))</f>
        <v>Seller Notify</v>
      </c>
    </row>
    <row r="496" customFormat="false" ht="18" hidden="false" customHeight="true" outlineLevel="0" collapsed="false">
      <c r="A496" s="19" t="s">
        <v>6573</v>
      </c>
      <c r="B496" s="19" t="s">
        <v>3418</v>
      </c>
      <c r="C496" s="19" t="s">
        <v>255</v>
      </c>
      <c r="D496" s="19" t="s">
        <v>256</v>
      </c>
      <c r="E496" s="19" t="s">
        <v>91</v>
      </c>
      <c r="F496" s="19" t="s">
        <v>419</v>
      </c>
      <c r="G496" s="19" t="s">
        <v>3420</v>
      </c>
      <c r="H496" s="19" t="s">
        <v>3421</v>
      </c>
      <c r="I496" s="19" t="s">
        <v>3422</v>
      </c>
      <c r="J496" s="19" t="n">
        <v>1375.47</v>
      </c>
      <c r="K496" s="19" t="s">
        <v>1459</v>
      </c>
      <c r="L496" s="21" t="s">
        <v>778</v>
      </c>
      <c r="M496" s="20" t="str">
        <f aca="false">IF(G496&lt;&gt;"","PASS","FAIL - Missing UPC")</f>
        <v>PASS</v>
      </c>
      <c r="N496" s="20" t="str">
        <f aca="false">IF(AND(G496&lt;&gt;"",H496&lt;&gt;""),IF("0"&amp;G496=H496,"PASS","FAIL - GTIN Mismatch"),"SKIP")</f>
        <v>FAIL - GTIN Mismatch</v>
      </c>
      <c r="O496" s="20" t="str">
        <f aca="false">IF(I496="","FAIL - No Title",IF(LEN(I496)&lt;=126,"PASS","FAIL - Title &gt;"&amp;126&amp;" chars"))</f>
        <v>FAIL - Title &gt;126 chars</v>
      </c>
      <c r="P496" s="20" t="str">
        <f aca="false">IF(J496&gt;0,IF(J496&lt;5000,"PASS","FLAG - Review Price"),"FAIL - Zero Price")</f>
        <v>PASS</v>
      </c>
      <c r="Q496" s="20" t="str">
        <f aca="false">IF('Raw Catalog'!P494&lt;&gt;"","PASS","FAIL - No Image")</f>
        <v>PASS</v>
      </c>
      <c r="R496" s="20" t="str">
        <f aca="false">IF(F496&lt;&gt;"","PASS","FAIL - No Brand")</f>
        <v>PASS</v>
      </c>
      <c r="S496" s="20" t="str">
        <f aca="true">IF(K496="","FAIL - No Date",IF(TODAY()-DATEVALUE(K496)&lt;=180,"PASS","FLAG - Stale &gt;180d"))</f>
        <v>FLAG - Stale &gt;180d</v>
      </c>
      <c r="T496" s="20" t="n">
        <f aca="false">COUNTIF(M496:S496,"FAIL*")+COUNTIF(M496:S496,"FLAG*")</f>
        <v>3</v>
      </c>
      <c r="U496" s="20" t="str">
        <f aca="false">IF(T496=0,"CLEAN",IF(T496=1,"MINOR",IF(T496&lt;=3,"MODERATE","CRITICAL")))</f>
        <v>MODERATE</v>
      </c>
      <c r="V496" s="20" t="str">
        <f aca="false">IF(U496="CLEAN","None",IF(U496="MINOR","Seller Notify",IF(U496="MODERATE","Listing Suspended","Immediate Removal")))</f>
        <v>Listing Suspended</v>
      </c>
    </row>
    <row r="497" customFormat="false" ht="18" hidden="false" customHeight="true" outlineLevel="0" collapsed="false">
      <c r="A497" s="19" t="s">
        <v>6574</v>
      </c>
      <c r="B497" s="19" t="s">
        <v>3423</v>
      </c>
      <c r="C497" s="19" t="s">
        <v>125</v>
      </c>
      <c r="D497" s="19" t="s">
        <v>126</v>
      </c>
      <c r="E497" s="19" t="s">
        <v>65</v>
      </c>
      <c r="F497" s="19" t="s">
        <v>227</v>
      </c>
      <c r="G497" s="19" t="s">
        <v>3425</v>
      </c>
      <c r="H497" s="19" t="s">
        <v>3426</v>
      </c>
      <c r="I497" s="19" t="s">
        <v>278</v>
      </c>
      <c r="J497" s="19" t="n">
        <v>189.83</v>
      </c>
      <c r="K497" s="19" t="s">
        <v>171</v>
      </c>
      <c r="L497" s="21" t="s">
        <v>243</v>
      </c>
      <c r="M497" s="20" t="str">
        <f aca="false">IF(G497&lt;&gt;"","PASS","FAIL - Missing UPC")</f>
        <v>PASS</v>
      </c>
      <c r="N497" s="20" t="str">
        <f aca="false">IF(AND(G497&lt;&gt;"",H497&lt;&gt;""),IF("0"&amp;G497=H497,"PASS","FAIL - GTIN Mismatch"),"SKIP")</f>
        <v>FAIL - GTIN Mismatch</v>
      </c>
      <c r="O497" s="20" t="str">
        <f aca="false">IF(I497="","FAIL - No Title",IF(LEN(I497)&lt;=126,"PASS","FAIL - Title &gt;"&amp;126&amp;" chars"))</f>
        <v>PASS</v>
      </c>
      <c r="P497" s="20" t="str">
        <f aca="false">IF(J497&gt;0,IF(J497&lt;5000,"PASS","FLAG - Review Price"),"FAIL - Zero Price")</f>
        <v>PASS</v>
      </c>
      <c r="Q497" s="20" t="str">
        <f aca="false">IF('Raw Catalog'!P495&lt;&gt;"","PASS","FAIL - No Image")</f>
        <v>PASS</v>
      </c>
      <c r="R497" s="20" t="str">
        <f aca="false">IF(F497&lt;&gt;"","PASS","FAIL - No Brand")</f>
        <v>PASS</v>
      </c>
      <c r="S497" s="20" t="str">
        <f aca="true">IF(K497="","FAIL - No Date",IF(TODAY()-DATEVALUE(K497)&lt;=180,"PASS","FLAG - Stale &gt;180d"))</f>
        <v>FLAG - Stale &gt;180d</v>
      </c>
      <c r="T497" s="20" t="n">
        <f aca="false">COUNTIF(M497:S497,"FAIL*")+COUNTIF(M497:S497,"FLAG*")</f>
        <v>2</v>
      </c>
      <c r="U497" s="20" t="str">
        <f aca="false">IF(T497=0,"CLEAN",IF(T497=1,"MINOR",IF(T497&lt;=3,"MODERATE","CRITICAL")))</f>
        <v>MODERATE</v>
      </c>
      <c r="V497" s="20" t="str">
        <f aca="false">IF(U497="CLEAN","None",IF(U497="MINOR","Seller Notify",IF(U497="MODERATE","Listing Suspended","Immediate Removal")))</f>
        <v>Listing Suspended</v>
      </c>
    </row>
    <row r="498" customFormat="false" ht="18" hidden="false" customHeight="true" outlineLevel="0" collapsed="false">
      <c r="A498" s="19" t="s">
        <v>6575</v>
      </c>
      <c r="B498" s="19" t="s">
        <v>3427</v>
      </c>
      <c r="C498" s="19" t="s">
        <v>159</v>
      </c>
      <c r="D498" s="19" t="s">
        <v>160</v>
      </c>
      <c r="E498" s="19" t="s">
        <v>161</v>
      </c>
      <c r="F498" s="19" t="s">
        <v>295</v>
      </c>
      <c r="G498" s="19" t="s">
        <v>3429</v>
      </c>
      <c r="H498" s="19" t="s">
        <v>3430</v>
      </c>
      <c r="I498" s="19" t="s">
        <v>3431</v>
      </c>
      <c r="J498" s="19" t="n">
        <v>388.16</v>
      </c>
      <c r="K498" s="19" t="s">
        <v>2127</v>
      </c>
      <c r="L498" s="19"/>
      <c r="M498" s="20" t="str">
        <f aca="false">IF(G498&lt;&gt;"","PASS","FAIL - Missing UPC")</f>
        <v>PASS</v>
      </c>
      <c r="N498" s="20" t="str">
        <f aca="false">IF(AND(G498&lt;&gt;"",H498&lt;&gt;""),IF("0"&amp;G498=H498,"PASS","FAIL - GTIN Mismatch"),"SKIP")</f>
        <v>PASS</v>
      </c>
      <c r="O498" s="20" t="str">
        <f aca="false">IF(I498="","FAIL - No Title",IF(LEN(I498)&lt;=126,"PASS","FAIL - Title &gt;"&amp;126&amp;" chars"))</f>
        <v>PASS</v>
      </c>
      <c r="P498" s="20" t="str">
        <f aca="false">IF(J498&gt;0,IF(J498&lt;5000,"PASS","FLAG - Review Price"),"FAIL - Zero Price")</f>
        <v>PASS</v>
      </c>
      <c r="Q498" s="20" t="str">
        <f aca="false">IF('Raw Catalog'!P496&lt;&gt;"","PASS","FAIL - No Image")</f>
        <v>PASS</v>
      </c>
      <c r="R498" s="20" t="str">
        <f aca="false">IF(F498&lt;&gt;"","PASS","FAIL - No Brand")</f>
        <v>PASS</v>
      </c>
      <c r="S498" s="20" t="str">
        <f aca="true">IF(K498="","FAIL - No Date",IF(TODAY()-DATEVALUE(K498)&lt;=180,"PASS","FLAG - Stale &gt;180d"))</f>
        <v>FLAG - Stale &gt;180d</v>
      </c>
      <c r="T498" s="20" t="n">
        <f aca="false">COUNTIF(M498:S498,"FAIL*")+COUNTIF(M498:S498,"FLAG*")</f>
        <v>1</v>
      </c>
      <c r="U498" s="20" t="str">
        <f aca="false">IF(T498=0,"CLEAN",IF(T498=1,"MINOR",IF(T498&lt;=3,"MODERATE","CRITICAL")))</f>
        <v>MINOR</v>
      </c>
      <c r="V498" s="20" t="str">
        <f aca="false">IF(U498="CLEAN","None",IF(U498="MINOR","Seller Notify",IF(U498="MODERATE","Listing Suspended","Immediate Removal")))</f>
        <v>Seller Notify</v>
      </c>
    </row>
    <row r="499" customFormat="false" ht="18" hidden="false" customHeight="true" outlineLevel="0" collapsed="false">
      <c r="A499" s="19" t="s">
        <v>6576</v>
      </c>
      <c r="B499" s="19" t="s">
        <v>3432</v>
      </c>
      <c r="C499" s="19" t="s">
        <v>173</v>
      </c>
      <c r="D499" s="19" t="s">
        <v>174</v>
      </c>
      <c r="E499" s="19" t="s">
        <v>79</v>
      </c>
      <c r="F499" s="19" t="s">
        <v>196</v>
      </c>
      <c r="G499" s="19" t="s">
        <v>3434</v>
      </c>
      <c r="H499" s="19" t="s">
        <v>3435</v>
      </c>
      <c r="I499" s="19" t="s">
        <v>3436</v>
      </c>
      <c r="J499" s="19" t="n">
        <v>1043.27</v>
      </c>
      <c r="K499" s="19" t="s">
        <v>2025</v>
      </c>
      <c r="L499" s="19"/>
      <c r="M499" s="20" t="str">
        <f aca="false">IF(G499&lt;&gt;"","PASS","FAIL - Missing UPC")</f>
        <v>PASS</v>
      </c>
      <c r="N499" s="20" t="str">
        <f aca="false">IF(AND(G499&lt;&gt;"",H499&lt;&gt;""),IF("0"&amp;G499=H499,"PASS","FAIL - GTIN Mismatch"),"SKIP")</f>
        <v>PASS</v>
      </c>
      <c r="O499" s="20" t="str">
        <f aca="false">IF(I499="","FAIL - No Title",IF(LEN(I499)&lt;=126,"PASS","FAIL - Title &gt;"&amp;126&amp;" chars"))</f>
        <v>PASS</v>
      </c>
      <c r="P499" s="20" t="str">
        <f aca="false">IF(J499&gt;0,IF(J499&lt;5000,"PASS","FLAG - Review Price"),"FAIL - Zero Price")</f>
        <v>PASS</v>
      </c>
      <c r="Q499" s="20" t="str">
        <f aca="false">IF('Raw Catalog'!P497&lt;&gt;"","PASS","FAIL - No Image")</f>
        <v>PASS</v>
      </c>
      <c r="R499" s="20" t="str">
        <f aca="false">IF(F499&lt;&gt;"","PASS","FAIL - No Brand")</f>
        <v>PASS</v>
      </c>
      <c r="S499" s="20" t="str">
        <f aca="true">IF(K499="","FAIL - No Date",IF(TODAY()-DATEVALUE(K499)&lt;=180,"PASS","FLAG - Stale &gt;180d"))</f>
        <v>FLAG - Stale &gt;180d</v>
      </c>
      <c r="T499" s="20" t="n">
        <f aca="false">COUNTIF(M499:S499,"FAIL*")+COUNTIF(M499:S499,"FLAG*")</f>
        <v>1</v>
      </c>
      <c r="U499" s="20" t="str">
        <f aca="false">IF(T499=0,"CLEAN",IF(T499=1,"MINOR",IF(T499&lt;=3,"MODERATE","CRITICAL")))</f>
        <v>MINOR</v>
      </c>
      <c r="V499" s="20" t="str">
        <f aca="false">IF(U499="CLEAN","None",IF(U499="MINOR","Seller Notify",IF(U499="MODERATE","Listing Suspended","Immediate Removal")))</f>
        <v>Seller Notify</v>
      </c>
    </row>
    <row r="500" customFormat="false" ht="18" hidden="false" customHeight="true" outlineLevel="0" collapsed="false">
      <c r="A500" s="19" t="s">
        <v>6577</v>
      </c>
      <c r="B500" s="19" t="s">
        <v>3438</v>
      </c>
      <c r="C500" s="19" t="s">
        <v>173</v>
      </c>
      <c r="D500" s="19" t="s">
        <v>174</v>
      </c>
      <c r="E500" s="19" t="s">
        <v>50</v>
      </c>
      <c r="F500" s="19" t="s">
        <v>127</v>
      </c>
      <c r="G500" s="19" t="s">
        <v>3440</v>
      </c>
      <c r="H500" s="19" t="s">
        <v>3441</v>
      </c>
      <c r="I500" s="19" t="s">
        <v>3442</v>
      </c>
      <c r="J500" s="19" t="n">
        <v>844.71</v>
      </c>
      <c r="K500" s="19" t="s">
        <v>215</v>
      </c>
      <c r="L500" s="19"/>
      <c r="M500" s="20" t="str">
        <f aca="false">IF(G500&lt;&gt;"","PASS","FAIL - Missing UPC")</f>
        <v>PASS</v>
      </c>
      <c r="N500" s="20" t="str">
        <f aca="false">IF(AND(G500&lt;&gt;"",H500&lt;&gt;""),IF("0"&amp;G500=H500,"PASS","FAIL - GTIN Mismatch"),"SKIP")</f>
        <v>PASS</v>
      </c>
      <c r="O500" s="20" t="str">
        <f aca="false">IF(I500="","FAIL - No Title",IF(LEN(I500)&lt;=126,"PASS","FAIL - Title &gt;"&amp;126&amp;" chars"))</f>
        <v>PASS</v>
      </c>
      <c r="P500" s="20" t="str">
        <f aca="false">IF(J500&gt;0,IF(J500&lt;5000,"PASS","FLAG - Review Price"),"FAIL - Zero Price")</f>
        <v>PASS</v>
      </c>
      <c r="Q500" s="20" t="str">
        <f aca="false">IF('Raw Catalog'!P498&lt;&gt;"","PASS","FAIL - No Image")</f>
        <v>PASS</v>
      </c>
      <c r="R500" s="20" t="str">
        <f aca="false">IF(F500&lt;&gt;"","PASS","FAIL - No Brand")</f>
        <v>PASS</v>
      </c>
      <c r="S500" s="20" t="str">
        <f aca="true">IF(K500="","FAIL - No Date",IF(TODAY()-DATEVALUE(K500)&lt;=180,"PASS","FLAG - Stale &gt;180d"))</f>
        <v>FLAG - Stale &gt;180d</v>
      </c>
      <c r="T500" s="20" t="n">
        <f aca="false">COUNTIF(M500:S500,"FAIL*")+COUNTIF(M500:S500,"FLAG*")</f>
        <v>1</v>
      </c>
      <c r="U500" s="20" t="str">
        <f aca="false">IF(T500=0,"CLEAN",IF(T500=1,"MINOR",IF(T500&lt;=3,"MODERATE","CRITICAL")))</f>
        <v>MINOR</v>
      </c>
      <c r="V500" s="20" t="str">
        <f aca="false">IF(U500="CLEAN","None",IF(U500="MINOR","Seller Notify",IF(U500="MODERATE","Listing Suspended","Immediate Removal")))</f>
        <v>Seller Notify</v>
      </c>
    </row>
    <row r="501" customFormat="false" ht="18" hidden="false" customHeight="true" outlineLevel="0" collapsed="false">
      <c r="A501" s="19" t="s">
        <v>6578</v>
      </c>
      <c r="B501" s="19" t="s">
        <v>3443</v>
      </c>
      <c r="C501" s="19" t="s">
        <v>255</v>
      </c>
      <c r="D501" s="19" t="s">
        <v>256</v>
      </c>
      <c r="E501" s="19" t="s">
        <v>79</v>
      </c>
      <c r="F501" s="19" t="s">
        <v>51</v>
      </c>
      <c r="G501" s="19" t="s">
        <v>3445</v>
      </c>
      <c r="H501" s="19" t="s">
        <v>3446</v>
      </c>
      <c r="I501" s="19" t="s">
        <v>3447</v>
      </c>
      <c r="J501" s="19" t="n">
        <v>1933.66</v>
      </c>
      <c r="K501" s="19" t="s">
        <v>3451</v>
      </c>
      <c r="L501" s="19"/>
      <c r="M501" s="20" t="str">
        <f aca="false">IF(G501&lt;&gt;"","PASS","FAIL - Missing UPC")</f>
        <v>PASS</v>
      </c>
      <c r="N501" s="20" t="str">
        <f aca="false">IF(AND(G501&lt;&gt;"",H501&lt;&gt;""),IF("0"&amp;G501=H501,"PASS","FAIL - GTIN Mismatch"),"SKIP")</f>
        <v>PASS</v>
      </c>
      <c r="O501" s="20" t="str">
        <f aca="false">IF(I501="","FAIL - No Title",IF(LEN(I501)&lt;=126,"PASS","FAIL - Title &gt;"&amp;126&amp;" chars"))</f>
        <v>PASS</v>
      </c>
      <c r="P501" s="20" t="str">
        <f aca="false">IF(J501&gt;0,IF(J501&lt;5000,"PASS","FLAG - Review Price"),"FAIL - Zero Price")</f>
        <v>PASS</v>
      </c>
      <c r="Q501" s="20" t="str">
        <f aca="false">IF('Raw Catalog'!P499&lt;&gt;"","PASS","FAIL - No Image")</f>
        <v>PASS</v>
      </c>
      <c r="R501" s="20" t="str">
        <f aca="false">IF(F501&lt;&gt;"","PASS","FAIL - No Brand")</f>
        <v>PASS</v>
      </c>
      <c r="S501" s="20" t="str">
        <f aca="true">IF(K501="","FAIL - No Date",IF(TODAY()-DATEVALUE(K501)&lt;=180,"PASS","FLAG - Stale &gt;180d"))</f>
        <v>FLAG - Stale &gt;180d</v>
      </c>
      <c r="T501" s="20" t="n">
        <f aca="false">COUNTIF(M501:S501,"FAIL*")+COUNTIF(M501:S501,"FLAG*")</f>
        <v>1</v>
      </c>
      <c r="U501" s="20" t="str">
        <f aca="false">IF(T501=0,"CLEAN",IF(T501=1,"MINOR",IF(T501&lt;=3,"MODERATE","CRITICAL")))</f>
        <v>MINOR</v>
      </c>
      <c r="V501" s="20" t="str">
        <f aca="false">IF(U501="CLEAN","None",IF(U501="MINOR","Seller Notify",IF(U501="MODERATE","Listing Suspended","Immediate Removal")))</f>
        <v>Seller Notify</v>
      </c>
    </row>
    <row r="502" customFormat="false" ht="18" hidden="false" customHeight="true" outlineLevel="0" collapsed="false">
      <c r="A502" s="19" t="s">
        <v>6579</v>
      </c>
      <c r="B502" s="19" t="s">
        <v>3452</v>
      </c>
      <c r="C502" s="19" t="s">
        <v>255</v>
      </c>
      <c r="D502" s="19" t="s">
        <v>256</v>
      </c>
      <c r="E502" s="19" t="s">
        <v>65</v>
      </c>
      <c r="F502" s="19" t="s">
        <v>227</v>
      </c>
      <c r="G502" s="19" t="s">
        <v>3454</v>
      </c>
      <c r="H502" s="19" t="s">
        <v>3455</v>
      </c>
      <c r="I502" s="19" t="s">
        <v>3456</v>
      </c>
      <c r="J502" s="19" t="n">
        <v>223.12</v>
      </c>
      <c r="K502" s="19" t="s">
        <v>1116</v>
      </c>
      <c r="L502" s="19"/>
      <c r="M502" s="20" t="str">
        <f aca="false">IF(G502&lt;&gt;"","PASS","FAIL - Missing UPC")</f>
        <v>PASS</v>
      </c>
      <c r="N502" s="20" t="str">
        <f aca="false">IF(AND(G502&lt;&gt;"",H502&lt;&gt;""),IF("0"&amp;G502=H502,"PASS","FAIL - GTIN Mismatch"),"SKIP")</f>
        <v>PASS</v>
      </c>
      <c r="O502" s="20" t="str">
        <f aca="false">IF(I502="","FAIL - No Title",IF(LEN(I502)&lt;=126,"PASS","FAIL - Title &gt;"&amp;126&amp;" chars"))</f>
        <v>PASS</v>
      </c>
      <c r="P502" s="20" t="str">
        <f aca="false">IF(J502&gt;0,IF(J502&lt;5000,"PASS","FLAG - Review Price"),"FAIL - Zero Price")</f>
        <v>PASS</v>
      </c>
      <c r="Q502" s="20" t="str">
        <f aca="false">IF('Raw Catalog'!P500&lt;&gt;"","PASS","FAIL - No Image")</f>
        <v>PASS</v>
      </c>
      <c r="R502" s="20" t="str">
        <f aca="false">IF(F502&lt;&gt;"","PASS","FAIL - No Brand")</f>
        <v>PASS</v>
      </c>
      <c r="S502" s="20" t="str">
        <f aca="true">IF(K502="","FAIL - No Date",IF(TODAY()-DATEVALUE(K502)&lt;=180,"PASS","FLAG - Stale &gt;180d"))</f>
        <v>FLAG - Stale &gt;180d</v>
      </c>
      <c r="T502" s="20" t="n">
        <f aca="false">COUNTIF(M502:S502,"FAIL*")+COUNTIF(M502:S502,"FLAG*")</f>
        <v>1</v>
      </c>
      <c r="U502" s="20" t="str">
        <f aca="false">IF(T502=0,"CLEAN",IF(T502=1,"MINOR",IF(T502&lt;=3,"MODERATE","CRITICAL")))</f>
        <v>MINOR</v>
      </c>
      <c r="V502" s="20" t="str">
        <f aca="false">IF(U502="CLEAN","None",IF(U502="MINOR","Seller Notify",IF(U502="MODERATE","Listing Suspended","Immediate Removal")))</f>
        <v>Seller Notify</v>
      </c>
    </row>
    <row r="503" customFormat="false" ht="18" hidden="false" customHeight="true" outlineLevel="0" collapsed="false">
      <c r="A503" s="19" t="s">
        <v>6580</v>
      </c>
      <c r="B503" s="19" t="s">
        <v>3460</v>
      </c>
      <c r="C503" s="19" t="s">
        <v>125</v>
      </c>
      <c r="D503" s="19" t="s">
        <v>126</v>
      </c>
      <c r="E503" s="19" t="s">
        <v>50</v>
      </c>
      <c r="F503" s="19" t="s">
        <v>138</v>
      </c>
      <c r="G503" s="19" t="s">
        <v>3462</v>
      </c>
      <c r="H503" s="19" t="s">
        <v>3463</v>
      </c>
      <c r="I503" s="19" t="s">
        <v>3464</v>
      </c>
      <c r="J503" s="19" t="n">
        <v>181.77</v>
      </c>
      <c r="K503" s="19" t="s">
        <v>111</v>
      </c>
      <c r="L503" s="19"/>
      <c r="M503" s="20" t="str">
        <f aca="false">IF(G503&lt;&gt;"","PASS","FAIL - Missing UPC")</f>
        <v>PASS</v>
      </c>
      <c r="N503" s="20" t="str">
        <f aca="false">IF(AND(G503&lt;&gt;"",H503&lt;&gt;""),IF("0"&amp;G503=H503,"PASS","FAIL - GTIN Mismatch"),"SKIP")</f>
        <v>PASS</v>
      </c>
      <c r="O503" s="20" t="str">
        <f aca="false">IF(I503="","FAIL - No Title",IF(LEN(I503)&lt;=126,"PASS","FAIL - Title &gt;"&amp;126&amp;" chars"))</f>
        <v>PASS</v>
      </c>
      <c r="P503" s="20" t="str">
        <f aca="false">IF(J503&gt;0,IF(J503&lt;5000,"PASS","FLAG - Review Price"),"FAIL - Zero Price")</f>
        <v>PASS</v>
      </c>
      <c r="Q503" s="20" t="str">
        <f aca="false">IF('Raw Catalog'!P501&lt;&gt;"","PASS","FAIL - No Image")</f>
        <v>PASS</v>
      </c>
      <c r="R503" s="20" t="str">
        <f aca="false">IF(F503&lt;&gt;"","PASS","FAIL - No Brand")</f>
        <v>PASS</v>
      </c>
      <c r="S503" s="20" t="str">
        <f aca="true">IF(K503="","FAIL - No Date",IF(TODAY()-DATEVALUE(K503)&lt;=180,"PASS","FLAG - Stale &gt;180d"))</f>
        <v>FLAG - Stale &gt;180d</v>
      </c>
      <c r="T503" s="20" t="n">
        <f aca="false">COUNTIF(M503:S503,"FAIL*")+COUNTIF(M503:S503,"FLAG*")</f>
        <v>1</v>
      </c>
      <c r="U503" s="20" t="str">
        <f aca="false">IF(T503=0,"CLEAN",IF(T503=1,"MINOR",IF(T503&lt;=3,"MODERATE","CRITICAL")))</f>
        <v>MINOR</v>
      </c>
      <c r="V503" s="20" t="str">
        <f aca="false">IF(U503="CLEAN","None",IF(U503="MINOR","Seller Notify",IF(U503="MODERATE","Listing Suspended","Immediate Removal")))</f>
        <v>Seller Notify</v>
      </c>
    </row>
    <row r="504" customFormat="false" ht="18" hidden="false" customHeight="true" outlineLevel="0" collapsed="false">
      <c r="A504" s="19" t="s">
        <v>6581</v>
      </c>
      <c r="B504" s="19" t="s">
        <v>3465</v>
      </c>
      <c r="C504" s="19" t="s">
        <v>48</v>
      </c>
      <c r="D504" s="19" t="s">
        <v>49</v>
      </c>
      <c r="E504" s="19" t="s">
        <v>50</v>
      </c>
      <c r="F504" s="19" t="s">
        <v>115</v>
      </c>
      <c r="G504" s="19" t="s">
        <v>3467</v>
      </c>
      <c r="H504" s="19" t="s">
        <v>3468</v>
      </c>
      <c r="I504" s="19" t="s">
        <v>3469</v>
      </c>
      <c r="J504" s="19" t="n">
        <v>1044.18</v>
      </c>
      <c r="K504" s="19" t="s">
        <v>3206</v>
      </c>
      <c r="L504" s="19"/>
      <c r="M504" s="20" t="str">
        <f aca="false">IF(G504&lt;&gt;"","PASS","FAIL - Missing UPC")</f>
        <v>PASS</v>
      </c>
      <c r="N504" s="20" t="str">
        <f aca="false">IF(AND(G504&lt;&gt;"",H504&lt;&gt;""),IF("0"&amp;G504=H504,"PASS","FAIL - GTIN Mismatch"),"SKIP")</f>
        <v>PASS</v>
      </c>
      <c r="O504" s="20" t="str">
        <f aca="false">IF(I504="","FAIL - No Title",IF(LEN(I504)&lt;=126,"PASS","FAIL - Title &gt;"&amp;126&amp;" chars"))</f>
        <v>PASS</v>
      </c>
      <c r="P504" s="20" t="str">
        <f aca="false">IF(J504&gt;0,IF(J504&lt;5000,"PASS","FLAG - Review Price"),"FAIL - Zero Price")</f>
        <v>PASS</v>
      </c>
      <c r="Q504" s="20" t="str">
        <f aca="false">IF('Raw Catalog'!P502&lt;&gt;"","PASS","FAIL - No Image")</f>
        <v>PASS</v>
      </c>
      <c r="R504" s="20" t="str">
        <f aca="false">IF(F504&lt;&gt;"","PASS","FAIL - No Brand")</f>
        <v>PASS</v>
      </c>
      <c r="S504" s="20" t="str">
        <f aca="true">IF(K504="","FAIL - No Date",IF(TODAY()-DATEVALUE(K504)&lt;=180,"PASS","FLAG - Stale &gt;180d"))</f>
        <v>FLAG - Stale &gt;180d</v>
      </c>
      <c r="T504" s="20" t="n">
        <f aca="false">COUNTIF(M504:S504,"FAIL*")+COUNTIF(M504:S504,"FLAG*")</f>
        <v>1</v>
      </c>
      <c r="U504" s="20" t="str">
        <f aca="false">IF(T504=0,"CLEAN",IF(T504=1,"MINOR",IF(T504&lt;=3,"MODERATE","CRITICAL")))</f>
        <v>MINOR</v>
      </c>
      <c r="V504" s="20" t="str">
        <f aca="false">IF(U504="CLEAN","None",IF(U504="MINOR","Seller Notify",IF(U504="MODERATE","Listing Suspended","Immediate Removal")))</f>
        <v>Seller Notify</v>
      </c>
    </row>
    <row r="505" customFormat="false" ht="18" hidden="false" customHeight="true" outlineLevel="0" collapsed="false">
      <c r="A505" s="19" t="s">
        <v>6582</v>
      </c>
      <c r="B505" s="19" t="s">
        <v>3470</v>
      </c>
      <c r="C505" s="19" t="s">
        <v>173</v>
      </c>
      <c r="D505" s="19" t="s">
        <v>174</v>
      </c>
      <c r="E505" s="19" t="s">
        <v>79</v>
      </c>
      <c r="F505" s="19" t="s">
        <v>465</v>
      </c>
      <c r="G505" s="19" t="s">
        <v>3472</v>
      </c>
      <c r="H505" s="19" t="s">
        <v>3473</v>
      </c>
      <c r="I505" s="19" t="s">
        <v>3474</v>
      </c>
      <c r="J505" s="19" t="n">
        <v>731.62</v>
      </c>
      <c r="K505" s="19" t="s">
        <v>332</v>
      </c>
      <c r="L505" s="19"/>
      <c r="M505" s="20" t="str">
        <f aca="false">IF(G505&lt;&gt;"","PASS","FAIL - Missing UPC")</f>
        <v>PASS</v>
      </c>
      <c r="N505" s="20" t="str">
        <f aca="false">IF(AND(G505&lt;&gt;"",H505&lt;&gt;""),IF("0"&amp;G505=H505,"PASS","FAIL - GTIN Mismatch"),"SKIP")</f>
        <v>PASS</v>
      </c>
      <c r="O505" s="20" t="str">
        <f aca="false">IF(I505="","FAIL - No Title",IF(LEN(I505)&lt;=126,"PASS","FAIL - Title &gt;"&amp;126&amp;" chars"))</f>
        <v>PASS</v>
      </c>
      <c r="P505" s="20" t="str">
        <f aca="false">IF(J505&gt;0,IF(J505&lt;5000,"PASS","FLAG - Review Price"),"FAIL - Zero Price")</f>
        <v>PASS</v>
      </c>
      <c r="Q505" s="20" t="str">
        <f aca="false">IF('Raw Catalog'!P503&lt;&gt;"","PASS","FAIL - No Image")</f>
        <v>PASS</v>
      </c>
      <c r="R505" s="20" t="str">
        <f aca="false">IF(F505&lt;&gt;"","PASS","FAIL - No Brand")</f>
        <v>PASS</v>
      </c>
      <c r="S505" s="20" t="str">
        <f aca="true">IF(K505="","FAIL - No Date",IF(TODAY()-DATEVALUE(K505)&lt;=180,"PASS","FLAG - Stale &gt;180d"))</f>
        <v>FLAG - Stale &gt;180d</v>
      </c>
      <c r="T505" s="20" t="n">
        <f aca="false">COUNTIF(M505:S505,"FAIL*")+COUNTIF(M505:S505,"FLAG*")</f>
        <v>1</v>
      </c>
      <c r="U505" s="20" t="str">
        <f aca="false">IF(T505=0,"CLEAN",IF(T505=1,"MINOR",IF(T505&lt;=3,"MODERATE","CRITICAL")))</f>
        <v>MINOR</v>
      </c>
      <c r="V505" s="20" t="str">
        <f aca="false">IF(U505="CLEAN","None",IF(U505="MINOR","Seller Notify",IF(U505="MODERATE","Listing Suspended","Immediate Removal")))</f>
        <v>Seller Notify</v>
      </c>
    </row>
    <row r="506" customFormat="false" ht="18" hidden="false" customHeight="true" outlineLevel="0" collapsed="false">
      <c r="A506" s="19" t="s">
        <v>6583</v>
      </c>
      <c r="B506" s="19" t="s">
        <v>3476</v>
      </c>
      <c r="C506" s="19" t="s">
        <v>77</v>
      </c>
      <c r="D506" s="19" t="s">
        <v>78</v>
      </c>
      <c r="E506" s="19" t="s">
        <v>91</v>
      </c>
      <c r="F506" s="19" t="s">
        <v>185</v>
      </c>
      <c r="G506" s="19" t="s">
        <v>3478</v>
      </c>
      <c r="H506" s="19" t="s">
        <v>3479</v>
      </c>
      <c r="I506" s="19" t="s">
        <v>3480</v>
      </c>
      <c r="J506" s="19" t="n">
        <v>3882.74</v>
      </c>
      <c r="K506" s="19" t="s">
        <v>585</v>
      </c>
      <c r="L506" s="19"/>
      <c r="M506" s="20" t="str">
        <f aca="false">IF(G506&lt;&gt;"","PASS","FAIL - Missing UPC")</f>
        <v>PASS</v>
      </c>
      <c r="N506" s="20" t="str">
        <f aca="false">IF(AND(G506&lt;&gt;"",H506&lt;&gt;""),IF("0"&amp;G506=H506,"PASS","FAIL - GTIN Mismatch"),"SKIP")</f>
        <v>PASS</v>
      </c>
      <c r="O506" s="20" t="str">
        <f aca="false">IF(I506="","FAIL - No Title",IF(LEN(I506)&lt;=126,"PASS","FAIL - Title &gt;"&amp;126&amp;" chars"))</f>
        <v>PASS</v>
      </c>
      <c r="P506" s="20" t="str">
        <f aca="false">IF(J506&gt;0,IF(J506&lt;5000,"PASS","FLAG - Review Price"),"FAIL - Zero Price")</f>
        <v>PASS</v>
      </c>
      <c r="Q506" s="20" t="str">
        <f aca="false">IF('Raw Catalog'!P504&lt;&gt;"","PASS","FAIL - No Image")</f>
        <v>PASS</v>
      </c>
      <c r="R506" s="20" t="str">
        <f aca="false">IF(F506&lt;&gt;"","PASS","FAIL - No Brand")</f>
        <v>PASS</v>
      </c>
      <c r="S506" s="20" t="str">
        <f aca="true">IF(K506="","FAIL - No Date",IF(TODAY()-DATEVALUE(K506)&lt;=180,"PASS","FLAG - Stale &gt;180d"))</f>
        <v>FLAG - Stale &gt;180d</v>
      </c>
      <c r="T506" s="20" t="n">
        <f aca="false">COUNTIF(M506:S506,"FAIL*")+COUNTIF(M506:S506,"FLAG*")</f>
        <v>1</v>
      </c>
      <c r="U506" s="20" t="str">
        <f aca="false">IF(T506=0,"CLEAN",IF(T506=1,"MINOR",IF(T506&lt;=3,"MODERATE","CRITICAL")))</f>
        <v>MINOR</v>
      </c>
      <c r="V506" s="20" t="str">
        <f aca="false">IF(U506="CLEAN","None",IF(U506="MINOR","Seller Notify",IF(U506="MODERATE","Listing Suspended","Immediate Removal")))</f>
        <v>Seller Notify</v>
      </c>
    </row>
    <row r="507" customFormat="false" ht="18" hidden="false" customHeight="true" outlineLevel="0" collapsed="false">
      <c r="A507" s="19" t="s">
        <v>6584</v>
      </c>
      <c r="B507" s="19" t="s">
        <v>3482</v>
      </c>
      <c r="C507" s="19" t="s">
        <v>125</v>
      </c>
      <c r="D507" s="19" t="s">
        <v>126</v>
      </c>
      <c r="E507" s="19" t="s">
        <v>91</v>
      </c>
      <c r="F507" s="19" t="s">
        <v>587</v>
      </c>
      <c r="G507" s="19" t="s">
        <v>3484</v>
      </c>
      <c r="H507" s="19" t="s">
        <v>3485</v>
      </c>
      <c r="I507" s="19" t="s">
        <v>3486</v>
      </c>
      <c r="J507" s="19" t="n">
        <v>2454.62</v>
      </c>
      <c r="K507" s="19" t="s">
        <v>1055</v>
      </c>
      <c r="L507" s="21" t="s">
        <v>243</v>
      </c>
      <c r="M507" s="20" t="str">
        <f aca="false">IF(G507&lt;&gt;"","PASS","FAIL - Missing UPC")</f>
        <v>PASS</v>
      </c>
      <c r="N507" s="20" t="str">
        <f aca="false">IF(AND(G507&lt;&gt;"",H507&lt;&gt;""),IF("0"&amp;G507=H507,"PASS","FAIL - GTIN Mismatch"),"SKIP")</f>
        <v>FAIL - GTIN Mismatch</v>
      </c>
      <c r="O507" s="20" t="str">
        <f aca="false">IF(I507="","FAIL - No Title",IF(LEN(I507)&lt;=126,"PASS","FAIL - Title &gt;"&amp;126&amp;" chars"))</f>
        <v>PASS</v>
      </c>
      <c r="P507" s="20" t="str">
        <f aca="false">IF(J507&gt;0,IF(J507&lt;5000,"PASS","FLAG - Review Price"),"FAIL - Zero Price")</f>
        <v>PASS</v>
      </c>
      <c r="Q507" s="20" t="str">
        <f aca="false">IF('Raw Catalog'!P505&lt;&gt;"","PASS","FAIL - No Image")</f>
        <v>PASS</v>
      </c>
      <c r="R507" s="20" t="str">
        <f aca="false">IF(F507&lt;&gt;"","PASS","FAIL - No Brand")</f>
        <v>PASS</v>
      </c>
      <c r="S507" s="20" t="str">
        <f aca="true">IF(K507="","FAIL - No Date",IF(TODAY()-DATEVALUE(K507)&lt;=180,"PASS","FLAG - Stale &gt;180d"))</f>
        <v>FLAG - Stale &gt;180d</v>
      </c>
      <c r="T507" s="20" t="n">
        <f aca="false">COUNTIF(M507:S507,"FAIL*")+COUNTIF(M507:S507,"FLAG*")</f>
        <v>2</v>
      </c>
      <c r="U507" s="20" t="str">
        <f aca="false">IF(T507=0,"CLEAN",IF(T507=1,"MINOR",IF(T507&lt;=3,"MODERATE","CRITICAL")))</f>
        <v>MODERATE</v>
      </c>
      <c r="V507" s="20" t="str">
        <f aca="false">IF(U507="CLEAN","None",IF(U507="MINOR","Seller Notify",IF(U507="MODERATE","Listing Suspended","Immediate Removal")))</f>
        <v>Listing Suspended</v>
      </c>
    </row>
    <row r="508" customFormat="false" ht="18" hidden="false" customHeight="true" outlineLevel="0" collapsed="false">
      <c r="A508" s="19" t="s">
        <v>6585</v>
      </c>
      <c r="B508" s="19" t="s">
        <v>3487</v>
      </c>
      <c r="C508" s="19" t="s">
        <v>48</v>
      </c>
      <c r="D508" s="19" t="s">
        <v>49</v>
      </c>
      <c r="E508" s="19" t="s">
        <v>50</v>
      </c>
      <c r="F508" s="19" t="s">
        <v>115</v>
      </c>
      <c r="G508" s="19" t="s">
        <v>3489</v>
      </c>
      <c r="H508" s="19" t="s">
        <v>3490</v>
      </c>
      <c r="I508" s="19" t="s">
        <v>3491</v>
      </c>
      <c r="J508" s="19" t="n">
        <v>1000.82</v>
      </c>
      <c r="K508" s="19" t="s">
        <v>1836</v>
      </c>
      <c r="L508" s="19"/>
      <c r="M508" s="20" t="str">
        <f aca="false">IF(G508&lt;&gt;"","PASS","FAIL - Missing UPC")</f>
        <v>PASS</v>
      </c>
      <c r="N508" s="20" t="str">
        <f aca="false">IF(AND(G508&lt;&gt;"",H508&lt;&gt;""),IF("0"&amp;G508=H508,"PASS","FAIL - GTIN Mismatch"),"SKIP")</f>
        <v>PASS</v>
      </c>
      <c r="O508" s="20" t="str">
        <f aca="false">IF(I508="","FAIL - No Title",IF(LEN(I508)&lt;=126,"PASS","FAIL - Title &gt;"&amp;126&amp;" chars"))</f>
        <v>PASS</v>
      </c>
      <c r="P508" s="20" t="str">
        <f aca="false">IF(J508&gt;0,IF(J508&lt;5000,"PASS","FLAG - Review Price"),"FAIL - Zero Price")</f>
        <v>PASS</v>
      </c>
      <c r="Q508" s="20" t="str">
        <f aca="false">IF('Raw Catalog'!P506&lt;&gt;"","PASS","FAIL - No Image")</f>
        <v>PASS</v>
      </c>
      <c r="R508" s="20" t="str">
        <f aca="false">IF(F508&lt;&gt;"","PASS","FAIL - No Brand")</f>
        <v>PASS</v>
      </c>
      <c r="S508" s="20" t="str">
        <f aca="true">IF(K508="","FAIL - No Date",IF(TODAY()-DATEVALUE(K508)&lt;=180,"PASS","FLAG - Stale &gt;180d"))</f>
        <v>FLAG - Stale &gt;180d</v>
      </c>
      <c r="T508" s="20" t="n">
        <f aca="false">COUNTIF(M508:S508,"FAIL*")+COUNTIF(M508:S508,"FLAG*")</f>
        <v>1</v>
      </c>
      <c r="U508" s="20" t="str">
        <f aca="false">IF(T508=0,"CLEAN",IF(T508=1,"MINOR",IF(T508&lt;=3,"MODERATE","CRITICAL")))</f>
        <v>MINOR</v>
      </c>
      <c r="V508" s="20" t="str">
        <f aca="false">IF(U508="CLEAN","None",IF(U508="MINOR","Seller Notify",IF(U508="MODERATE","Listing Suspended","Immediate Removal")))</f>
        <v>Seller Notify</v>
      </c>
    </row>
    <row r="509" customFormat="false" ht="18" hidden="false" customHeight="true" outlineLevel="0" collapsed="false">
      <c r="A509" s="19" t="s">
        <v>6586</v>
      </c>
      <c r="B509" s="19" t="s">
        <v>2458</v>
      </c>
      <c r="C509" s="19" t="s">
        <v>63</v>
      </c>
      <c r="D509" s="19" t="s">
        <v>64</v>
      </c>
      <c r="E509" s="19" t="s">
        <v>65</v>
      </c>
      <c r="F509" s="19" t="s">
        <v>66</v>
      </c>
      <c r="G509" s="19" t="s">
        <v>2460</v>
      </c>
      <c r="H509" s="19" t="s">
        <v>2461</v>
      </c>
      <c r="I509" s="19" t="s">
        <v>107</v>
      </c>
      <c r="J509" s="19" t="n">
        <v>522.89</v>
      </c>
      <c r="K509" s="19" t="s">
        <v>511</v>
      </c>
      <c r="L509" s="21" t="s">
        <v>283</v>
      </c>
      <c r="M509" s="20" t="str">
        <f aca="false">IF(G509&lt;&gt;"","PASS","FAIL - Missing UPC")</f>
        <v>PASS</v>
      </c>
      <c r="N509" s="20" t="str">
        <f aca="false">IF(AND(G509&lt;&gt;"",H509&lt;&gt;""),IF("0"&amp;G509=H509,"PASS","FAIL - GTIN Mismatch"),"SKIP")</f>
        <v>PASS</v>
      </c>
      <c r="O509" s="20" t="str">
        <f aca="false">IF(I509="","FAIL - No Title",IF(LEN(I509)&lt;=126,"PASS","FAIL - Title &gt;"&amp;126&amp;" chars"))</f>
        <v>PASS</v>
      </c>
      <c r="P509" s="20" t="str">
        <f aca="false">IF(J509&gt;0,IF(J509&lt;5000,"PASS","FLAG - Review Price"),"FAIL - Zero Price")</f>
        <v>PASS</v>
      </c>
      <c r="Q509" s="20" t="str">
        <f aca="false">IF('Raw Catalog'!P507&lt;&gt;"","PASS","FAIL - No Image")</f>
        <v>PASS</v>
      </c>
      <c r="R509" s="20" t="str">
        <f aca="false">IF(F509&lt;&gt;"","PASS","FAIL - No Brand")</f>
        <v>PASS</v>
      </c>
      <c r="S509" s="20" t="str">
        <f aca="true">IF(K509="","FAIL - No Date",IF(TODAY()-DATEVALUE(K509)&lt;=180,"PASS","FLAG - Stale &gt;180d"))</f>
        <v>FLAG - Stale &gt;180d</v>
      </c>
      <c r="T509" s="20" t="n">
        <f aca="false">COUNTIF(M509:S509,"FAIL*")+COUNTIF(M509:S509,"FLAG*")</f>
        <v>1</v>
      </c>
      <c r="U509" s="20" t="str">
        <f aca="false">IF(T509=0,"CLEAN",IF(T509=1,"MINOR",IF(T509&lt;=3,"MODERATE","CRITICAL")))</f>
        <v>MINOR</v>
      </c>
      <c r="V509" s="20" t="str">
        <f aca="false">IF(U509="CLEAN","None",IF(U509="MINOR","Seller Notify",IF(U509="MODERATE","Listing Suspended","Immediate Removal")))</f>
        <v>Seller Notify</v>
      </c>
    </row>
    <row r="510" customFormat="false" ht="18" hidden="false" customHeight="true" outlineLevel="0" collapsed="false">
      <c r="A510" s="19" t="s">
        <v>6587</v>
      </c>
      <c r="B510" s="19" t="s">
        <v>3493</v>
      </c>
      <c r="C510" s="19" t="s">
        <v>173</v>
      </c>
      <c r="D510" s="19" t="s">
        <v>174</v>
      </c>
      <c r="E510" s="19" t="s">
        <v>161</v>
      </c>
      <c r="F510" s="19" t="s">
        <v>295</v>
      </c>
      <c r="G510" s="19" t="s">
        <v>3495</v>
      </c>
      <c r="H510" s="19" t="s">
        <v>3496</v>
      </c>
      <c r="I510" s="19" t="s">
        <v>3497</v>
      </c>
      <c r="J510" s="19" t="n">
        <v>460.32</v>
      </c>
      <c r="K510" s="19" t="s">
        <v>3022</v>
      </c>
      <c r="L510" s="19"/>
      <c r="M510" s="20" t="str">
        <f aca="false">IF(G510&lt;&gt;"","PASS","FAIL - Missing UPC")</f>
        <v>PASS</v>
      </c>
      <c r="N510" s="20" t="str">
        <f aca="false">IF(AND(G510&lt;&gt;"",H510&lt;&gt;""),IF("0"&amp;G510=H510,"PASS","FAIL - GTIN Mismatch"),"SKIP")</f>
        <v>PASS</v>
      </c>
      <c r="O510" s="20" t="str">
        <f aca="false">IF(I510="","FAIL - No Title",IF(LEN(I510)&lt;=126,"PASS","FAIL - Title &gt;"&amp;126&amp;" chars"))</f>
        <v>PASS</v>
      </c>
      <c r="P510" s="20" t="str">
        <f aca="false">IF(J510&gt;0,IF(J510&lt;5000,"PASS","FLAG - Review Price"),"FAIL - Zero Price")</f>
        <v>PASS</v>
      </c>
      <c r="Q510" s="20" t="str">
        <f aca="false">IF('Raw Catalog'!P508&lt;&gt;"","PASS","FAIL - No Image")</f>
        <v>PASS</v>
      </c>
      <c r="R510" s="20" t="str">
        <f aca="false">IF(F510&lt;&gt;"","PASS","FAIL - No Brand")</f>
        <v>PASS</v>
      </c>
      <c r="S510" s="20" t="str">
        <f aca="true">IF(K510="","FAIL - No Date",IF(TODAY()-DATEVALUE(K510)&lt;=180,"PASS","FLAG - Stale &gt;180d"))</f>
        <v>FLAG - Stale &gt;180d</v>
      </c>
      <c r="T510" s="20" t="n">
        <f aca="false">COUNTIF(M510:S510,"FAIL*")+COUNTIF(M510:S510,"FLAG*")</f>
        <v>1</v>
      </c>
      <c r="U510" s="20" t="str">
        <f aca="false">IF(T510=0,"CLEAN",IF(T510=1,"MINOR",IF(T510&lt;=3,"MODERATE","CRITICAL")))</f>
        <v>MINOR</v>
      </c>
      <c r="V510" s="20" t="str">
        <f aca="false">IF(U510="CLEAN","None",IF(U510="MINOR","Seller Notify",IF(U510="MODERATE","Listing Suspended","Immediate Removal")))</f>
        <v>Seller Notify</v>
      </c>
    </row>
    <row r="511" customFormat="false" ht="18" hidden="false" customHeight="true" outlineLevel="0" collapsed="false">
      <c r="A511" s="19" t="s">
        <v>6588</v>
      </c>
      <c r="B511" s="19" t="s">
        <v>3498</v>
      </c>
      <c r="C511" s="19" t="s">
        <v>159</v>
      </c>
      <c r="D511" s="19" t="s">
        <v>160</v>
      </c>
      <c r="E511" s="19" t="s">
        <v>161</v>
      </c>
      <c r="F511" s="19" t="s">
        <v>185</v>
      </c>
      <c r="G511" s="19" t="s">
        <v>3500</v>
      </c>
      <c r="H511" s="19" t="s">
        <v>3501</v>
      </c>
      <c r="I511" s="19" t="s">
        <v>3502</v>
      </c>
      <c r="J511" s="19" t="n">
        <v>213.75</v>
      </c>
      <c r="K511" s="19" t="s">
        <v>462</v>
      </c>
      <c r="L511" s="19"/>
      <c r="M511" s="20" t="str">
        <f aca="false">IF(G511&lt;&gt;"","PASS","FAIL - Missing UPC")</f>
        <v>PASS</v>
      </c>
      <c r="N511" s="20" t="str">
        <f aca="false">IF(AND(G511&lt;&gt;"",H511&lt;&gt;""),IF("0"&amp;G511=H511,"PASS","FAIL - GTIN Mismatch"),"SKIP")</f>
        <v>PASS</v>
      </c>
      <c r="O511" s="20" t="str">
        <f aca="false">IF(I511="","FAIL - No Title",IF(LEN(I511)&lt;=126,"PASS","FAIL - Title &gt;"&amp;126&amp;" chars"))</f>
        <v>PASS</v>
      </c>
      <c r="P511" s="20" t="str">
        <f aca="false">IF(J511&gt;0,IF(J511&lt;5000,"PASS","FLAG - Review Price"),"FAIL - Zero Price")</f>
        <v>PASS</v>
      </c>
      <c r="Q511" s="20" t="str">
        <f aca="false">IF('Raw Catalog'!P509&lt;&gt;"","PASS","FAIL - No Image")</f>
        <v>PASS</v>
      </c>
      <c r="R511" s="20" t="str">
        <f aca="false">IF(F511&lt;&gt;"","PASS","FAIL - No Brand")</f>
        <v>PASS</v>
      </c>
      <c r="S511" s="20" t="str">
        <f aca="true">IF(K511="","FAIL - No Date",IF(TODAY()-DATEVALUE(K511)&lt;=180,"PASS","FLAG - Stale &gt;180d"))</f>
        <v>FLAG - Stale &gt;180d</v>
      </c>
      <c r="T511" s="20" t="n">
        <f aca="false">COUNTIF(M511:S511,"FAIL*")+COUNTIF(M511:S511,"FLAG*")</f>
        <v>1</v>
      </c>
      <c r="U511" s="20" t="str">
        <f aca="false">IF(T511=0,"CLEAN",IF(T511=1,"MINOR",IF(T511&lt;=3,"MODERATE","CRITICAL")))</f>
        <v>MINOR</v>
      </c>
      <c r="V511" s="20" t="str">
        <f aca="false">IF(U511="CLEAN","None",IF(U511="MINOR","Seller Notify",IF(U511="MODERATE","Listing Suspended","Immediate Removal")))</f>
        <v>Seller Notify</v>
      </c>
    </row>
    <row r="512" customFormat="false" ht="18" hidden="false" customHeight="true" outlineLevel="0" collapsed="false">
      <c r="A512" s="19" t="s">
        <v>6589</v>
      </c>
      <c r="B512" s="19" t="s">
        <v>3504</v>
      </c>
      <c r="C512" s="19" t="s">
        <v>125</v>
      </c>
      <c r="D512" s="19" t="s">
        <v>126</v>
      </c>
      <c r="E512" s="19" t="s">
        <v>91</v>
      </c>
      <c r="F512" s="19" t="s">
        <v>780</v>
      </c>
      <c r="G512" s="19" t="s">
        <v>3506</v>
      </c>
      <c r="H512" s="19" t="s">
        <v>3507</v>
      </c>
      <c r="I512" s="19" t="s">
        <v>3508</v>
      </c>
      <c r="J512" s="19" t="n">
        <v>827.02</v>
      </c>
      <c r="K512" s="19" t="s">
        <v>806</v>
      </c>
      <c r="L512" s="19"/>
      <c r="M512" s="20" t="str">
        <f aca="false">IF(G512&lt;&gt;"","PASS","FAIL - Missing UPC")</f>
        <v>PASS</v>
      </c>
      <c r="N512" s="20" t="str">
        <f aca="false">IF(AND(G512&lt;&gt;"",H512&lt;&gt;""),IF("0"&amp;G512=H512,"PASS","FAIL - GTIN Mismatch"),"SKIP")</f>
        <v>PASS</v>
      </c>
      <c r="O512" s="20" t="str">
        <f aca="false">IF(I512="","FAIL - No Title",IF(LEN(I512)&lt;=126,"PASS","FAIL - Title &gt;"&amp;126&amp;" chars"))</f>
        <v>PASS</v>
      </c>
      <c r="P512" s="20" t="str">
        <f aca="false">IF(J512&gt;0,IF(J512&lt;5000,"PASS","FLAG - Review Price"),"FAIL - Zero Price")</f>
        <v>PASS</v>
      </c>
      <c r="Q512" s="20" t="str">
        <f aca="false">IF('Raw Catalog'!P510&lt;&gt;"","PASS","FAIL - No Image")</f>
        <v>PASS</v>
      </c>
      <c r="R512" s="20" t="str">
        <f aca="false">IF(F512&lt;&gt;"","PASS","FAIL - No Brand")</f>
        <v>PASS</v>
      </c>
      <c r="S512" s="20" t="str">
        <f aca="true">IF(K512="","FAIL - No Date",IF(TODAY()-DATEVALUE(K512)&lt;=180,"PASS","FLAG - Stale &gt;180d"))</f>
        <v>FLAG - Stale &gt;180d</v>
      </c>
      <c r="T512" s="20" t="n">
        <f aca="false">COUNTIF(M512:S512,"FAIL*")+COUNTIF(M512:S512,"FLAG*")</f>
        <v>1</v>
      </c>
      <c r="U512" s="20" t="str">
        <f aca="false">IF(T512=0,"CLEAN",IF(T512=1,"MINOR",IF(T512&lt;=3,"MODERATE","CRITICAL")))</f>
        <v>MINOR</v>
      </c>
      <c r="V512" s="20" t="str">
        <f aca="false">IF(U512="CLEAN","None",IF(U512="MINOR","Seller Notify",IF(U512="MODERATE","Listing Suspended","Immediate Removal")))</f>
        <v>Seller Notify</v>
      </c>
    </row>
    <row r="513" customFormat="false" ht="18" hidden="false" customHeight="true" outlineLevel="0" collapsed="false">
      <c r="A513" s="19" t="s">
        <v>6590</v>
      </c>
      <c r="B513" s="19" t="s">
        <v>3511</v>
      </c>
      <c r="C513" s="19" t="s">
        <v>113</v>
      </c>
      <c r="D513" s="19" t="s">
        <v>114</v>
      </c>
      <c r="E513" s="19" t="s">
        <v>161</v>
      </c>
      <c r="F513" s="19" t="s">
        <v>295</v>
      </c>
      <c r="G513" s="19" t="s">
        <v>3513</v>
      </c>
      <c r="H513" s="19" t="s">
        <v>3514</v>
      </c>
      <c r="I513" s="19" t="s">
        <v>3515</v>
      </c>
      <c r="J513" s="19" t="n">
        <v>472.17</v>
      </c>
      <c r="K513" s="19" t="s">
        <v>1604</v>
      </c>
      <c r="L513" s="19"/>
      <c r="M513" s="20" t="str">
        <f aca="false">IF(G513&lt;&gt;"","PASS","FAIL - Missing UPC")</f>
        <v>PASS</v>
      </c>
      <c r="N513" s="20" t="str">
        <f aca="false">IF(AND(G513&lt;&gt;"",H513&lt;&gt;""),IF("0"&amp;G513=H513,"PASS","FAIL - GTIN Mismatch"),"SKIP")</f>
        <v>PASS</v>
      </c>
      <c r="O513" s="20" t="str">
        <f aca="false">IF(I513="","FAIL - No Title",IF(LEN(I513)&lt;=126,"PASS","FAIL - Title &gt;"&amp;126&amp;" chars"))</f>
        <v>PASS</v>
      </c>
      <c r="P513" s="20" t="str">
        <f aca="false">IF(J513&gt;0,IF(J513&lt;5000,"PASS","FLAG - Review Price"),"FAIL - Zero Price")</f>
        <v>PASS</v>
      </c>
      <c r="Q513" s="20" t="str">
        <f aca="false">IF('Raw Catalog'!P511&lt;&gt;"","PASS","FAIL - No Image")</f>
        <v>PASS</v>
      </c>
      <c r="R513" s="20" t="str">
        <f aca="false">IF(F513&lt;&gt;"","PASS","FAIL - No Brand")</f>
        <v>PASS</v>
      </c>
      <c r="S513" s="20" t="str">
        <f aca="true">IF(K513="","FAIL - No Date",IF(TODAY()-DATEVALUE(K513)&lt;=180,"PASS","FLAG - Stale &gt;180d"))</f>
        <v>FLAG - Stale &gt;180d</v>
      </c>
      <c r="T513" s="20" t="n">
        <f aca="false">COUNTIF(M513:S513,"FAIL*")+COUNTIF(M513:S513,"FLAG*")</f>
        <v>1</v>
      </c>
      <c r="U513" s="20" t="str">
        <f aca="false">IF(T513=0,"CLEAN",IF(T513=1,"MINOR",IF(T513&lt;=3,"MODERATE","CRITICAL")))</f>
        <v>MINOR</v>
      </c>
      <c r="V513" s="20" t="str">
        <f aca="false">IF(U513="CLEAN","None",IF(U513="MINOR","Seller Notify",IF(U513="MODERATE","Listing Suspended","Immediate Removal")))</f>
        <v>Seller Notify</v>
      </c>
    </row>
    <row r="514" customFormat="false" ht="18" hidden="false" customHeight="true" outlineLevel="0" collapsed="false">
      <c r="A514" s="19" t="s">
        <v>6591</v>
      </c>
      <c r="B514" s="19" t="s">
        <v>3516</v>
      </c>
      <c r="C514" s="19" t="s">
        <v>255</v>
      </c>
      <c r="D514" s="19" t="s">
        <v>256</v>
      </c>
      <c r="E514" s="19" t="s">
        <v>91</v>
      </c>
      <c r="F514" s="19" t="s">
        <v>780</v>
      </c>
      <c r="G514" s="19" t="s">
        <v>3518</v>
      </c>
      <c r="H514" s="19" t="s">
        <v>3519</v>
      </c>
      <c r="I514" s="19" t="s">
        <v>3520</v>
      </c>
      <c r="J514" s="19" t="n">
        <v>2054.69</v>
      </c>
      <c r="K514" s="19" t="s">
        <v>3522</v>
      </c>
      <c r="L514" s="19"/>
      <c r="M514" s="20" t="str">
        <f aca="false">IF(G514&lt;&gt;"","PASS","FAIL - Missing UPC")</f>
        <v>PASS</v>
      </c>
      <c r="N514" s="20" t="str">
        <f aca="false">IF(AND(G514&lt;&gt;"",H514&lt;&gt;""),IF("0"&amp;G514=H514,"PASS","FAIL - GTIN Mismatch"),"SKIP")</f>
        <v>PASS</v>
      </c>
      <c r="O514" s="20" t="str">
        <f aca="false">IF(I514="","FAIL - No Title",IF(LEN(I514)&lt;=126,"PASS","FAIL - Title &gt;"&amp;126&amp;" chars"))</f>
        <v>PASS</v>
      </c>
      <c r="P514" s="20" t="str">
        <f aca="false">IF(J514&gt;0,IF(J514&lt;5000,"PASS","FLAG - Review Price"),"FAIL - Zero Price")</f>
        <v>PASS</v>
      </c>
      <c r="Q514" s="20" t="str">
        <f aca="false">IF('Raw Catalog'!P512&lt;&gt;"","PASS","FAIL - No Image")</f>
        <v>PASS</v>
      </c>
      <c r="R514" s="20" t="str">
        <f aca="false">IF(F514&lt;&gt;"","PASS","FAIL - No Brand")</f>
        <v>PASS</v>
      </c>
      <c r="S514" s="20" t="str">
        <f aca="true">IF(K514="","FAIL - No Date",IF(TODAY()-DATEVALUE(K514)&lt;=180,"PASS","FLAG - Stale &gt;180d"))</f>
        <v>FLAG - Stale &gt;180d</v>
      </c>
      <c r="T514" s="20" t="n">
        <f aca="false">COUNTIF(M514:S514,"FAIL*")+COUNTIF(M514:S514,"FLAG*")</f>
        <v>1</v>
      </c>
      <c r="U514" s="20" t="str">
        <f aca="false">IF(T514=0,"CLEAN",IF(T514=1,"MINOR",IF(T514&lt;=3,"MODERATE","CRITICAL")))</f>
        <v>MINOR</v>
      </c>
      <c r="V514" s="20" t="str">
        <f aca="false">IF(U514="CLEAN","None",IF(U514="MINOR","Seller Notify",IF(U514="MODERATE","Listing Suspended","Immediate Removal")))</f>
        <v>Seller Notify</v>
      </c>
    </row>
    <row r="515" customFormat="false" ht="18" hidden="false" customHeight="true" outlineLevel="0" collapsed="false">
      <c r="A515" s="19" t="s">
        <v>6592</v>
      </c>
      <c r="B515" s="19" t="s">
        <v>3523</v>
      </c>
      <c r="C515" s="19" t="s">
        <v>113</v>
      </c>
      <c r="D515" s="19" t="s">
        <v>114</v>
      </c>
      <c r="E515" s="19" t="s">
        <v>50</v>
      </c>
      <c r="F515" s="19" t="s">
        <v>127</v>
      </c>
      <c r="G515" s="19" t="s">
        <v>3525</v>
      </c>
      <c r="H515" s="19" t="s">
        <v>3526</v>
      </c>
      <c r="I515" s="19" t="s">
        <v>3527</v>
      </c>
      <c r="J515" s="19" t="n">
        <v>313.03</v>
      </c>
      <c r="K515" s="19" t="s">
        <v>946</v>
      </c>
      <c r="L515" s="19"/>
      <c r="M515" s="20" t="str">
        <f aca="false">IF(G515&lt;&gt;"","PASS","FAIL - Missing UPC")</f>
        <v>PASS</v>
      </c>
      <c r="N515" s="20" t="str">
        <f aca="false">IF(AND(G515&lt;&gt;"",H515&lt;&gt;""),IF("0"&amp;G515=H515,"PASS","FAIL - GTIN Mismatch"),"SKIP")</f>
        <v>PASS</v>
      </c>
      <c r="O515" s="20" t="str">
        <f aca="false">IF(I515="","FAIL - No Title",IF(LEN(I515)&lt;=126,"PASS","FAIL - Title &gt;"&amp;126&amp;" chars"))</f>
        <v>PASS</v>
      </c>
      <c r="P515" s="20" t="str">
        <f aca="false">IF(J515&gt;0,IF(J515&lt;5000,"PASS","FLAG - Review Price"),"FAIL - Zero Price")</f>
        <v>PASS</v>
      </c>
      <c r="Q515" s="20" t="str">
        <f aca="false">IF('Raw Catalog'!P513&lt;&gt;"","PASS","FAIL - No Image")</f>
        <v>PASS</v>
      </c>
      <c r="R515" s="20" t="str">
        <f aca="false">IF(F515&lt;&gt;"","PASS","FAIL - No Brand")</f>
        <v>PASS</v>
      </c>
      <c r="S515" s="20" t="str">
        <f aca="true">IF(K515="","FAIL - No Date",IF(TODAY()-DATEVALUE(K515)&lt;=180,"PASS","FLAG - Stale &gt;180d"))</f>
        <v>FLAG - Stale &gt;180d</v>
      </c>
      <c r="T515" s="20" t="n">
        <f aca="false">COUNTIF(M515:S515,"FAIL*")+COUNTIF(M515:S515,"FLAG*")</f>
        <v>1</v>
      </c>
      <c r="U515" s="20" t="str">
        <f aca="false">IF(T515=0,"CLEAN",IF(T515=1,"MINOR",IF(T515&lt;=3,"MODERATE","CRITICAL")))</f>
        <v>MINOR</v>
      </c>
      <c r="V515" s="20" t="str">
        <f aca="false">IF(U515="CLEAN","None",IF(U515="MINOR","Seller Notify",IF(U515="MODERATE","Listing Suspended","Immediate Removal")))</f>
        <v>Seller Notify</v>
      </c>
    </row>
    <row r="516" customFormat="false" ht="18" hidden="false" customHeight="true" outlineLevel="0" collapsed="false">
      <c r="A516" s="19" t="s">
        <v>6593</v>
      </c>
      <c r="B516" s="19" t="s">
        <v>3529</v>
      </c>
      <c r="C516" s="19" t="s">
        <v>255</v>
      </c>
      <c r="D516" s="19" t="s">
        <v>256</v>
      </c>
      <c r="E516" s="19" t="s">
        <v>91</v>
      </c>
      <c r="F516" s="19" t="s">
        <v>587</v>
      </c>
      <c r="G516" s="19" t="s">
        <v>3531</v>
      </c>
      <c r="H516" s="19" t="s">
        <v>3532</v>
      </c>
      <c r="I516" s="19" t="s">
        <v>3533</v>
      </c>
      <c r="J516" s="19" t="n">
        <v>3680.72</v>
      </c>
      <c r="K516" s="19" t="s">
        <v>3535</v>
      </c>
      <c r="L516" s="19"/>
      <c r="M516" s="20" t="str">
        <f aca="false">IF(G516&lt;&gt;"","PASS","FAIL - Missing UPC")</f>
        <v>PASS</v>
      </c>
      <c r="N516" s="20" t="str">
        <f aca="false">IF(AND(G516&lt;&gt;"",H516&lt;&gt;""),IF("0"&amp;G516=H516,"PASS","FAIL - GTIN Mismatch"),"SKIP")</f>
        <v>PASS</v>
      </c>
      <c r="O516" s="20" t="str">
        <f aca="false">IF(I516="","FAIL - No Title",IF(LEN(I516)&lt;=126,"PASS","FAIL - Title &gt;"&amp;126&amp;" chars"))</f>
        <v>PASS</v>
      </c>
      <c r="P516" s="20" t="str">
        <f aca="false">IF(J516&gt;0,IF(J516&lt;5000,"PASS","FLAG - Review Price"),"FAIL - Zero Price")</f>
        <v>PASS</v>
      </c>
      <c r="Q516" s="20" t="str">
        <f aca="false">IF('Raw Catalog'!P514&lt;&gt;"","PASS","FAIL - No Image")</f>
        <v>PASS</v>
      </c>
      <c r="R516" s="20" t="str">
        <f aca="false">IF(F516&lt;&gt;"","PASS","FAIL - No Brand")</f>
        <v>PASS</v>
      </c>
      <c r="S516" s="20" t="str">
        <f aca="true">IF(K516="","FAIL - No Date",IF(TODAY()-DATEVALUE(K516)&lt;=180,"PASS","FLAG - Stale &gt;180d"))</f>
        <v>FLAG - Stale &gt;180d</v>
      </c>
      <c r="T516" s="20" t="n">
        <f aca="false">COUNTIF(M516:S516,"FAIL*")+COUNTIF(M516:S516,"FLAG*")</f>
        <v>1</v>
      </c>
      <c r="U516" s="20" t="str">
        <f aca="false">IF(T516=0,"CLEAN",IF(T516=1,"MINOR",IF(T516&lt;=3,"MODERATE","CRITICAL")))</f>
        <v>MINOR</v>
      </c>
      <c r="V516" s="20" t="str">
        <f aca="false">IF(U516="CLEAN","None",IF(U516="MINOR","Seller Notify",IF(U516="MODERATE","Listing Suspended","Immediate Removal")))</f>
        <v>Seller Notify</v>
      </c>
    </row>
    <row r="517" customFormat="false" ht="18" hidden="false" customHeight="true" outlineLevel="0" collapsed="false">
      <c r="A517" s="19" t="s">
        <v>6594</v>
      </c>
      <c r="B517" s="19" t="s">
        <v>3536</v>
      </c>
      <c r="C517" s="19" t="s">
        <v>113</v>
      </c>
      <c r="D517" s="19" t="s">
        <v>114</v>
      </c>
      <c r="E517" s="19" t="s">
        <v>50</v>
      </c>
      <c r="F517" s="19" t="s">
        <v>115</v>
      </c>
      <c r="G517" s="19" t="s">
        <v>3538</v>
      </c>
      <c r="H517" s="19" t="s">
        <v>3539</v>
      </c>
      <c r="I517" s="19" t="s">
        <v>3540</v>
      </c>
      <c r="J517" s="19" t="n">
        <v>944.58</v>
      </c>
      <c r="K517" s="19" t="s">
        <v>1894</v>
      </c>
      <c r="L517" s="19"/>
      <c r="M517" s="20" t="str">
        <f aca="false">IF(G517&lt;&gt;"","PASS","FAIL - Missing UPC")</f>
        <v>PASS</v>
      </c>
      <c r="N517" s="20" t="str">
        <f aca="false">IF(AND(G517&lt;&gt;"",H517&lt;&gt;""),IF("0"&amp;G517=H517,"PASS","FAIL - GTIN Mismatch"),"SKIP")</f>
        <v>PASS</v>
      </c>
      <c r="O517" s="20" t="str">
        <f aca="false">IF(I517="","FAIL - No Title",IF(LEN(I517)&lt;=126,"PASS","FAIL - Title &gt;"&amp;126&amp;" chars"))</f>
        <v>PASS</v>
      </c>
      <c r="P517" s="20" t="str">
        <f aca="false">IF(J517&gt;0,IF(J517&lt;5000,"PASS","FLAG - Review Price"),"FAIL - Zero Price")</f>
        <v>PASS</v>
      </c>
      <c r="Q517" s="20" t="str">
        <f aca="false">IF('Raw Catalog'!P515&lt;&gt;"","PASS","FAIL - No Image")</f>
        <v>PASS</v>
      </c>
      <c r="R517" s="20" t="str">
        <f aca="false">IF(F517&lt;&gt;"","PASS","FAIL - No Brand")</f>
        <v>PASS</v>
      </c>
      <c r="S517" s="20" t="str">
        <f aca="true">IF(K517="","FAIL - No Date",IF(TODAY()-DATEVALUE(K517)&lt;=180,"PASS","FLAG - Stale &gt;180d"))</f>
        <v>FLAG - Stale &gt;180d</v>
      </c>
      <c r="T517" s="20" t="n">
        <f aca="false">COUNTIF(M517:S517,"FAIL*")+COUNTIF(M517:S517,"FLAG*")</f>
        <v>1</v>
      </c>
      <c r="U517" s="20" t="str">
        <f aca="false">IF(T517=0,"CLEAN",IF(T517=1,"MINOR",IF(T517&lt;=3,"MODERATE","CRITICAL")))</f>
        <v>MINOR</v>
      </c>
      <c r="V517" s="20" t="str">
        <f aca="false">IF(U517="CLEAN","None",IF(U517="MINOR","Seller Notify",IF(U517="MODERATE","Listing Suspended","Immediate Removal")))</f>
        <v>Seller Notify</v>
      </c>
    </row>
    <row r="518" customFormat="false" ht="18" hidden="false" customHeight="true" outlineLevel="0" collapsed="false">
      <c r="A518" s="19" t="s">
        <v>6595</v>
      </c>
      <c r="B518" s="19" t="s">
        <v>3541</v>
      </c>
      <c r="C518" s="19" t="s">
        <v>255</v>
      </c>
      <c r="D518" s="19" t="s">
        <v>256</v>
      </c>
      <c r="E518" s="19" t="s">
        <v>161</v>
      </c>
      <c r="F518" s="19" t="s">
        <v>51</v>
      </c>
      <c r="G518" s="19" t="s">
        <v>3543</v>
      </c>
      <c r="H518" s="19" t="s">
        <v>3544</v>
      </c>
      <c r="I518" s="19" t="s">
        <v>3382</v>
      </c>
      <c r="J518" s="19" t="n">
        <v>199.48</v>
      </c>
      <c r="K518" s="19" t="s">
        <v>3546</v>
      </c>
      <c r="L518" s="19"/>
      <c r="M518" s="20" t="str">
        <f aca="false">IF(G518&lt;&gt;"","PASS","FAIL - Missing UPC")</f>
        <v>PASS</v>
      </c>
      <c r="N518" s="20" t="str">
        <f aca="false">IF(AND(G518&lt;&gt;"",H518&lt;&gt;""),IF("0"&amp;G518=H518,"PASS","FAIL - GTIN Mismatch"),"SKIP")</f>
        <v>PASS</v>
      </c>
      <c r="O518" s="20" t="str">
        <f aca="false">IF(I518="","FAIL - No Title",IF(LEN(I518)&lt;=126,"PASS","FAIL - Title &gt;"&amp;126&amp;" chars"))</f>
        <v>PASS</v>
      </c>
      <c r="P518" s="20" t="str">
        <f aca="false">IF(J518&gt;0,IF(J518&lt;5000,"PASS","FLAG - Review Price"),"FAIL - Zero Price")</f>
        <v>PASS</v>
      </c>
      <c r="Q518" s="20" t="str">
        <f aca="false">IF('Raw Catalog'!P516&lt;&gt;"","PASS","FAIL - No Image")</f>
        <v>PASS</v>
      </c>
      <c r="R518" s="20" t="str">
        <f aca="false">IF(F518&lt;&gt;"","PASS","FAIL - No Brand")</f>
        <v>PASS</v>
      </c>
      <c r="S518" s="20" t="str">
        <f aca="true">IF(K518="","FAIL - No Date",IF(TODAY()-DATEVALUE(K518)&lt;=180,"PASS","FLAG - Stale &gt;180d"))</f>
        <v>FLAG - Stale &gt;180d</v>
      </c>
      <c r="T518" s="20" t="n">
        <f aca="false">COUNTIF(M518:S518,"FAIL*")+COUNTIF(M518:S518,"FLAG*")</f>
        <v>1</v>
      </c>
      <c r="U518" s="20" t="str">
        <f aca="false">IF(T518=0,"CLEAN",IF(T518=1,"MINOR",IF(T518&lt;=3,"MODERATE","CRITICAL")))</f>
        <v>MINOR</v>
      </c>
      <c r="V518" s="20" t="str">
        <f aca="false">IF(U518="CLEAN","None",IF(U518="MINOR","Seller Notify",IF(U518="MODERATE","Listing Suspended","Immediate Removal")))</f>
        <v>Seller Notify</v>
      </c>
    </row>
    <row r="519" customFormat="false" ht="18" hidden="false" customHeight="true" outlineLevel="0" collapsed="false">
      <c r="A519" s="19" t="s">
        <v>6596</v>
      </c>
      <c r="B519" s="19" t="s">
        <v>3547</v>
      </c>
      <c r="C519" s="19" t="s">
        <v>159</v>
      </c>
      <c r="D519" s="19" t="s">
        <v>160</v>
      </c>
      <c r="E519" s="19" t="s">
        <v>79</v>
      </c>
      <c r="F519" s="19" t="s">
        <v>127</v>
      </c>
      <c r="G519" s="19" t="s">
        <v>3549</v>
      </c>
      <c r="H519" s="19" t="s">
        <v>3550</v>
      </c>
      <c r="I519" s="19" t="s">
        <v>3551</v>
      </c>
      <c r="J519" s="19" t="n">
        <v>2052.15</v>
      </c>
      <c r="K519" s="19" t="s">
        <v>3553</v>
      </c>
      <c r="L519" s="19"/>
      <c r="M519" s="20" t="str">
        <f aca="false">IF(G519&lt;&gt;"","PASS","FAIL - Missing UPC")</f>
        <v>PASS</v>
      </c>
      <c r="N519" s="20" t="str">
        <f aca="false">IF(AND(G519&lt;&gt;"",H519&lt;&gt;""),IF("0"&amp;G519=H519,"PASS","FAIL - GTIN Mismatch"),"SKIP")</f>
        <v>PASS</v>
      </c>
      <c r="O519" s="20" t="str">
        <f aca="false">IF(I519="","FAIL - No Title",IF(LEN(I519)&lt;=126,"PASS","FAIL - Title &gt;"&amp;126&amp;" chars"))</f>
        <v>PASS</v>
      </c>
      <c r="P519" s="20" t="str">
        <f aca="false">IF(J519&gt;0,IF(J519&lt;5000,"PASS","FLAG - Review Price"),"FAIL - Zero Price")</f>
        <v>PASS</v>
      </c>
      <c r="Q519" s="20" t="str">
        <f aca="false">IF('Raw Catalog'!P517&lt;&gt;"","PASS","FAIL - No Image")</f>
        <v>PASS</v>
      </c>
      <c r="R519" s="20" t="str">
        <f aca="false">IF(F519&lt;&gt;"","PASS","FAIL - No Brand")</f>
        <v>PASS</v>
      </c>
      <c r="S519" s="20" t="str">
        <f aca="true">IF(K519="","FAIL - No Date",IF(TODAY()-DATEVALUE(K519)&lt;=180,"PASS","FLAG - Stale &gt;180d"))</f>
        <v>FLAG - Stale &gt;180d</v>
      </c>
      <c r="T519" s="20" t="n">
        <f aca="false">COUNTIF(M519:S519,"FAIL*")+COUNTIF(M519:S519,"FLAG*")</f>
        <v>1</v>
      </c>
      <c r="U519" s="20" t="str">
        <f aca="false">IF(T519=0,"CLEAN",IF(T519=1,"MINOR",IF(T519&lt;=3,"MODERATE","CRITICAL")))</f>
        <v>MINOR</v>
      </c>
      <c r="V519" s="20" t="str">
        <f aca="false">IF(U519="CLEAN","None",IF(U519="MINOR","Seller Notify",IF(U519="MODERATE","Listing Suspended","Immediate Removal")))</f>
        <v>Seller Notify</v>
      </c>
    </row>
    <row r="520" customFormat="false" ht="18" hidden="false" customHeight="true" outlineLevel="0" collapsed="false">
      <c r="A520" s="19" t="s">
        <v>6597</v>
      </c>
      <c r="B520" s="19" t="s">
        <v>3554</v>
      </c>
      <c r="C520" s="19" t="s">
        <v>173</v>
      </c>
      <c r="D520" s="19" t="s">
        <v>174</v>
      </c>
      <c r="E520" s="19" t="s">
        <v>91</v>
      </c>
      <c r="F520" s="19" t="s">
        <v>780</v>
      </c>
      <c r="G520" s="19" t="s">
        <v>3556</v>
      </c>
      <c r="H520" s="19" t="s">
        <v>3557</v>
      </c>
      <c r="I520" s="19" t="s">
        <v>1162</v>
      </c>
      <c r="J520" s="19" t="n">
        <v>2223.28</v>
      </c>
      <c r="K520" s="19" t="s">
        <v>2527</v>
      </c>
      <c r="L520" s="19"/>
      <c r="M520" s="20" t="str">
        <f aca="false">IF(G520&lt;&gt;"","PASS","FAIL - Missing UPC")</f>
        <v>PASS</v>
      </c>
      <c r="N520" s="20" t="str">
        <f aca="false">IF(AND(G520&lt;&gt;"",H520&lt;&gt;""),IF("0"&amp;G520=H520,"PASS","FAIL - GTIN Mismatch"),"SKIP")</f>
        <v>PASS</v>
      </c>
      <c r="O520" s="20" t="str">
        <f aca="false">IF(I520="","FAIL - No Title",IF(LEN(I520)&lt;=126,"PASS","FAIL - Title &gt;"&amp;126&amp;" chars"))</f>
        <v>PASS</v>
      </c>
      <c r="P520" s="20" t="str">
        <f aca="false">IF(J520&gt;0,IF(J520&lt;5000,"PASS","FLAG - Review Price"),"FAIL - Zero Price")</f>
        <v>PASS</v>
      </c>
      <c r="Q520" s="20" t="str">
        <f aca="false">IF('Raw Catalog'!P518&lt;&gt;"","PASS","FAIL - No Image")</f>
        <v>PASS</v>
      </c>
      <c r="R520" s="20" t="str">
        <f aca="false">IF(F520&lt;&gt;"","PASS","FAIL - No Brand")</f>
        <v>PASS</v>
      </c>
      <c r="S520" s="20" t="str">
        <f aca="true">IF(K520="","FAIL - No Date",IF(TODAY()-DATEVALUE(K520)&lt;=180,"PASS","FLAG - Stale &gt;180d"))</f>
        <v>FLAG - Stale &gt;180d</v>
      </c>
      <c r="T520" s="20" t="n">
        <f aca="false">COUNTIF(M520:S520,"FAIL*")+COUNTIF(M520:S520,"FLAG*")</f>
        <v>1</v>
      </c>
      <c r="U520" s="20" t="str">
        <f aca="false">IF(T520=0,"CLEAN",IF(T520=1,"MINOR",IF(T520&lt;=3,"MODERATE","CRITICAL")))</f>
        <v>MINOR</v>
      </c>
      <c r="V520" s="20" t="str">
        <f aca="false">IF(U520="CLEAN","None",IF(U520="MINOR","Seller Notify",IF(U520="MODERATE","Listing Suspended","Immediate Removal")))</f>
        <v>Seller Notify</v>
      </c>
    </row>
    <row r="521" customFormat="false" ht="18" hidden="false" customHeight="true" outlineLevel="0" collapsed="false">
      <c r="A521" s="19" t="s">
        <v>6598</v>
      </c>
      <c r="B521" s="19" t="s">
        <v>3558</v>
      </c>
      <c r="C521" s="19" t="s">
        <v>159</v>
      </c>
      <c r="D521" s="19" t="s">
        <v>160</v>
      </c>
      <c r="E521" s="19" t="s">
        <v>79</v>
      </c>
      <c r="F521" s="19" t="s">
        <v>51</v>
      </c>
      <c r="G521" s="19" t="s">
        <v>3560</v>
      </c>
      <c r="H521" s="19" t="s">
        <v>3561</v>
      </c>
      <c r="I521" s="19" t="s">
        <v>3562</v>
      </c>
      <c r="J521" s="19" t="n">
        <v>1110.24</v>
      </c>
      <c r="K521" s="19" t="s">
        <v>1899</v>
      </c>
      <c r="L521" s="19"/>
      <c r="M521" s="20" t="str">
        <f aca="false">IF(G521&lt;&gt;"","PASS","FAIL - Missing UPC")</f>
        <v>PASS</v>
      </c>
      <c r="N521" s="20" t="str">
        <f aca="false">IF(AND(G521&lt;&gt;"",H521&lt;&gt;""),IF("0"&amp;G521=H521,"PASS","FAIL - GTIN Mismatch"),"SKIP")</f>
        <v>PASS</v>
      </c>
      <c r="O521" s="20" t="str">
        <f aca="false">IF(I521="","FAIL - No Title",IF(LEN(I521)&lt;=126,"PASS","FAIL - Title &gt;"&amp;126&amp;" chars"))</f>
        <v>PASS</v>
      </c>
      <c r="P521" s="20" t="str">
        <f aca="false">IF(J521&gt;0,IF(J521&lt;5000,"PASS","FLAG - Review Price"),"FAIL - Zero Price")</f>
        <v>PASS</v>
      </c>
      <c r="Q521" s="20" t="str">
        <f aca="false">IF('Raw Catalog'!P519&lt;&gt;"","PASS","FAIL - No Image")</f>
        <v>PASS</v>
      </c>
      <c r="R521" s="20" t="str">
        <f aca="false">IF(F521&lt;&gt;"","PASS","FAIL - No Brand")</f>
        <v>PASS</v>
      </c>
      <c r="S521" s="20" t="str">
        <f aca="true">IF(K521="","FAIL - No Date",IF(TODAY()-DATEVALUE(K521)&lt;=180,"PASS","FLAG - Stale &gt;180d"))</f>
        <v>FLAG - Stale &gt;180d</v>
      </c>
      <c r="T521" s="20" t="n">
        <f aca="false">COUNTIF(M521:S521,"FAIL*")+COUNTIF(M521:S521,"FLAG*")</f>
        <v>1</v>
      </c>
      <c r="U521" s="20" t="str">
        <f aca="false">IF(T521=0,"CLEAN",IF(T521=1,"MINOR",IF(T521&lt;=3,"MODERATE","CRITICAL")))</f>
        <v>MINOR</v>
      </c>
      <c r="V521" s="20" t="str">
        <f aca="false">IF(U521="CLEAN","None",IF(U521="MINOR","Seller Notify",IF(U521="MODERATE","Listing Suspended","Immediate Removal")))</f>
        <v>Seller Notify</v>
      </c>
    </row>
    <row r="522" customFormat="false" ht="18" hidden="false" customHeight="true" outlineLevel="0" collapsed="false">
      <c r="A522" s="19" t="s">
        <v>6599</v>
      </c>
      <c r="B522" s="19" t="s">
        <v>3564</v>
      </c>
      <c r="C522" s="19" t="s">
        <v>63</v>
      </c>
      <c r="D522" s="19" t="s">
        <v>64</v>
      </c>
      <c r="E522" s="19" t="s">
        <v>50</v>
      </c>
      <c r="F522" s="19" t="s">
        <v>115</v>
      </c>
      <c r="G522" s="19" t="s">
        <v>3566</v>
      </c>
      <c r="H522" s="19" t="s">
        <v>3567</v>
      </c>
      <c r="I522" s="19" t="s">
        <v>3568</v>
      </c>
      <c r="J522" s="19" t="n">
        <v>159.77</v>
      </c>
      <c r="K522" s="19" t="s">
        <v>157</v>
      </c>
      <c r="L522" s="19"/>
      <c r="M522" s="20" t="str">
        <f aca="false">IF(G522&lt;&gt;"","PASS","FAIL - Missing UPC")</f>
        <v>PASS</v>
      </c>
      <c r="N522" s="20" t="str">
        <f aca="false">IF(AND(G522&lt;&gt;"",H522&lt;&gt;""),IF("0"&amp;G522=H522,"PASS","FAIL - GTIN Mismatch"),"SKIP")</f>
        <v>PASS</v>
      </c>
      <c r="O522" s="20" t="str">
        <f aca="false">IF(I522="","FAIL - No Title",IF(LEN(I522)&lt;=126,"PASS","FAIL - Title &gt;"&amp;126&amp;" chars"))</f>
        <v>PASS</v>
      </c>
      <c r="P522" s="20" t="str">
        <f aca="false">IF(J522&gt;0,IF(J522&lt;5000,"PASS","FLAG - Review Price"),"FAIL - Zero Price")</f>
        <v>PASS</v>
      </c>
      <c r="Q522" s="20" t="str">
        <f aca="false">IF('Raw Catalog'!P520&lt;&gt;"","PASS","FAIL - No Image")</f>
        <v>PASS</v>
      </c>
      <c r="R522" s="20" t="str">
        <f aca="false">IF(F522&lt;&gt;"","PASS","FAIL - No Brand")</f>
        <v>PASS</v>
      </c>
      <c r="S522" s="20" t="str">
        <f aca="true">IF(K522="","FAIL - No Date",IF(TODAY()-DATEVALUE(K522)&lt;=180,"PASS","FLAG - Stale &gt;180d"))</f>
        <v>FLAG - Stale &gt;180d</v>
      </c>
      <c r="T522" s="20" t="n">
        <f aca="false">COUNTIF(M522:S522,"FAIL*")+COUNTIF(M522:S522,"FLAG*")</f>
        <v>1</v>
      </c>
      <c r="U522" s="20" t="str">
        <f aca="false">IF(T522=0,"CLEAN",IF(T522=1,"MINOR",IF(T522&lt;=3,"MODERATE","CRITICAL")))</f>
        <v>MINOR</v>
      </c>
      <c r="V522" s="20" t="str">
        <f aca="false">IF(U522="CLEAN","None",IF(U522="MINOR","Seller Notify",IF(U522="MODERATE","Listing Suspended","Immediate Removal")))</f>
        <v>Seller Notify</v>
      </c>
    </row>
    <row r="523" customFormat="false" ht="18" hidden="false" customHeight="true" outlineLevel="0" collapsed="false">
      <c r="A523" s="19" t="s">
        <v>6600</v>
      </c>
      <c r="B523" s="19" t="s">
        <v>3570</v>
      </c>
      <c r="C523" s="19" t="s">
        <v>255</v>
      </c>
      <c r="D523" s="19" t="s">
        <v>256</v>
      </c>
      <c r="E523" s="19" t="s">
        <v>91</v>
      </c>
      <c r="F523" s="19" t="s">
        <v>115</v>
      </c>
      <c r="G523" s="19" t="s">
        <v>3572</v>
      </c>
      <c r="H523" s="19" t="s">
        <v>3573</v>
      </c>
      <c r="I523" s="19" t="s">
        <v>3574</v>
      </c>
      <c r="J523" s="19" t="n">
        <v>566.24</v>
      </c>
      <c r="K523" s="19" t="s">
        <v>136</v>
      </c>
      <c r="L523" s="21" t="s">
        <v>453</v>
      </c>
      <c r="M523" s="20" t="str">
        <f aca="false">IF(G523&lt;&gt;"","PASS","FAIL - Missing UPC")</f>
        <v>PASS</v>
      </c>
      <c r="N523" s="20" t="str">
        <f aca="false">IF(AND(G523&lt;&gt;"",H523&lt;&gt;""),IF("0"&amp;G523=H523,"PASS","FAIL - GTIN Mismatch"),"SKIP")</f>
        <v>PASS</v>
      </c>
      <c r="O523" s="20" t="str">
        <f aca="false">IF(I523="","FAIL - No Title",IF(LEN(I523)&lt;=126,"PASS","FAIL - Title &gt;"&amp;126&amp;" chars"))</f>
        <v>PASS</v>
      </c>
      <c r="P523" s="20" t="str">
        <f aca="false">IF(J523&gt;0,IF(J523&lt;5000,"PASS","FLAG - Review Price"),"FAIL - Zero Price")</f>
        <v>PASS</v>
      </c>
      <c r="Q523" s="20" t="str">
        <f aca="false">IF('Raw Catalog'!P521&lt;&gt;"","PASS","FAIL - No Image")</f>
        <v>PASS</v>
      </c>
      <c r="R523" s="20" t="str">
        <f aca="false">IF(F523&lt;&gt;"","PASS","FAIL - No Brand")</f>
        <v>PASS</v>
      </c>
      <c r="S523" s="20" t="str">
        <f aca="true">IF(K523="","FAIL - No Date",IF(TODAY()-DATEVALUE(K523)&lt;=180,"PASS","FLAG - Stale &gt;180d"))</f>
        <v>FLAG - Stale &gt;180d</v>
      </c>
      <c r="T523" s="20" t="n">
        <f aca="false">COUNTIF(M523:S523,"FAIL*")+COUNTIF(M523:S523,"FLAG*")</f>
        <v>1</v>
      </c>
      <c r="U523" s="20" t="str">
        <f aca="false">IF(T523=0,"CLEAN",IF(T523=1,"MINOR",IF(T523&lt;=3,"MODERATE","CRITICAL")))</f>
        <v>MINOR</v>
      </c>
      <c r="V523" s="20" t="str">
        <f aca="false">IF(U523="CLEAN","None",IF(U523="MINOR","Seller Notify",IF(U523="MODERATE","Listing Suspended","Immediate Removal")))</f>
        <v>Seller Notify</v>
      </c>
    </row>
    <row r="524" customFormat="false" ht="18" hidden="false" customHeight="true" outlineLevel="0" collapsed="false">
      <c r="A524" s="19" t="s">
        <v>6601</v>
      </c>
      <c r="B524" s="19" t="s">
        <v>3575</v>
      </c>
      <c r="C524" s="19" t="s">
        <v>173</v>
      </c>
      <c r="D524" s="19" t="s">
        <v>174</v>
      </c>
      <c r="E524" s="19" t="s">
        <v>161</v>
      </c>
      <c r="F524" s="19" t="s">
        <v>822</v>
      </c>
      <c r="G524" s="19" t="s">
        <v>3577</v>
      </c>
      <c r="H524" s="19" t="s">
        <v>3578</v>
      </c>
      <c r="I524" s="19" t="s">
        <v>3579</v>
      </c>
      <c r="J524" s="19" t="n">
        <v>52.89</v>
      </c>
      <c r="K524" s="19" t="s">
        <v>653</v>
      </c>
      <c r="L524" s="19"/>
      <c r="M524" s="20" t="str">
        <f aca="false">IF(G524&lt;&gt;"","PASS","FAIL - Missing UPC")</f>
        <v>PASS</v>
      </c>
      <c r="N524" s="20" t="str">
        <f aca="false">IF(AND(G524&lt;&gt;"",H524&lt;&gt;""),IF("0"&amp;G524=H524,"PASS","FAIL - GTIN Mismatch"),"SKIP")</f>
        <v>PASS</v>
      </c>
      <c r="O524" s="20" t="str">
        <f aca="false">IF(I524="","FAIL - No Title",IF(LEN(I524)&lt;=126,"PASS","FAIL - Title &gt;"&amp;126&amp;" chars"))</f>
        <v>PASS</v>
      </c>
      <c r="P524" s="20" t="str">
        <f aca="false">IF(J524&gt;0,IF(J524&lt;5000,"PASS","FLAG - Review Price"),"FAIL - Zero Price")</f>
        <v>PASS</v>
      </c>
      <c r="Q524" s="20" t="str">
        <f aca="false">IF('Raw Catalog'!P522&lt;&gt;"","PASS","FAIL - No Image")</f>
        <v>PASS</v>
      </c>
      <c r="R524" s="20" t="str">
        <f aca="false">IF(F524&lt;&gt;"","PASS","FAIL - No Brand")</f>
        <v>PASS</v>
      </c>
      <c r="S524" s="20" t="str">
        <f aca="true">IF(K524="","FAIL - No Date",IF(TODAY()-DATEVALUE(K524)&lt;=180,"PASS","FLAG - Stale &gt;180d"))</f>
        <v>FLAG - Stale &gt;180d</v>
      </c>
      <c r="T524" s="20" t="n">
        <f aca="false">COUNTIF(M524:S524,"FAIL*")+COUNTIF(M524:S524,"FLAG*")</f>
        <v>1</v>
      </c>
      <c r="U524" s="20" t="str">
        <f aca="false">IF(T524=0,"CLEAN",IF(T524=1,"MINOR",IF(T524&lt;=3,"MODERATE","CRITICAL")))</f>
        <v>MINOR</v>
      </c>
      <c r="V524" s="20" t="str">
        <f aca="false">IF(U524="CLEAN","None",IF(U524="MINOR","Seller Notify",IF(U524="MODERATE","Listing Suspended","Immediate Removal")))</f>
        <v>Seller Notify</v>
      </c>
    </row>
    <row r="525" customFormat="false" ht="18" hidden="false" customHeight="true" outlineLevel="0" collapsed="false">
      <c r="A525" s="19" t="s">
        <v>6602</v>
      </c>
      <c r="B525" s="19" t="s">
        <v>3580</v>
      </c>
      <c r="C525" s="19" t="s">
        <v>255</v>
      </c>
      <c r="D525" s="19" t="s">
        <v>256</v>
      </c>
      <c r="E525" s="19" t="s">
        <v>50</v>
      </c>
      <c r="F525" s="19" t="s">
        <v>138</v>
      </c>
      <c r="G525" s="19" t="s">
        <v>3582</v>
      </c>
      <c r="H525" s="19" t="s">
        <v>3583</v>
      </c>
      <c r="I525" s="19" t="s">
        <v>3584</v>
      </c>
      <c r="J525" s="19" t="n">
        <v>287.53</v>
      </c>
      <c r="K525" s="19" t="s">
        <v>3400</v>
      </c>
      <c r="L525" s="19"/>
      <c r="M525" s="20" t="str">
        <f aca="false">IF(G525&lt;&gt;"","PASS","FAIL - Missing UPC")</f>
        <v>PASS</v>
      </c>
      <c r="N525" s="20" t="str">
        <f aca="false">IF(AND(G525&lt;&gt;"",H525&lt;&gt;""),IF("0"&amp;G525=H525,"PASS","FAIL - GTIN Mismatch"),"SKIP")</f>
        <v>PASS</v>
      </c>
      <c r="O525" s="20" t="str">
        <f aca="false">IF(I525="","FAIL - No Title",IF(LEN(I525)&lt;=126,"PASS","FAIL - Title &gt;"&amp;126&amp;" chars"))</f>
        <v>PASS</v>
      </c>
      <c r="P525" s="20" t="str">
        <f aca="false">IF(J525&gt;0,IF(J525&lt;5000,"PASS","FLAG - Review Price"),"FAIL - Zero Price")</f>
        <v>PASS</v>
      </c>
      <c r="Q525" s="20" t="str">
        <f aca="false">IF('Raw Catalog'!P523&lt;&gt;"","PASS","FAIL - No Image")</f>
        <v>PASS</v>
      </c>
      <c r="R525" s="20" t="str">
        <f aca="false">IF(F525&lt;&gt;"","PASS","FAIL - No Brand")</f>
        <v>PASS</v>
      </c>
      <c r="S525" s="20" t="str">
        <f aca="true">IF(K525="","FAIL - No Date",IF(TODAY()-DATEVALUE(K525)&lt;=180,"PASS","FLAG - Stale &gt;180d"))</f>
        <v>FLAG - Stale &gt;180d</v>
      </c>
      <c r="T525" s="20" t="n">
        <f aca="false">COUNTIF(M525:S525,"FAIL*")+COUNTIF(M525:S525,"FLAG*")</f>
        <v>1</v>
      </c>
      <c r="U525" s="20" t="str">
        <f aca="false">IF(T525=0,"CLEAN",IF(T525=1,"MINOR",IF(T525&lt;=3,"MODERATE","CRITICAL")))</f>
        <v>MINOR</v>
      </c>
      <c r="V525" s="20" t="str">
        <f aca="false">IF(U525="CLEAN","None",IF(U525="MINOR","Seller Notify",IF(U525="MODERATE","Listing Suspended","Immediate Removal")))</f>
        <v>Seller Notify</v>
      </c>
    </row>
    <row r="526" customFormat="false" ht="18" hidden="false" customHeight="true" outlineLevel="0" collapsed="false">
      <c r="A526" s="19" t="s">
        <v>6603</v>
      </c>
      <c r="B526" s="19" t="s">
        <v>3586</v>
      </c>
      <c r="C526" s="19" t="s">
        <v>125</v>
      </c>
      <c r="D526" s="19" t="s">
        <v>126</v>
      </c>
      <c r="E526" s="19" t="s">
        <v>91</v>
      </c>
      <c r="F526" s="19" t="s">
        <v>587</v>
      </c>
      <c r="G526" s="19" t="s">
        <v>3588</v>
      </c>
      <c r="H526" s="19" t="s">
        <v>3589</v>
      </c>
      <c r="I526" s="19" t="s">
        <v>3590</v>
      </c>
      <c r="J526" s="19" t="n">
        <v>1375.55</v>
      </c>
      <c r="K526" s="19" t="s">
        <v>838</v>
      </c>
      <c r="L526" s="19"/>
      <c r="M526" s="20" t="str">
        <f aca="false">IF(G526&lt;&gt;"","PASS","FAIL - Missing UPC")</f>
        <v>PASS</v>
      </c>
      <c r="N526" s="20" t="str">
        <f aca="false">IF(AND(G526&lt;&gt;"",H526&lt;&gt;""),IF("0"&amp;G526=H526,"PASS","FAIL - GTIN Mismatch"),"SKIP")</f>
        <v>PASS</v>
      </c>
      <c r="O526" s="20" t="str">
        <f aca="false">IF(I526="","FAIL - No Title",IF(LEN(I526)&lt;=126,"PASS","FAIL - Title &gt;"&amp;126&amp;" chars"))</f>
        <v>PASS</v>
      </c>
      <c r="P526" s="20" t="str">
        <f aca="false">IF(J526&gt;0,IF(J526&lt;5000,"PASS","FLAG - Review Price"),"FAIL - Zero Price")</f>
        <v>PASS</v>
      </c>
      <c r="Q526" s="20" t="str">
        <f aca="false">IF('Raw Catalog'!P524&lt;&gt;"","PASS","FAIL - No Image")</f>
        <v>PASS</v>
      </c>
      <c r="R526" s="20" t="str">
        <f aca="false">IF(F526&lt;&gt;"","PASS","FAIL - No Brand")</f>
        <v>PASS</v>
      </c>
      <c r="S526" s="20" t="str">
        <f aca="true">IF(K526="","FAIL - No Date",IF(TODAY()-DATEVALUE(K526)&lt;=180,"PASS","FLAG - Stale &gt;180d"))</f>
        <v>FLAG - Stale &gt;180d</v>
      </c>
      <c r="T526" s="20" t="n">
        <f aca="false">COUNTIF(M526:S526,"FAIL*")+COUNTIF(M526:S526,"FLAG*")</f>
        <v>1</v>
      </c>
      <c r="U526" s="20" t="str">
        <f aca="false">IF(T526=0,"CLEAN",IF(T526=1,"MINOR",IF(T526&lt;=3,"MODERATE","CRITICAL")))</f>
        <v>MINOR</v>
      </c>
      <c r="V526" s="20" t="str">
        <f aca="false">IF(U526="CLEAN","None",IF(U526="MINOR","Seller Notify",IF(U526="MODERATE","Listing Suspended","Immediate Removal")))</f>
        <v>Seller Notify</v>
      </c>
    </row>
    <row r="527" customFormat="false" ht="18" hidden="false" customHeight="true" outlineLevel="0" collapsed="false">
      <c r="A527" s="19" t="s">
        <v>6604</v>
      </c>
      <c r="B527" s="19" t="s">
        <v>3591</v>
      </c>
      <c r="C527" s="19" t="s">
        <v>48</v>
      </c>
      <c r="D527" s="19" t="s">
        <v>49</v>
      </c>
      <c r="E527" s="19" t="s">
        <v>79</v>
      </c>
      <c r="F527" s="19" t="s">
        <v>196</v>
      </c>
      <c r="G527" s="19" t="s">
        <v>3593</v>
      </c>
      <c r="H527" s="19" t="s">
        <v>3594</v>
      </c>
      <c r="I527" s="19" t="s">
        <v>3595</v>
      </c>
      <c r="J527" s="19" t="n">
        <v>1475.53</v>
      </c>
      <c r="K527" s="19" t="s">
        <v>3022</v>
      </c>
      <c r="L527" s="19"/>
      <c r="M527" s="20" t="str">
        <f aca="false">IF(G527&lt;&gt;"","PASS","FAIL - Missing UPC")</f>
        <v>PASS</v>
      </c>
      <c r="N527" s="20" t="str">
        <f aca="false">IF(AND(G527&lt;&gt;"",H527&lt;&gt;""),IF("0"&amp;G527=H527,"PASS","FAIL - GTIN Mismatch"),"SKIP")</f>
        <v>PASS</v>
      </c>
      <c r="O527" s="20" t="str">
        <f aca="false">IF(I527="","FAIL - No Title",IF(LEN(I527)&lt;=126,"PASS","FAIL - Title &gt;"&amp;126&amp;" chars"))</f>
        <v>PASS</v>
      </c>
      <c r="P527" s="20" t="str">
        <f aca="false">IF(J527&gt;0,IF(J527&lt;5000,"PASS","FLAG - Review Price"),"FAIL - Zero Price")</f>
        <v>PASS</v>
      </c>
      <c r="Q527" s="20" t="str">
        <f aca="false">IF('Raw Catalog'!P525&lt;&gt;"","PASS","FAIL - No Image")</f>
        <v>PASS</v>
      </c>
      <c r="R527" s="20" t="str">
        <f aca="false">IF(F527&lt;&gt;"","PASS","FAIL - No Brand")</f>
        <v>PASS</v>
      </c>
      <c r="S527" s="20" t="str">
        <f aca="true">IF(K527="","FAIL - No Date",IF(TODAY()-DATEVALUE(K527)&lt;=180,"PASS","FLAG - Stale &gt;180d"))</f>
        <v>FLAG - Stale &gt;180d</v>
      </c>
      <c r="T527" s="20" t="n">
        <f aca="false">COUNTIF(M527:S527,"FAIL*")+COUNTIF(M527:S527,"FLAG*")</f>
        <v>1</v>
      </c>
      <c r="U527" s="20" t="str">
        <f aca="false">IF(T527=0,"CLEAN",IF(T527=1,"MINOR",IF(T527&lt;=3,"MODERATE","CRITICAL")))</f>
        <v>MINOR</v>
      </c>
      <c r="V527" s="20" t="str">
        <f aca="false">IF(U527="CLEAN","None",IF(U527="MINOR","Seller Notify",IF(U527="MODERATE","Listing Suspended","Immediate Removal")))</f>
        <v>Seller Notify</v>
      </c>
    </row>
    <row r="528" customFormat="false" ht="18" hidden="false" customHeight="true" outlineLevel="0" collapsed="false">
      <c r="A528" s="19" t="s">
        <v>6605</v>
      </c>
      <c r="B528" s="19" t="s">
        <v>3598</v>
      </c>
      <c r="C528" s="19" t="s">
        <v>125</v>
      </c>
      <c r="D528" s="19" t="s">
        <v>126</v>
      </c>
      <c r="E528" s="19" t="s">
        <v>161</v>
      </c>
      <c r="F528" s="19" t="s">
        <v>185</v>
      </c>
      <c r="G528" s="19" t="s">
        <v>3600</v>
      </c>
      <c r="H528" s="19" t="s">
        <v>3601</v>
      </c>
      <c r="I528" s="19" t="s">
        <v>3602</v>
      </c>
      <c r="J528" s="19" t="n">
        <v>102.59</v>
      </c>
      <c r="K528" s="19" t="s">
        <v>2576</v>
      </c>
      <c r="L528" s="19"/>
      <c r="M528" s="20" t="str">
        <f aca="false">IF(G528&lt;&gt;"","PASS","FAIL - Missing UPC")</f>
        <v>PASS</v>
      </c>
      <c r="N528" s="20" t="str">
        <f aca="false">IF(AND(G528&lt;&gt;"",H528&lt;&gt;""),IF("0"&amp;G528=H528,"PASS","FAIL - GTIN Mismatch"),"SKIP")</f>
        <v>PASS</v>
      </c>
      <c r="O528" s="20" t="str">
        <f aca="false">IF(I528="","FAIL - No Title",IF(LEN(I528)&lt;=126,"PASS","FAIL - Title &gt;"&amp;126&amp;" chars"))</f>
        <v>PASS</v>
      </c>
      <c r="P528" s="20" t="str">
        <f aca="false">IF(J528&gt;0,IF(J528&lt;5000,"PASS","FLAG - Review Price"),"FAIL - Zero Price")</f>
        <v>PASS</v>
      </c>
      <c r="Q528" s="20" t="str">
        <f aca="false">IF('Raw Catalog'!P526&lt;&gt;"","PASS","FAIL - No Image")</f>
        <v>PASS</v>
      </c>
      <c r="R528" s="20" t="str">
        <f aca="false">IF(F528&lt;&gt;"","PASS","FAIL - No Brand")</f>
        <v>PASS</v>
      </c>
      <c r="S528" s="20" t="str">
        <f aca="true">IF(K528="","FAIL - No Date",IF(TODAY()-DATEVALUE(K528)&lt;=180,"PASS","FLAG - Stale &gt;180d"))</f>
        <v>FLAG - Stale &gt;180d</v>
      </c>
      <c r="T528" s="20" t="n">
        <f aca="false">COUNTIF(M528:S528,"FAIL*")+COUNTIF(M528:S528,"FLAG*")</f>
        <v>1</v>
      </c>
      <c r="U528" s="20" t="str">
        <f aca="false">IF(T528=0,"CLEAN",IF(T528=1,"MINOR",IF(T528&lt;=3,"MODERATE","CRITICAL")))</f>
        <v>MINOR</v>
      </c>
      <c r="V528" s="20" t="str">
        <f aca="false">IF(U528="CLEAN","None",IF(U528="MINOR","Seller Notify",IF(U528="MODERATE","Listing Suspended","Immediate Removal")))</f>
        <v>Seller Notify</v>
      </c>
    </row>
    <row r="529" customFormat="false" ht="18" hidden="false" customHeight="true" outlineLevel="0" collapsed="false">
      <c r="A529" s="19" t="s">
        <v>6606</v>
      </c>
      <c r="B529" s="19" t="s">
        <v>3603</v>
      </c>
      <c r="C529" s="19" t="s">
        <v>255</v>
      </c>
      <c r="D529" s="19" t="s">
        <v>256</v>
      </c>
      <c r="E529" s="19" t="s">
        <v>65</v>
      </c>
      <c r="F529" s="19" t="s">
        <v>390</v>
      </c>
      <c r="G529" s="19" t="s">
        <v>3605</v>
      </c>
      <c r="H529" s="19" t="s">
        <v>3606</v>
      </c>
      <c r="I529" s="19" t="s">
        <v>3607</v>
      </c>
      <c r="J529" s="19" t="n">
        <v>352.7</v>
      </c>
      <c r="K529" s="19" t="s">
        <v>1973</v>
      </c>
      <c r="L529" s="21" t="s">
        <v>778</v>
      </c>
      <c r="M529" s="20" t="str">
        <f aca="false">IF(G529&lt;&gt;"","PASS","FAIL - Missing UPC")</f>
        <v>PASS</v>
      </c>
      <c r="N529" s="20" t="str">
        <f aca="false">IF(AND(G529&lt;&gt;"",H529&lt;&gt;""),IF("0"&amp;G529=H529,"PASS","FAIL - GTIN Mismatch"),"SKIP")</f>
        <v>PASS</v>
      </c>
      <c r="O529" s="20" t="str">
        <f aca="false">IF(I529="","FAIL - No Title",IF(LEN(I529)&lt;=126,"PASS","FAIL - Title &gt;"&amp;126&amp;" chars"))</f>
        <v>PASS</v>
      </c>
      <c r="P529" s="20" t="str">
        <f aca="false">IF(J529&gt;0,IF(J529&lt;5000,"PASS","FLAG - Review Price"),"FAIL - Zero Price")</f>
        <v>PASS</v>
      </c>
      <c r="Q529" s="20" t="str">
        <f aca="false">IF('Raw Catalog'!P527&lt;&gt;"","PASS","FAIL - No Image")</f>
        <v>PASS</v>
      </c>
      <c r="R529" s="20" t="str">
        <f aca="false">IF(F529&lt;&gt;"","PASS","FAIL - No Brand")</f>
        <v>PASS</v>
      </c>
      <c r="S529" s="20" t="str">
        <f aca="true">IF(K529="","FAIL - No Date",IF(TODAY()-DATEVALUE(K529)&lt;=180,"PASS","FLAG - Stale &gt;180d"))</f>
        <v>FLAG - Stale &gt;180d</v>
      </c>
      <c r="T529" s="20" t="n">
        <f aca="false">COUNTIF(M529:S529,"FAIL*")+COUNTIF(M529:S529,"FLAG*")</f>
        <v>1</v>
      </c>
      <c r="U529" s="20" t="str">
        <f aca="false">IF(T529=0,"CLEAN",IF(T529=1,"MINOR",IF(T529&lt;=3,"MODERATE","CRITICAL")))</f>
        <v>MINOR</v>
      </c>
      <c r="V529" s="20" t="str">
        <f aca="false">IF(U529="CLEAN","None",IF(U529="MINOR","Seller Notify",IF(U529="MODERATE","Listing Suspended","Immediate Removal")))</f>
        <v>Seller Notify</v>
      </c>
    </row>
    <row r="530" customFormat="false" ht="18" hidden="false" customHeight="true" outlineLevel="0" collapsed="false">
      <c r="A530" s="19" t="s">
        <v>6607</v>
      </c>
      <c r="B530" s="19" t="s">
        <v>3609</v>
      </c>
      <c r="C530" s="19" t="s">
        <v>77</v>
      </c>
      <c r="D530" s="19" t="s">
        <v>78</v>
      </c>
      <c r="E530" s="19" t="s">
        <v>91</v>
      </c>
      <c r="F530" s="19" t="s">
        <v>138</v>
      </c>
      <c r="G530" s="19" t="s">
        <v>3611</v>
      </c>
      <c r="H530" s="19" t="s">
        <v>3612</v>
      </c>
      <c r="I530" s="19" t="s">
        <v>3613</v>
      </c>
      <c r="J530" s="19" t="n">
        <v>1078.96</v>
      </c>
      <c r="K530" s="19" t="s">
        <v>2663</v>
      </c>
      <c r="L530" s="21" t="s">
        <v>1107</v>
      </c>
      <c r="M530" s="20" t="str">
        <f aca="false">IF(G530&lt;&gt;"","PASS","FAIL - Missing UPC")</f>
        <v>PASS</v>
      </c>
      <c r="N530" s="20" t="str">
        <f aca="false">IF(AND(G530&lt;&gt;"",H530&lt;&gt;""),IF("0"&amp;G530=H530,"PASS","FAIL - GTIN Mismatch"),"SKIP")</f>
        <v>PASS</v>
      </c>
      <c r="O530" s="20" t="str">
        <f aca="false">IF(I530="","FAIL - No Title",IF(LEN(I530)&lt;=126,"PASS","FAIL - Title &gt;"&amp;126&amp;" chars"))</f>
        <v>PASS</v>
      </c>
      <c r="P530" s="20" t="str">
        <f aca="false">IF(J530&gt;0,IF(J530&lt;5000,"PASS","FLAG - Review Price"),"FAIL - Zero Price")</f>
        <v>PASS</v>
      </c>
      <c r="Q530" s="20" t="str">
        <f aca="false">IF('Raw Catalog'!P528&lt;&gt;"","PASS","FAIL - No Image")</f>
        <v>PASS</v>
      </c>
      <c r="R530" s="20" t="str">
        <f aca="false">IF(F530&lt;&gt;"","PASS","FAIL - No Brand")</f>
        <v>PASS</v>
      </c>
      <c r="S530" s="20" t="str">
        <f aca="true">IF(K530="","FAIL - No Date",IF(TODAY()-DATEVALUE(K530)&lt;=180,"PASS","FLAG - Stale &gt;180d"))</f>
        <v>FLAG - Stale &gt;180d</v>
      </c>
      <c r="T530" s="20" t="n">
        <f aca="false">COUNTIF(M530:S530,"FAIL*")+COUNTIF(M530:S530,"FLAG*")</f>
        <v>1</v>
      </c>
      <c r="U530" s="20" t="str">
        <f aca="false">IF(T530=0,"CLEAN",IF(T530=1,"MINOR",IF(T530&lt;=3,"MODERATE","CRITICAL")))</f>
        <v>MINOR</v>
      </c>
      <c r="V530" s="20" t="str">
        <f aca="false">IF(U530="CLEAN","None",IF(U530="MINOR","Seller Notify",IF(U530="MODERATE","Listing Suspended","Immediate Removal")))</f>
        <v>Seller Notify</v>
      </c>
    </row>
    <row r="531" customFormat="false" ht="18" hidden="false" customHeight="true" outlineLevel="0" collapsed="false">
      <c r="A531" s="19" t="s">
        <v>6608</v>
      </c>
      <c r="B531" s="19" t="s">
        <v>3615</v>
      </c>
      <c r="C531" s="19" t="s">
        <v>63</v>
      </c>
      <c r="D531" s="19" t="s">
        <v>64</v>
      </c>
      <c r="E531" s="19" t="s">
        <v>79</v>
      </c>
      <c r="F531" s="19" t="s">
        <v>513</v>
      </c>
      <c r="G531" s="19" t="s">
        <v>3617</v>
      </c>
      <c r="H531" s="19" t="s">
        <v>3618</v>
      </c>
      <c r="I531" s="19" t="s">
        <v>3619</v>
      </c>
      <c r="J531" s="19" t="n">
        <v>813.99</v>
      </c>
      <c r="K531" s="19" t="s">
        <v>576</v>
      </c>
      <c r="L531" s="19"/>
      <c r="M531" s="20" t="str">
        <f aca="false">IF(G531&lt;&gt;"","PASS","FAIL - Missing UPC")</f>
        <v>PASS</v>
      </c>
      <c r="N531" s="20" t="str">
        <f aca="false">IF(AND(G531&lt;&gt;"",H531&lt;&gt;""),IF("0"&amp;G531=H531,"PASS","FAIL - GTIN Mismatch"),"SKIP")</f>
        <v>PASS</v>
      </c>
      <c r="O531" s="20" t="str">
        <f aca="false">IF(I531="","FAIL - No Title",IF(LEN(I531)&lt;=126,"PASS","FAIL - Title &gt;"&amp;126&amp;" chars"))</f>
        <v>PASS</v>
      </c>
      <c r="P531" s="20" t="str">
        <f aca="false">IF(J531&gt;0,IF(J531&lt;5000,"PASS","FLAG - Review Price"),"FAIL - Zero Price")</f>
        <v>PASS</v>
      </c>
      <c r="Q531" s="20" t="str">
        <f aca="false">IF('Raw Catalog'!P529&lt;&gt;"","PASS","FAIL - No Image")</f>
        <v>PASS</v>
      </c>
      <c r="R531" s="20" t="str">
        <f aca="false">IF(F531&lt;&gt;"","PASS","FAIL - No Brand")</f>
        <v>PASS</v>
      </c>
      <c r="S531" s="20" t="str">
        <f aca="true">IF(K531="","FAIL - No Date",IF(TODAY()-DATEVALUE(K531)&lt;=180,"PASS","FLAG - Stale &gt;180d"))</f>
        <v>FLAG - Stale &gt;180d</v>
      </c>
      <c r="T531" s="20" t="n">
        <f aca="false">COUNTIF(M531:S531,"FAIL*")+COUNTIF(M531:S531,"FLAG*")</f>
        <v>1</v>
      </c>
      <c r="U531" s="20" t="str">
        <f aca="false">IF(T531=0,"CLEAN",IF(T531=1,"MINOR",IF(T531&lt;=3,"MODERATE","CRITICAL")))</f>
        <v>MINOR</v>
      </c>
      <c r="V531" s="20" t="str">
        <f aca="false">IF(U531="CLEAN","None",IF(U531="MINOR","Seller Notify",IF(U531="MODERATE","Listing Suspended","Immediate Removal")))</f>
        <v>Seller Notify</v>
      </c>
    </row>
    <row r="532" customFormat="false" ht="18" hidden="false" customHeight="true" outlineLevel="0" collapsed="false">
      <c r="A532" s="19" t="s">
        <v>6609</v>
      </c>
      <c r="B532" s="19" t="s">
        <v>3621</v>
      </c>
      <c r="C532" s="19" t="s">
        <v>159</v>
      </c>
      <c r="D532" s="19" t="s">
        <v>160</v>
      </c>
      <c r="E532" s="19" t="s">
        <v>79</v>
      </c>
      <c r="F532" s="19" t="s">
        <v>956</v>
      </c>
      <c r="G532" s="19" t="s">
        <v>3623</v>
      </c>
      <c r="H532" s="19" t="s">
        <v>3624</v>
      </c>
      <c r="I532" s="19" t="s">
        <v>3625</v>
      </c>
      <c r="J532" s="19" t="n">
        <v>677.27</v>
      </c>
      <c r="K532" s="19" t="s">
        <v>1393</v>
      </c>
      <c r="L532" s="19"/>
      <c r="M532" s="20" t="str">
        <f aca="false">IF(G532&lt;&gt;"","PASS","FAIL - Missing UPC")</f>
        <v>PASS</v>
      </c>
      <c r="N532" s="20" t="str">
        <f aca="false">IF(AND(G532&lt;&gt;"",H532&lt;&gt;""),IF("0"&amp;G532=H532,"PASS","FAIL - GTIN Mismatch"),"SKIP")</f>
        <v>PASS</v>
      </c>
      <c r="O532" s="20" t="str">
        <f aca="false">IF(I532="","FAIL - No Title",IF(LEN(I532)&lt;=126,"PASS","FAIL - Title &gt;"&amp;126&amp;" chars"))</f>
        <v>PASS</v>
      </c>
      <c r="P532" s="20" t="str">
        <f aca="false">IF(J532&gt;0,IF(J532&lt;5000,"PASS","FLAG - Review Price"),"FAIL - Zero Price")</f>
        <v>PASS</v>
      </c>
      <c r="Q532" s="20" t="str">
        <f aca="false">IF('Raw Catalog'!P530&lt;&gt;"","PASS","FAIL - No Image")</f>
        <v>PASS</v>
      </c>
      <c r="R532" s="20" t="str">
        <f aca="false">IF(F532&lt;&gt;"","PASS","FAIL - No Brand")</f>
        <v>PASS</v>
      </c>
      <c r="S532" s="20" t="str">
        <f aca="true">IF(K532="","FAIL - No Date",IF(TODAY()-DATEVALUE(K532)&lt;=180,"PASS","FLAG - Stale &gt;180d"))</f>
        <v>FLAG - Stale &gt;180d</v>
      </c>
      <c r="T532" s="20" t="n">
        <f aca="false">COUNTIF(M532:S532,"FAIL*")+COUNTIF(M532:S532,"FLAG*")</f>
        <v>1</v>
      </c>
      <c r="U532" s="20" t="str">
        <f aca="false">IF(T532=0,"CLEAN",IF(T532=1,"MINOR",IF(T532&lt;=3,"MODERATE","CRITICAL")))</f>
        <v>MINOR</v>
      </c>
      <c r="V532" s="20" t="str">
        <f aca="false">IF(U532="CLEAN","None",IF(U532="MINOR","Seller Notify",IF(U532="MODERATE","Listing Suspended","Immediate Removal")))</f>
        <v>Seller Notify</v>
      </c>
    </row>
    <row r="533" customFormat="false" ht="18" hidden="false" customHeight="true" outlineLevel="0" collapsed="false">
      <c r="A533" s="19" t="s">
        <v>6610</v>
      </c>
      <c r="B533" s="19" t="s">
        <v>3626</v>
      </c>
      <c r="C533" s="19" t="s">
        <v>173</v>
      </c>
      <c r="D533" s="19" t="s">
        <v>174</v>
      </c>
      <c r="E533" s="19" t="s">
        <v>161</v>
      </c>
      <c r="F533" s="19" t="s">
        <v>162</v>
      </c>
      <c r="G533" s="19" t="s">
        <v>3628</v>
      </c>
      <c r="H533" s="19" t="s">
        <v>3629</v>
      </c>
      <c r="I533" s="19" t="s">
        <v>3630</v>
      </c>
      <c r="J533" s="19" t="n">
        <v>361.62</v>
      </c>
      <c r="K533" s="19" t="s">
        <v>3631</v>
      </c>
      <c r="L533" s="21" t="s">
        <v>325</v>
      </c>
      <c r="M533" s="20" t="str">
        <f aca="false">IF(G533&lt;&gt;"","PASS","FAIL - Missing UPC")</f>
        <v>PASS</v>
      </c>
      <c r="N533" s="20" t="str">
        <f aca="false">IF(AND(G533&lt;&gt;"",H533&lt;&gt;""),IF("0"&amp;G533=H533,"PASS","FAIL - GTIN Mismatch"),"SKIP")</f>
        <v>PASS</v>
      </c>
      <c r="O533" s="20" t="str">
        <f aca="false">IF(I533="","FAIL - No Title",IF(LEN(I533)&lt;=126,"PASS","FAIL - Title &gt;"&amp;126&amp;" chars"))</f>
        <v>PASS</v>
      </c>
      <c r="P533" s="20" t="str">
        <f aca="false">IF(J533&gt;0,IF(J533&lt;5000,"PASS","FLAG - Review Price"),"FAIL - Zero Price")</f>
        <v>PASS</v>
      </c>
      <c r="Q533" s="20" t="str">
        <f aca="false">IF('Raw Catalog'!P531&lt;&gt;"","PASS","FAIL - No Image")</f>
        <v>PASS</v>
      </c>
      <c r="R533" s="20" t="str">
        <f aca="false">IF(F533&lt;&gt;"","PASS","FAIL - No Brand")</f>
        <v>PASS</v>
      </c>
      <c r="S533" s="20" t="str">
        <f aca="true">IF(K533="","FAIL - No Date",IF(TODAY()-DATEVALUE(K533)&lt;=180,"PASS","FLAG - Stale &gt;180d"))</f>
        <v>FLAG - Stale &gt;180d</v>
      </c>
      <c r="T533" s="20" t="n">
        <f aca="false">COUNTIF(M533:S533,"FAIL*")+COUNTIF(M533:S533,"FLAG*")</f>
        <v>1</v>
      </c>
      <c r="U533" s="20" t="str">
        <f aca="false">IF(T533=0,"CLEAN",IF(T533=1,"MINOR",IF(T533&lt;=3,"MODERATE","CRITICAL")))</f>
        <v>MINOR</v>
      </c>
      <c r="V533" s="20" t="str">
        <f aca="false">IF(U533="CLEAN","None",IF(U533="MINOR","Seller Notify",IF(U533="MODERATE","Listing Suspended","Immediate Removal")))</f>
        <v>Seller Notify</v>
      </c>
    </row>
    <row r="534" customFormat="false" ht="18" hidden="false" customHeight="true" outlineLevel="0" collapsed="false">
      <c r="A534" s="19" t="s">
        <v>6611</v>
      </c>
      <c r="B534" s="19" t="s">
        <v>1754</v>
      </c>
      <c r="C534" s="19" t="s">
        <v>255</v>
      </c>
      <c r="D534" s="19" t="s">
        <v>256</v>
      </c>
      <c r="E534" s="19" t="s">
        <v>161</v>
      </c>
      <c r="F534" s="19" t="s">
        <v>306</v>
      </c>
      <c r="G534" s="19" t="s">
        <v>1756</v>
      </c>
      <c r="H534" s="19" t="s">
        <v>1757</v>
      </c>
      <c r="I534" s="19" t="s">
        <v>3632</v>
      </c>
      <c r="J534" s="19" t="n">
        <v>398.73</v>
      </c>
      <c r="K534" s="19" t="s">
        <v>242</v>
      </c>
      <c r="L534" s="21" t="s">
        <v>283</v>
      </c>
      <c r="M534" s="20" t="str">
        <f aca="false">IF(G534&lt;&gt;"","PASS","FAIL - Missing UPC")</f>
        <v>PASS</v>
      </c>
      <c r="N534" s="20" t="str">
        <f aca="false">IF(AND(G534&lt;&gt;"",H534&lt;&gt;""),IF("0"&amp;G534=H534,"PASS","FAIL - GTIN Mismatch"),"SKIP")</f>
        <v>PASS</v>
      </c>
      <c r="O534" s="20" t="str">
        <f aca="false">IF(I534="","FAIL - No Title",IF(LEN(I534)&lt;=126,"PASS","FAIL - Title &gt;"&amp;126&amp;" chars"))</f>
        <v>PASS</v>
      </c>
      <c r="P534" s="20" t="str">
        <f aca="false">IF(J534&gt;0,IF(J534&lt;5000,"PASS","FLAG - Review Price"),"FAIL - Zero Price")</f>
        <v>PASS</v>
      </c>
      <c r="Q534" s="20" t="str">
        <f aca="false">IF('Raw Catalog'!P532&lt;&gt;"","PASS","FAIL - No Image")</f>
        <v>PASS</v>
      </c>
      <c r="R534" s="20" t="str">
        <f aca="false">IF(F534&lt;&gt;"","PASS","FAIL - No Brand")</f>
        <v>PASS</v>
      </c>
      <c r="S534" s="20" t="str">
        <f aca="true">IF(K534="","FAIL - No Date",IF(TODAY()-DATEVALUE(K534)&lt;=180,"PASS","FLAG - Stale &gt;180d"))</f>
        <v>FLAG - Stale &gt;180d</v>
      </c>
      <c r="T534" s="20" t="n">
        <f aca="false">COUNTIF(M534:S534,"FAIL*")+COUNTIF(M534:S534,"FLAG*")</f>
        <v>1</v>
      </c>
      <c r="U534" s="20" t="str">
        <f aca="false">IF(T534=0,"CLEAN",IF(T534=1,"MINOR",IF(T534&lt;=3,"MODERATE","CRITICAL")))</f>
        <v>MINOR</v>
      </c>
      <c r="V534" s="20" t="str">
        <f aca="false">IF(U534="CLEAN","None",IF(U534="MINOR","Seller Notify",IF(U534="MODERATE","Listing Suspended","Immediate Removal")))</f>
        <v>Seller Notify</v>
      </c>
    </row>
    <row r="535" customFormat="false" ht="18" hidden="false" customHeight="true" outlineLevel="0" collapsed="false">
      <c r="A535" s="19" t="s">
        <v>6612</v>
      </c>
      <c r="B535" s="19" t="s">
        <v>3633</v>
      </c>
      <c r="C535" s="19" t="s">
        <v>48</v>
      </c>
      <c r="D535" s="19" t="s">
        <v>49</v>
      </c>
      <c r="E535" s="19" t="s">
        <v>79</v>
      </c>
      <c r="F535" s="19" t="s">
        <v>513</v>
      </c>
      <c r="G535" s="19" t="s">
        <v>3635</v>
      </c>
      <c r="H535" s="19" t="s">
        <v>3636</v>
      </c>
      <c r="I535" s="19" t="s">
        <v>3637</v>
      </c>
      <c r="J535" s="19" t="n">
        <v>1197.95</v>
      </c>
      <c r="K535" s="19" t="s">
        <v>3641</v>
      </c>
      <c r="L535" s="19"/>
      <c r="M535" s="20" t="str">
        <f aca="false">IF(G535&lt;&gt;"","PASS","FAIL - Missing UPC")</f>
        <v>PASS</v>
      </c>
      <c r="N535" s="20" t="str">
        <f aca="false">IF(AND(G535&lt;&gt;"",H535&lt;&gt;""),IF("0"&amp;G535=H535,"PASS","FAIL - GTIN Mismatch"),"SKIP")</f>
        <v>PASS</v>
      </c>
      <c r="O535" s="20" t="str">
        <f aca="false">IF(I535="","FAIL - No Title",IF(LEN(I535)&lt;=126,"PASS","FAIL - Title &gt;"&amp;126&amp;" chars"))</f>
        <v>PASS</v>
      </c>
      <c r="P535" s="20" t="str">
        <f aca="false">IF(J535&gt;0,IF(J535&lt;5000,"PASS","FLAG - Review Price"),"FAIL - Zero Price")</f>
        <v>PASS</v>
      </c>
      <c r="Q535" s="20" t="str">
        <f aca="false">IF('Raw Catalog'!P533&lt;&gt;"","PASS","FAIL - No Image")</f>
        <v>PASS</v>
      </c>
      <c r="R535" s="20" t="str">
        <f aca="false">IF(F535&lt;&gt;"","PASS","FAIL - No Brand")</f>
        <v>PASS</v>
      </c>
      <c r="S535" s="20" t="str">
        <f aca="true">IF(K535="","FAIL - No Date",IF(TODAY()-DATEVALUE(K535)&lt;=180,"PASS","FLAG - Stale &gt;180d"))</f>
        <v>FLAG - Stale &gt;180d</v>
      </c>
      <c r="T535" s="20" t="n">
        <f aca="false">COUNTIF(M535:S535,"FAIL*")+COUNTIF(M535:S535,"FLAG*")</f>
        <v>1</v>
      </c>
      <c r="U535" s="20" t="str">
        <f aca="false">IF(T535=0,"CLEAN",IF(T535=1,"MINOR",IF(T535&lt;=3,"MODERATE","CRITICAL")))</f>
        <v>MINOR</v>
      </c>
      <c r="V535" s="20" t="str">
        <f aca="false">IF(U535="CLEAN","None",IF(U535="MINOR","Seller Notify",IF(U535="MODERATE","Listing Suspended","Immediate Removal")))</f>
        <v>Seller Notify</v>
      </c>
    </row>
    <row r="536" customFormat="false" ht="18" hidden="false" customHeight="true" outlineLevel="0" collapsed="false">
      <c r="A536" s="19" t="s">
        <v>6613</v>
      </c>
      <c r="B536" s="19" t="s">
        <v>3642</v>
      </c>
      <c r="C536" s="19" t="s">
        <v>255</v>
      </c>
      <c r="D536" s="19" t="s">
        <v>256</v>
      </c>
      <c r="E536" s="19" t="s">
        <v>91</v>
      </c>
      <c r="F536" s="19" t="s">
        <v>92</v>
      </c>
      <c r="G536" s="19" t="s">
        <v>3644</v>
      </c>
      <c r="H536" s="19" t="s">
        <v>3645</v>
      </c>
      <c r="I536" s="19" t="s">
        <v>2867</v>
      </c>
      <c r="J536" s="19" t="n">
        <v>2706.75</v>
      </c>
      <c r="K536" s="19" t="s">
        <v>473</v>
      </c>
      <c r="L536" s="19"/>
      <c r="M536" s="20" t="str">
        <f aca="false">IF(G536&lt;&gt;"","PASS","FAIL - Missing UPC")</f>
        <v>PASS</v>
      </c>
      <c r="N536" s="20" t="str">
        <f aca="false">IF(AND(G536&lt;&gt;"",H536&lt;&gt;""),IF("0"&amp;G536=H536,"PASS","FAIL - GTIN Mismatch"),"SKIP")</f>
        <v>PASS</v>
      </c>
      <c r="O536" s="20" t="str">
        <f aca="false">IF(I536="","FAIL - No Title",IF(LEN(I536)&lt;=126,"PASS","FAIL - Title &gt;"&amp;126&amp;" chars"))</f>
        <v>PASS</v>
      </c>
      <c r="P536" s="20" t="str">
        <f aca="false">IF(J536&gt;0,IF(J536&lt;5000,"PASS","FLAG - Review Price"),"FAIL - Zero Price")</f>
        <v>PASS</v>
      </c>
      <c r="Q536" s="20" t="str">
        <f aca="false">IF('Raw Catalog'!P534&lt;&gt;"","PASS","FAIL - No Image")</f>
        <v>PASS</v>
      </c>
      <c r="R536" s="20" t="str">
        <f aca="false">IF(F536&lt;&gt;"","PASS","FAIL - No Brand")</f>
        <v>PASS</v>
      </c>
      <c r="S536" s="20" t="str">
        <f aca="true">IF(K536="","FAIL - No Date",IF(TODAY()-DATEVALUE(K536)&lt;=180,"PASS","FLAG - Stale &gt;180d"))</f>
        <v>FLAG - Stale &gt;180d</v>
      </c>
      <c r="T536" s="20" t="n">
        <f aca="false">COUNTIF(M536:S536,"FAIL*")+COUNTIF(M536:S536,"FLAG*")</f>
        <v>1</v>
      </c>
      <c r="U536" s="20" t="str">
        <f aca="false">IF(T536=0,"CLEAN",IF(T536=1,"MINOR",IF(T536&lt;=3,"MODERATE","CRITICAL")))</f>
        <v>MINOR</v>
      </c>
      <c r="V536" s="20" t="str">
        <f aca="false">IF(U536="CLEAN","None",IF(U536="MINOR","Seller Notify",IF(U536="MODERATE","Listing Suspended","Immediate Removal")))</f>
        <v>Seller Notify</v>
      </c>
    </row>
    <row r="537" customFormat="false" ht="18" hidden="false" customHeight="true" outlineLevel="0" collapsed="false">
      <c r="A537" s="19" t="s">
        <v>6614</v>
      </c>
      <c r="B537" s="19" t="s">
        <v>3647</v>
      </c>
      <c r="C537" s="19" t="s">
        <v>48</v>
      </c>
      <c r="D537" s="19" t="s">
        <v>49</v>
      </c>
      <c r="E537" s="19" t="s">
        <v>161</v>
      </c>
      <c r="F537" s="19" t="s">
        <v>295</v>
      </c>
      <c r="G537" s="19" t="s">
        <v>3649</v>
      </c>
      <c r="H537" s="19" t="s">
        <v>3650</v>
      </c>
      <c r="I537" s="19" t="s">
        <v>2791</v>
      </c>
      <c r="J537" s="19" t="n">
        <v>357.1</v>
      </c>
      <c r="K537" s="19" t="s">
        <v>1125</v>
      </c>
      <c r="L537" s="19"/>
      <c r="M537" s="20" t="str">
        <f aca="false">IF(G537&lt;&gt;"","PASS","FAIL - Missing UPC")</f>
        <v>PASS</v>
      </c>
      <c r="N537" s="20" t="str">
        <f aca="false">IF(AND(G537&lt;&gt;"",H537&lt;&gt;""),IF("0"&amp;G537=H537,"PASS","FAIL - GTIN Mismatch"),"SKIP")</f>
        <v>PASS</v>
      </c>
      <c r="O537" s="20" t="str">
        <f aca="false">IF(I537="","FAIL - No Title",IF(LEN(I537)&lt;=126,"PASS","FAIL - Title &gt;"&amp;126&amp;" chars"))</f>
        <v>PASS</v>
      </c>
      <c r="P537" s="20" t="str">
        <f aca="false">IF(J537&gt;0,IF(J537&lt;5000,"PASS","FLAG - Review Price"),"FAIL - Zero Price")</f>
        <v>PASS</v>
      </c>
      <c r="Q537" s="20" t="str">
        <f aca="false">IF('Raw Catalog'!P535&lt;&gt;"","PASS","FAIL - No Image")</f>
        <v>PASS</v>
      </c>
      <c r="R537" s="20" t="str">
        <f aca="false">IF(F537&lt;&gt;"","PASS","FAIL - No Brand")</f>
        <v>PASS</v>
      </c>
      <c r="S537" s="20" t="str">
        <f aca="true">IF(K537="","FAIL - No Date",IF(TODAY()-DATEVALUE(K537)&lt;=180,"PASS","FLAG - Stale &gt;180d"))</f>
        <v>FLAG - Stale &gt;180d</v>
      </c>
      <c r="T537" s="20" t="n">
        <f aca="false">COUNTIF(M537:S537,"FAIL*")+COUNTIF(M537:S537,"FLAG*")</f>
        <v>1</v>
      </c>
      <c r="U537" s="20" t="str">
        <f aca="false">IF(T537=0,"CLEAN",IF(T537=1,"MINOR",IF(T537&lt;=3,"MODERATE","CRITICAL")))</f>
        <v>MINOR</v>
      </c>
      <c r="V537" s="20" t="str">
        <f aca="false">IF(U537="CLEAN","None",IF(U537="MINOR","Seller Notify",IF(U537="MODERATE","Listing Suspended","Immediate Removal")))</f>
        <v>Seller Notify</v>
      </c>
    </row>
    <row r="538" customFormat="false" ht="18" hidden="false" customHeight="true" outlineLevel="0" collapsed="false">
      <c r="A538" s="19" t="s">
        <v>6615</v>
      </c>
      <c r="B538" s="19" t="s">
        <v>3651</v>
      </c>
      <c r="C538" s="19" t="s">
        <v>173</v>
      </c>
      <c r="D538" s="19" t="s">
        <v>174</v>
      </c>
      <c r="E538" s="19" t="s">
        <v>91</v>
      </c>
      <c r="F538" s="19" t="s">
        <v>185</v>
      </c>
      <c r="G538" s="19" t="s">
        <v>3653</v>
      </c>
      <c r="H538" s="19" t="s">
        <v>3654</v>
      </c>
      <c r="I538" s="19" t="s">
        <v>3655</v>
      </c>
      <c r="J538" s="19" t="n">
        <v>3876.26</v>
      </c>
      <c r="K538" s="19" t="s">
        <v>3656</v>
      </c>
      <c r="L538" s="19"/>
      <c r="M538" s="20" t="str">
        <f aca="false">IF(G538&lt;&gt;"","PASS","FAIL - Missing UPC")</f>
        <v>PASS</v>
      </c>
      <c r="N538" s="20" t="str">
        <f aca="false">IF(AND(G538&lt;&gt;"",H538&lt;&gt;""),IF("0"&amp;G538=H538,"PASS","FAIL - GTIN Mismatch"),"SKIP")</f>
        <v>PASS</v>
      </c>
      <c r="O538" s="20" t="str">
        <f aca="false">IF(I538="","FAIL - No Title",IF(LEN(I538)&lt;=126,"PASS","FAIL - Title &gt;"&amp;126&amp;" chars"))</f>
        <v>PASS</v>
      </c>
      <c r="P538" s="20" t="str">
        <f aca="false">IF(J538&gt;0,IF(J538&lt;5000,"PASS","FLAG - Review Price"),"FAIL - Zero Price")</f>
        <v>PASS</v>
      </c>
      <c r="Q538" s="20" t="str">
        <f aca="false">IF('Raw Catalog'!P536&lt;&gt;"","PASS","FAIL - No Image")</f>
        <v>PASS</v>
      </c>
      <c r="R538" s="20" t="str">
        <f aca="false">IF(F538&lt;&gt;"","PASS","FAIL - No Brand")</f>
        <v>PASS</v>
      </c>
      <c r="S538" s="20" t="str">
        <f aca="true">IF(K538="","FAIL - No Date",IF(TODAY()-DATEVALUE(K538)&lt;=180,"PASS","FLAG - Stale &gt;180d"))</f>
        <v>FLAG - Stale &gt;180d</v>
      </c>
      <c r="T538" s="20" t="n">
        <f aca="false">COUNTIF(M538:S538,"FAIL*")+COUNTIF(M538:S538,"FLAG*")</f>
        <v>1</v>
      </c>
      <c r="U538" s="20" t="str">
        <f aca="false">IF(T538=0,"CLEAN",IF(T538=1,"MINOR",IF(T538&lt;=3,"MODERATE","CRITICAL")))</f>
        <v>MINOR</v>
      </c>
      <c r="V538" s="20" t="str">
        <f aca="false">IF(U538="CLEAN","None",IF(U538="MINOR","Seller Notify",IF(U538="MODERATE","Listing Suspended","Immediate Removal")))</f>
        <v>Seller Notify</v>
      </c>
    </row>
    <row r="539" customFormat="false" ht="18" hidden="false" customHeight="true" outlineLevel="0" collapsed="false">
      <c r="A539" s="19" t="s">
        <v>6616</v>
      </c>
      <c r="B539" s="19" t="s">
        <v>3657</v>
      </c>
      <c r="C539" s="19" t="s">
        <v>173</v>
      </c>
      <c r="D539" s="19" t="s">
        <v>174</v>
      </c>
      <c r="E539" s="19" t="s">
        <v>161</v>
      </c>
      <c r="F539" s="19" t="s">
        <v>51</v>
      </c>
      <c r="G539" s="19" t="s">
        <v>3659</v>
      </c>
      <c r="H539" s="19" t="s">
        <v>3660</v>
      </c>
      <c r="I539" s="19" t="s">
        <v>3661</v>
      </c>
      <c r="J539" s="19" t="n">
        <v>437.81</v>
      </c>
      <c r="K539" s="19" t="s">
        <v>1106</v>
      </c>
      <c r="L539" s="19"/>
      <c r="M539" s="20" t="str">
        <f aca="false">IF(G539&lt;&gt;"","PASS","FAIL - Missing UPC")</f>
        <v>PASS</v>
      </c>
      <c r="N539" s="20" t="str">
        <f aca="false">IF(AND(G539&lt;&gt;"",H539&lt;&gt;""),IF("0"&amp;G539=H539,"PASS","FAIL - GTIN Mismatch"),"SKIP")</f>
        <v>PASS</v>
      </c>
      <c r="O539" s="20" t="str">
        <f aca="false">IF(I539="","FAIL - No Title",IF(LEN(I539)&lt;=126,"PASS","FAIL - Title &gt;"&amp;126&amp;" chars"))</f>
        <v>PASS</v>
      </c>
      <c r="P539" s="20" t="str">
        <f aca="false">IF(J539&gt;0,IF(J539&lt;5000,"PASS","FLAG - Review Price"),"FAIL - Zero Price")</f>
        <v>PASS</v>
      </c>
      <c r="Q539" s="20" t="str">
        <f aca="false">IF('Raw Catalog'!P537&lt;&gt;"","PASS","FAIL - No Image")</f>
        <v>PASS</v>
      </c>
      <c r="R539" s="20" t="str">
        <f aca="false">IF(F539&lt;&gt;"","PASS","FAIL - No Brand")</f>
        <v>PASS</v>
      </c>
      <c r="S539" s="20" t="str">
        <f aca="true">IF(K539="","FAIL - No Date",IF(TODAY()-DATEVALUE(K539)&lt;=180,"PASS","FLAG - Stale &gt;180d"))</f>
        <v>FLAG - Stale &gt;180d</v>
      </c>
      <c r="T539" s="20" t="n">
        <f aca="false">COUNTIF(M539:S539,"FAIL*")+COUNTIF(M539:S539,"FLAG*")</f>
        <v>1</v>
      </c>
      <c r="U539" s="20" t="str">
        <f aca="false">IF(T539=0,"CLEAN",IF(T539=1,"MINOR",IF(T539&lt;=3,"MODERATE","CRITICAL")))</f>
        <v>MINOR</v>
      </c>
      <c r="V539" s="20" t="str">
        <f aca="false">IF(U539="CLEAN","None",IF(U539="MINOR","Seller Notify",IF(U539="MODERATE","Listing Suspended","Immediate Removal")))</f>
        <v>Seller Notify</v>
      </c>
    </row>
    <row r="540" customFormat="false" ht="18" hidden="false" customHeight="true" outlineLevel="0" collapsed="false">
      <c r="A540" s="19" t="s">
        <v>6617</v>
      </c>
      <c r="B540" s="19" t="s">
        <v>3662</v>
      </c>
      <c r="C540" s="19" t="s">
        <v>255</v>
      </c>
      <c r="D540" s="19" t="s">
        <v>256</v>
      </c>
      <c r="E540" s="19" t="s">
        <v>91</v>
      </c>
      <c r="F540" s="19" t="s">
        <v>587</v>
      </c>
      <c r="G540" s="19" t="s">
        <v>3664</v>
      </c>
      <c r="H540" s="19" t="s">
        <v>3665</v>
      </c>
      <c r="I540" s="19" t="s">
        <v>3666</v>
      </c>
      <c r="J540" s="19" t="n">
        <v>4293.68</v>
      </c>
      <c r="K540" s="19" t="s">
        <v>452</v>
      </c>
      <c r="L540" s="21" t="s">
        <v>283</v>
      </c>
      <c r="M540" s="20" t="str">
        <f aca="false">IF(G540&lt;&gt;"","PASS","FAIL - Missing UPC")</f>
        <v>PASS</v>
      </c>
      <c r="N540" s="20" t="str">
        <f aca="false">IF(AND(G540&lt;&gt;"",H540&lt;&gt;""),IF("0"&amp;G540=H540,"PASS","FAIL - GTIN Mismatch"),"SKIP")</f>
        <v>PASS</v>
      </c>
      <c r="O540" s="20" t="str">
        <f aca="false">IF(I540="","FAIL - No Title",IF(LEN(I540)&lt;=126,"PASS","FAIL - Title &gt;"&amp;126&amp;" chars"))</f>
        <v>PASS</v>
      </c>
      <c r="P540" s="20" t="str">
        <f aca="false">IF(J540&gt;0,IF(J540&lt;5000,"PASS","FLAG - Review Price"),"FAIL - Zero Price")</f>
        <v>PASS</v>
      </c>
      <c r="Q540" s="20" t="str">
        <f aca="false">IF('Raw Catalog'!P538&lt;&gt;"","PASS","FAIL - No Image")</f>
        <v>PASS</v>
      </c>
      <c r="R540" s="20" t="str">
        <f aca="false">IF(F540&lt;&gt;"","PASS","FAIL - No Brand")</f>
        <v>PASS</v>
      </c>
      <c r="S540" s="20" t="str">
        <f aca="true">IF(K540="","FAIL - No Date",IF(TODAY()-DATEVALUE(K540)&lt;=180,"PASS","FLAG - Stale &gt;180d"))</f>
        <v>FLAG - Stale &gt;180d</v>
      </c>
      <c r="T540" s="20" t="n">
        <f aca="false">COUNTIF(M540:S540,"FAIL*")+COUNTIF(M540:S540,"FLAG*")</f>
        <v>1</v>
      </c>
      <c r="U540" s="20" t="str">
        <f aca="false">IF(T540=0,"CLEAN",IF(T540=1,"MINOR",IF(T540&lt;=3,"MODERATE","CRITICAL")))</f>
        <v>MINOR</v>
      </c>
      <c r="V540" s="20" t="str">
        <f aca="false">IF(U540="CLEAN","None",IF(U540="MINOR","Seller Notify",IF(U540="MODERATE","Listing Suspended","Immediate Removal")))</f>
        <v>Seller Notify</v>
      </c>
    </row>
    <row r="541" customFormat="false" ht="18" hidden="false" customHeight="true" outlineLevel="0" collapsed="false">
      <c r="A541" s="19" t="s">
        <v>6618</v>
      </c>
      <c r="B541" s="19" t="s">
        <v>3667</v>
      </c>
      <c r="C541" s="19" t="s">
        <v>113</v>
      </c>
      <c r="D541" s="19" t="s">
        <v>114</v>
      </c>
      <c r="E541" s="19" t="s">
        <v>65</v>
      </c>
      <c r="F541" s="19" t="s">
        <v>371</v>
      </c>
      <c r="G541" s="19" t="s">
        <v>3669</v>
      </c>
      <c r="H541" s="19" t="s">
        <v>3670</v>
      </c>
      <c r="I541" s="19" t="s">
        <v>951</v>
      </c>
      <c r="J541" s="19" t="n">
        <v>245</v>
      </c>
      <c r="K541" s="19" t="s">
        <v>2738</v>
      </c>
      <c r="L541" s="19"/>
      <c r="M541" s="20" t="str">
        <f aca="false">IF(G541&lt;&gt;"","PASS","FAIL - Missing UPC")</f>
        <v>PASS</v>
      </c>
      <c r="N541" s="20" t="str">
        <f aca="false">IF(AND(G541&lt;&gt;"",H541&lt;&gt;""),IF("0"&amp;G541=H541,"PASS","FAIL - GTIN Mismatch"),"SKIP")</f>
        <v>PASS</v>
      </c>
      <c r="O541" s="20" t="str">
        <f aca="false">IF(I541="","FAIL - No Title",IF(LEN(I541)&lt;=126,"PASS","FAIL - Title &gt;"&amp;126&amp;" chars"))</f>
        <v>PASS</v>
      </c>
      <c r="P541" s="20" t="str">
        <f aca="false">IF(J541&gt;0,IF(J541&lt;5000,"PASS","FLAG - Review Price"),"FAIL - Zero Price")</f>
        <v>PASS</v>
      </c>
      <c r="Q541" s="20" t="str">
        <f aca="false">IF('Raw Catalog'!P539&lt;&gt;"","PASS","FAIL - No Image")</f>
        <v>PASS</v>
      </c>
      <c r="R541" s="20" t="str">
        <f aca="false">IF(F541&lt;&gt;"","PASS","FAIL - No Brand")</f>
        <v>PASS</v>
      </c>
      <c r="S541" s="20" t="str">
        <f aca="true">IF(K541="","FAIL - No Date",IF(TODAY()-DATEVALUE(K541)&lt;=180,"PASS","FLAG - Stale &gt;180d"))</f>
        <v>FLAG - Stale &gt;180d</v>
      </c>
      <c r="T541" s="20" t="n">
        <f aca="false">COUNTIF(M541:S541,"FAIL*")+COUNTIF(M541:S541,"FLAG*")</f>
        <v>1</v>
      </c>
      <c r="U541" s="20" t="str">
        <f aca="false">IF(T541=0,"CLEAN",IF(T541=1,"MINOR",IF(T541&lt;=3,"MODERATE","CRITICAL")))</f>
        <v>MINOR</v>
      </c>
      <c r="V541" s="20" t="str">
        <f aca="false">IF(U541="CLEAN","None",IF(U541="MINOR","Seller Notify",IF(U541="MODERATE","Listing Suspended","Immediate Removal")))</f>
        <v>Seller Notify</v>
      </c>
    </row>
    <row r="542" customFormat="false" ht="18" hidden="false" customHeight="true" outlineLevel="0" collapsed="false">
      <c r="A542" s="19" t="s">
        <v>6619</v>
      </c>
      <c r="B542" s="19" t="s">
        <v>3671</v>
      </c>
      <c r="C542" s="19" t="s">
        <v>255</v>
      </c>
      <c r="D542" s="19" t="s">
        <v>256</v>
      </c>
      <c r="E542" s="19" t="s">
        <v>79</v>
      </c>
      <c r="F542" s="19" t="s">
        <v>465</v>
      </c>
      <c r="G542" s="19" t="s">
        <v>3673</v>
      </c>
      <c r="H542" s="19" t="s">
        <v>3674</v>
      </c>
      <c r="I542" s="19" t="s">
        <v>3675</v>
      </c>
      <c r="J542" s="19" t="n">
        <v>1053.06</v>
      </c>
      <c r="K542" s="19" t="s">
        <v>3395</v>
      </c>
      <c r="L542" s="19"/>
      <c r="M542" s="20" t="str">
        <f aca="false">IF(G542&lt;&gt;"","PASS","FAIL - Missing UPC")</f>
        <v>PASS</v>
      </c>
      <c r="N542" s="20" t="str">
        <f aca="false">IF(AND(G542&lt;&gt;"",H542&lt;&gt;""),IF("0"&amp;G542=H542,"PASS","FAIL - GTIN Mismatch"),"SKIP")</f>
        <v>PASS</v>
      </c>
      <c r="O542" s="20" t="str">
        <f aca="false">IF(I542="","FAIL - No Title",IF(LEN(I542)&lt;=126,"PASS","FAIL - Title &gt;"&amp;126&amp;" chars"))</f>
        <v>PASS</v>
      </c>
      <c r="P542" s="20" t="str">
        <f aca="false">IF(J542&gt;0,IF(J542&lt;5000,"PASS","FLAG - Review Price"),"FAIL - Zero Price")</f>
        <v>PASS</v>
      </c>
      <c r="Q542" s="20" t="str">
        <f aca="false">IF('Raw Catalog'!P540&lt;&gt;"","PASS","FAIL - No Image")</f>
        <v>PASS</v>
      </c>
      <c r="R542" s="20" t="str">
        <f aca="false">IF(F542&lt;&gt;"","PASS","FAIL - No Brand")</f>
        <v>PASS</v>
      </c>
      <c r="S542" s="20" t="str">
        <f aca="true">IF(K542="","FAIL - No Date",IF(TODAY()-DATEVALUE(K542)&lt;=180,"PASS","FLAG - Stale &gt;180d"))</f>
        <v>FLAG - Stale &gt;180d</v>
      </c>
      <c r="T542" s="20" t="n">
        <f aca="false">COUNTIF(M542:S542,"FAIL*")+COUNTIF(M542:S542,"FLAG*")</f>
        <v>1</v>
      </c>
      <c r="U542" s="20" t="str">
        <f aca="false">IF(T542=0,"CLEAN",IF(T542=1,"MINOR",IF(T542&lt;=3,"MODERATE","CRITICAL")))</f>
        <v>MINOR</v>
      </c>
      <c r="V542" s="20" t="str">
        <f aca="false">IF(U542="CLEAN","None",IF(U542="MINOR","Seller Notify",IF(U542="MODERATE","Listing Suspended","Immediate Removal")))</f>
        <v>Seller Notify</v>
      </c>
    </row>
    <row r="543" customFormat="false" ht="18" hidden="false" customHeight="true" outlineLevel="0" collapsed="false">
      <c r="A543" s="19" t="s">
        <v>6620</v>
      </c>
      <c r="B543" s="19" t="s">
        <v>3676</v>
      </c>
      <c r="C543" s="19" t="s">
        <v>48</v>
      </c>
      <c r="D543" s="19" t="s">
        <v>49</v>
      </c>
      <c r="E543" s="19" t="s">
        <v>65</v>
      </c>
      <c r="F543" s="19" t="s">
        <v>390</v>
      </c>
      <c r="G543" s="19" t="s">
        <v>3678</v>
      </c>
      <c r="H543" s="19" t="s">
        <v>3679</v>
      </c>
      <c r="I543" s="19" t="s">
        <v>1750</v>
      </c>
      <c r="J543" s="19" t="n">
        <v>393.93</v>
      </c>
      <c r="K543" s="19" t="s">
        <v>1685</v>
      </c>
      <c r="L543" s="19"/>
      <c r="M543" s="20" t="str">
        <f aca="false">IF(G543&lt;&gt;"","PASS","FAIL - Missing UPC")</f>
        <v>PASS</v>
      </c>
      <c r="N543" s="20" t="str">
        <f aca="false">IF(AND(G543&lt;&gt;"",H543&lt;&gt;""),IF("0"&amp;G543=H543,"PASS","FAIL - GTIN Mismatch"),"SKIP")</f>
        <v>PASS</v>
      </c>
      <c r="O543" s="20" t="str">
        <f aca="false">IF(I543="","FAIL - No Title",IF(LEN(I543)&lt;=126,"PASS","FAIL - Title &gt;"&amp;126&amp;" chars"))</f>
        <v>PASS</v>
      </c>
      <c r="P543" s="20" t="str">
        <f aca="false">IF(J543&gt;0,IF(J543&lt;5000,"PASS","FLAG - Review Price"),"FAIL - Zero Price")</f>
        <v>PASS</v>
      </c>
      <c r="Q543" s="20" t="str">
        <f aca="false">IF('Raw Catalog'!P541&lt;&gt;"","PASS","FAIL - No Image")</f>
        <v>PASS</v>
      </c>
      <c r="R543" s="20" t="str">
        <f aca="false">IF(F543&lt;&gt;"","PASS","FAIL - No Brand")</f>
        <v>PASS</v>
      </c>
      <c r="S543" s="20" t="str">
        <f aca="true">IF(K543="","FAIL - No Date",IF(TODAY()-DATEVALUE(K543)&lt;=180,"PASS","FLAG - Stale &gt;180d"))</f>
        <v>FLAG - Stale &gt;180d</v>
      </c>
      <c r="T543" s="20" t="n">
        <f aca="false">COUNTIF(M543:S543,"FAIL*")+COUNTIF(M543:S543,"FLAG*")</f>
        <v>1</v>
      </c>
      <c r="U543" s="20" t="str">
        <f aca="false">IF(T543=0,"CLEAN",IF(T543=1,"MINOR",IF(T543&lt;=3,"MODERATE","CRITICAL")))</f>
        <v>MINOR</v>
      </c>
      <c r="V543" s="20" t="str">
        <f aca="false">IF(U543="CLEAN","None",IF(U543="MINOR","Seller Notify",IF(U543="MODERATE","Listing Suspended","Immediate Removal")))</f>
        <v>Seller Notify</v>
      </c>
    </row>
    <row r="544" customFormat="false" ht="18" hidden="false" customHeight="true" outlineLevel="0" collapsed="false">
      <c r="A544" s="19" t="s">
        <v>6621</v>
      </c>
      <c r="B544" s="19" t="s">
        <v>3680</v>
      </c>
      <c r="C544" s="19" t="s">
        <v>77</v>
      </c>
      <c r="D544" s="19" t="s">
        <v>78</v>
      </c>
      <c r="E544" s="19" t="s">
        <v>91</v>
      </c>
      <c r="F544" s="19" t="s">
        <v>780</v>
      </c>
      <c r="G544" s="19" t="s">
        <v>3682</v>
      </c>
      <c r="H544" s="19" t="s">
        <v>3683</v>
      </c>
      <c r="I544" s="19" t="s">
        <v>3684</v>
      </c>
      <c r="J544" s="19" t="n">
        <v>2119.35</v>
      </c>
      <c r="K544" s="19" t="s">
        <v>3656</v>
      </c>
      <c r="L544" s="19"/>
      <c r="M544" s="20" t="str">
        <f aca="false">IF(G544&lt;&gt;"","PASS","FAIL - Missing UPC")</f>
        <v>PASS</v>
      </c>
      <c r="N544" s="20" t="str">
        <f aca="false">IF(AND(G544&lt;&gt;"",H544&lt;&gt;""),IF("0"&amp;G544=H544,"PASS","FAIL - GTIN Mismatch"),"SKIP")</f>
        <v>PASS</v>
      </c>
      <c r="O544" s="20" t="str">
        <f aca="false">IF(I544="","FAIL - No Title",IF(LEN(I544)&lt;=126,"PASS","FAIL - Title &gt;"&amp;126&amp;" chars"))</f>
        <v>PASS</v>
      </c>
      <c r="P544" s="20" t="str">
        <f aca="false">IF(J544&gt;0,IF(J544&lt;5000,"PASS","FLAG - Review Price"),"FAIL - Zero Price")</f>
        <v>PASS</v>
      </c>
      <c r="Q544" s="20" t="str">
        <f aca="false">IF('Raw Catalog'!P542&lt;&gt;"","PASS","FAIL - No Image")</f>
        <v>PASS</v>
      </c>
      <c r="R544" s="20" t="str">
        <f aca="false">IF(F544&lt;&gt;"","PASS","FAIL - No Brand")</f>
        <v>PASS</v>
      </c>
      <c r="S544" s="20" t="str">
        <f aca="true">IF(K544="","FAIL - No Date",IF(TODAY()-DATEVALUE(K544)&lt;=180,"PASS","FLAG - Stale &gt;180d"))</f>
        <v>FLAG - Stale &gt;180d</v>
      </c>
      <c r="T544" s="20" t="n">
        <f aca="false">COUNTIF(M544:S544,"FAIL*")+COUNTIF(M544:S544,"FLAG*")</f>
        <v>1</v>
      </c>
      <c r="U544" s="20" t="str">
        <f aca="false">IF(T544=0,"CLEAN",IF(T544=1,"MINOR",IF(T544&lt;=3,"MODERATE","CRITICAL")))</f>
        <v>MINOR</v>
      </c>
      <c r="V544" s="20" t="str">
        <f aca="false">IF(U544="CLEAN","None",IF(U544="MINOR","Seller Notify",IF(U544="MODERATE","Listing Suspended","Immediate Removal")))</f>
        <v>Seller Notify</v>
      </c>
    </row>
    <row r="545" customFormat="false" ht="18" hidden="false" customHeight="true" outlineLevel="0" collapsed="false">
      <c r="A545" s="19" t="s">
        <v>6622</v>
      </c>
      <c r="B545" s="19" t="s">
        <v>3685</v>
      </c>
      <c r="C545" s="19" t="s">
        <v>77</v>
      </c>
      <c r="D545" s="19" t="s">
        <v>78</v>
      </c>
      <c r="E545" s="19" t="s">
        <v>50</v>
      </c>
      <c r="F545" s="19"/>
      <c r="G545" s="19" t="s">
        <v>3687</v>
      </c>
      <c r="H545" s="19" t="s">
        <v>3688</v>
      </c>
      <c r="I545" s="19" t="s">
        <v>3689</v>
      </c>
      <c r="J545" s="19" t="n">
        <v>856.92</v>
      </c>
      <c r="K545" s="19" t="s">
        <v>1867</v>
      </c>
      <c r="L545" s="21" t="s">
        <v>89</v>
      </c>
      <c r="M545" s="20" t="str">
        <f aca="false">IF(G545&lt;&gt;"","PASS","FAIL - Missing UPC")</f>
        <v>PASS</v>
      </c>
      <c r="N545" s="20" t="str">
        <f aca="false">IF(AND(G545&lt;&gt;"",H545&lt;&gt;""),IF("0"&amp;G545=H545,"PASS","FAIL - GTIN Mismatch"),"SKIP")</f>
        <v>PASS</v>
      </c>
      <c r="O545" s="20" t="str">
        <f aca="false">IF(I545="","FAIL - No Title",IF(LEN(I545)&lt;=126,"PASS","FAIL - Title &gt;"&amp;126&amp;" chars"))</f>
        <v>PASS</v>
      </c>
      <c r="P545" s="20" t="str">
        <f aca="false">IF(J545&gt;0,IF(J545&lt;5000,"PASS","FLAG - Review Price"),"FAIL - Zero Price")</f>
        <v>PASS</v>
      </c>
      <c r="Q545" s="20" t="str">
        <f aca="false">IF('Raw Catalog'!P543&lt;&gt;"","PASS","FAIL - No Image")</f>
        <v>PASS</v>
      </c>
      <c r="R545" s="20" t="str">
        <f aca="false">IF(F545&lt;&gt;"","PASS","FAIL - No Brand")</f>
        <v>FAIL - No Brand</v>
      </c>
      <c r="S545" s="20" t="str">
        <f aca="true">IF(K545="","FAIL - No Date",IF(TODAY()-DATEVALUE(K545)&lt;=180,"PASS","FLAG - Stale &gt;180d"))</f>
        <v>FLAG - Stale &gt;180d</v>
      </c>
      <c r="T545" s="20" t="n">
        <f aca="false">COUNTIF(M545:S545,"FAIL*")+COUNTIF(M545:S545,"FLAG*")</f>
        <v>2</v>
      </c>
      <c r="U545" s="20" t="str">
        <f aca="false">IF(T545=0,"CLEAN",IF(T545=1,"MINOR",IF(T545&lt;=3,"MODERATE","CRITICAL")))</f>
        <v>MODERATE</v>
      </c>
      <c r="V545" s="20" t="str">
        <f aca="false">IF(U545="CLEAN","None",IF(U545="MINOR","Seller Notify",IF(U545="MODERATE","Listing Suspended","Immediate Removal")))</f>
        <v>Listing Suspended</v>
      </c>
    </row>
    <row r="546" customFormat="false" ht="18" hidden="false" customHeight="true" outlineLevel="0" collapsed="false">
      <c r="A546" s="19" t="s">
        <v>6623</v>
      </c>
      <c r="B546" s="19" t="s">
        <v>3690</v>
      </c>
      <c r="C546" s="19" t="s">
        <v>48</v>
      </c>
      <c r="D546" s="19" t="s">
        <v>49</v>
      </c>
      <c r="E546" s="19" t="s">
        <v>161</v>
      </c>
      <c r="F546" s="19" t="s">
        <v>822</v>
      </c>
      <c r="G546" s="19" t="s">
        <v>3692</v>
      </c>
      <c r="H546" s="19" t="s">
        <v>3693</v>
      </c>
      <c r="I546" s="19" t="s">
        <v>3694</v>
      </c>
      <c r="J546" s="19" t="n">
        <v>355.69</v>
      </c>
      <c r="K546" s="19" t="s">
        <v>1899</v>
      </c>
      <c r="L546" s="19"/>
      <c r="M546" s="20" t="str">
        <f aca="false">IF(G546&lt;&gt;"","PASS","FAIL - Missing UPC")</f>
        <v>PASS</v>
      </c>
      <c r="N546" s="20" t="str">
        <f aca="false">IF(AND(G546&lt;&gt;"",H546&lt;&gt;""),IF("0"&amp;G546=H546,"PASS","FAIL - GTIN Mismatch"),"SKIP")</f>
        <v>PASS</v>
      </c>
      <c r="O546" s="20" t="str">
        <f aca="false">IF(I546="","FAIL - No Title",IF(LEN(I546)&lt;=126,"PASS","FAIL - Title &gt;"&amp;126&amp;" chars"))</f>
        <v>PASS</v>
      </c>
      <c r="P546" s="20" t="str">
        <f aca="false">IF(J546&gt;0,IF(J546&lt;5000,"PASS","FLAG - Review Price"),"FAIL - Zero Price")</f>
        <v>PASS</v>
      </c>
      <c r="Q546" s="20" t="str">
        <f aca="false">IF('Raw Catalog'!P544&lt;&gt;"","PASS","FAIL - No Image")</f>
        <v>PASS</v>
      </c>
      <c r="R546" s="20" t="str">
        <f aca="false">IF(F546&lt;&gt;"","PASS","FAIL - No Brand")</f>
        <v>PASS</v>
      </c>
      <c r="S546" s="20" t="str">
        <f aca="true">IF(K546="","FAIL - No Date",IF(TODAY()-DATEVALUE(K546)&lt;=180,"PASS","FLAG - Stale &gt;180d"))</f>
        <v>FLAG - Stale &gt;180d</v>
      </c>
      <c r="T546" s="20" t="n">
        <f aca="false">COUNTIF(M546:S546,"FAIL*")+COUNTIF(M546:S546,"FLAG*")</f>
        <v>1</v>
      </c>
      <c r="U546" s="20" t="str">
        <f aca="false">IF(T546=0,"CLEAN",IF(T546=1,"MINOR",IF(T546&lt;=3,"MODERATE","CRITICAL")))</f>
        <v>MINOR</v>
      </c>
      <c r="V546" s="20" t="str">
        <f aca="false">IF(U546="CLEAN","None",IF(U546="MINOR","Seller Notify",IF(U546="MODERATE","Listing Suspended","Immediate Removal")))</f>
        <v>Seller Notify</v>
      </c>
    </row>
    <row r="547" customFormat="false" ht="18" hidden="false" customHeight="true" outlineLevel="0" collapsed="false">
      <c r="A547" s="19" t="s">
        <v>6624</v>
      </c>
      <c r="B547" s="19" t="s">
        <v>3697</v>
      </c>
      <c r="C547" s="19" t="s">
        <v>255</v>
      </c>
      <c r="D547" s="19" t="s">
        <v>256</v>
      </c>
      <c r="E547" s="19" t="s">
        <v>65</v>
      </c>
      <c r="F547" s="19" t="s">
        <v>438</v>
      </c>
      <c r="G547" s="19" t="s">
        <v>3699</v>
      </c>
      <c r="H547" s="19" t="s">
        <v>3700</v>
      </c>
      <c r="I547" s="19" t="s">
        <v>1363</v>
      </c>
      <c r="J547" s="19" t="n">
        <v>111.16</v>
      </c>
      <c r="K547" s="19" t="s">
        <v>3701</v>
      </c>
      <c r="L547" s="19"/>
      <c r="M547" s="20" t="str">
        <f aca="false">IF(G547&lt;&gt;"","PASS","FAIL - Missing UPC")</f>
        <v>PASS</v>
      </c>
      <c r="N547" s="20" t="str">
        <f aca="false">IF(AND(G547&lt;&gt;"",H547&lt;&gt;""),IF("0"&amp;G547=H547,"PASS","FAIL - GTIN Mismatch"),"SKIP")</f>
        <v>PASS</v>
      </c>
      <c r="O547" s="20" t="str">
        <f aca="false">IF(I547="","FAIL - No Title",IF(LEN(I547)&lt;=126,"PASS","FAIL - Title &gt;"&amp;126&amp;" chars"))</f>
        <v>PASS</v>
      </c>
      <c r="P547" s="20" t="str">
        <f aca="false">IF(J547&gt;0,IF(J547&lt;5000,"PASS","FLAG - Review Price"),"FAIL - Zero Price")</f>
        <v>PASS</v>
      </c>
      <c r="Q547" s="20" t="str">
        <f aca="false">IF('Raw Catalog'!P545&lt;&gt;"","PASS","FAIL - No Image")</f>
        <v>PASS</v>
      </c>
      <c r="R547" s="20" t="str">
        <f aca="false">IF(F547&lt;&gt;"","PASS","FAIL - No Brand")</f>
        <v>PASS</v>
      </c>
      <c r="S547" s="20" t="str">
        <f aca="true">IF(K547="","FAIL - No Date",IF(TODAY()-DATEVALUE(K547)&lt;=180,"PASS","FLAG - Stale &gt;180d"))</f>
        <v>FLAG - Stale &gt;180d</v>
      </c>
      <c r="T547" s="20" t="n">
        <f aca="false">COUNTIF(M547:S547,"FAIL*")+COUNTIF(M547:S547,"FLAG*")</f>
        <v>1</v>
      </c>
      <c r="U547" s="20" t="str">
        <f aca="false">IF(T547=0,"CLEAN",IF(T547=1,"MINOR",IF(T547&lt;=3,"MODERATE","CRITICAL")))</f>
        <v>MINOR</v>
      </c>
      <c r="V547" s="20" t="str">
        <f aca="false">IF(U547="CLEAN","None",IF(U547="MINOR","Seller Notify",IF(U547="MODERATE","Listing Suspended","Immediate Removal")))</f>
        <v>Seller Notify</v>
      </c>
    </row>
    <row r="548" customFormat="false" ht="18" hidden="false" customHeight="true" outlineLevel="0" collapsed="false">
      <c r="A548" s="19" t="s">
        <v>6625</v>
      </c>
      <c r="B548" s="19" t="s">
        <v>3702</v>
      </c>
      <c r="C548" s="19" t="s">
        <v>173</v>
      </c>
      <c r="D548" s="19" t="s">
        <v>174</v>
      </c>
      <c r="E548" s="19" t="s">
        <v>50</v>
      </c>
      <c r="F548" s="19" t="s">
        <v>51</v>
      </c>
      <c r="G548" s="19" t="s">
        <v>3704</v>
      </c>
      <c r="H548" s="19" t="s">
        <v>3705</v>
      </c>
      <c r="I548" s="19" t="s">
        <v>3706</v>
      </c>
      <c r="J548" s="19" t="n">
        <v>304.81</v>
      </c>
      <c r="K548" s="19" t="s">
        <v>3708</v>
      </c>
      <c r="L548" s="19"/>
      <c r="M548" s="20" t="str">
        <f aca="false">IF(G548&lt;&gt;"","PASS","FAIL - Missing UPC")</f>
        <v>PASS</v>
      </c>
      <c r="N548" s="20" t="str">
        <f aca="false">IF(AND(G548&lt;&gt;"",H548&lt;&gt;""),IF("0"&amp;G548=H548,"PASS","FAIL - GTIN Mismatch"),"SKIP")</f>
        <v>PASS</v>
      </c>
      <c r="O548" s="20" t="str">
        <f aca="false">IF(I548="","FAIL - No Title",IF(LEN(I548)&lt;=126,"PASS","FAIL - Title &gt;"&amp;126&amp;" chars"))</f>
        <v>PASS</v>
      </c>
      <c r="P548" s="20" t="str">
        <f aca="false">IF(J548&gt;0,IF(J548&lt;5000,"PASS","FLAG - Review Price"),"FAIL - Zero Price")</f>
        <v>PASS</v>
      </c>
      <c r="Q548" s="20" t="str">
        <f aca="false">IF('Raw Catalog'!P546&lt;&gt;"","PASS","FAIL - No Image")</f>
        <v>PASS</v>
      </c>
      <c r="R548" s="20" t="str">
        <f aca="false">IF(F548&lt;&gt;"","PASS","FAIL - No Brand")</f>
        <v>PASS</v>
      </c>
      <c r="S548" s="20" t="str">
        <f aca="true">IF(K548="","FAIL - No Date",IF(TODAY()-DATEVALUE(K548)&lt;=180,"PASS","FLAG - Stale &gt;180d"))</f>
        <v>FLAG - Stale &gt;180d</v>
      </c>
      <c r="T548" s="20" t="n">
        <f aca="false">COUNTIF(M548:S548,"FAIL*")+COUNTIF(M548:S548,"FLAG*")</f>
        <v>1</v>
      </c>
      <c r="U548" s="20" t="str">
        <f aca="false">IF(T548=0,"CLEAN",IF(T548=1,"MINOR",IF(T548&lt;=3,"MODERATE","CRITICAL")))</f>
        <v>MINOR</v>
      </c>
      <c r="V548" s="20" t="str">
        <f aca="false">IF(U548="CLEAN","None",IF(U548="MINOR","Seller Notify",IF(U548="MODERATE","Listing Suspended","Immediate Removal")))</f>
        <v>Seller Notify</v>
      </c>
    </row>
    <row r="549" customFormat="false" ht="18" hidden="false" customHeight="true" outlineLevel="0" collapsed="false">
      <c r="A549" s="19" t="s">
        <v>6626</v>
      </c>
      <c r="B549" s="19" t="s">
        <v>3709</v>
      </c>
      <c r="C549" s="19" t="s">
        <v>113</v>
      </c>
      <c r="D549" s="19" t="s">
        <v>114</v>
      </c>
      <c r="E549" s="19" t="s">
        <v>161</v>
      </c>
      <c r="F549" s="19" t="s">
        <v>185</v>
      </c>
      <c r="G549" s="19" t="s">
        <v>3711</v>
      </c>
      <c r="H549" s="19" t="s">
        <v>3712</v>
      </c>
      <c r="I549" s="19" t="s">
        <v>1962</v>
      </c>
      <c r="J549" s="19" t="n">
        <v>71.38</v>
      </c>
      <c r="K549" s="19" t="s">
        <v>2182</v>
      </c>
      <c r="L549" s="19"/>
      <c r="M549" s="20" t="str">
        <f aca="false">IF(G549&lt;&gt;"","PASS","FAIL - Missing UPC")</f>
        <v>PASS</v>
      </c>
      <c r="N549" s="20" t="str">
        <f aca="false">IF(AND(G549&lt;&gt;"",H549&lt;&gt;""),IF("0"&amp;G549=H549,"PASS","FAIL - GTIN Mismatch"),"SKIP")</f>
        <v>PASS</v>
      </c>
      <c r="O549" s="20" t="str">
        <f aca="false">IF(I549="","FAIL - No Title",IF(LEN(I549)&lt;=126,"PASS","FAIL - Title &gt;"&amp;126&amp;" chars"))</f>
        <v>PASS</v>
      </c>
      <c r="P549" s="20" t="str">
        <f aca="false">IF(J549&gt;0,IF(J549&lt;5000,"PASS","FLAG - Review Price"),"FAIL - Zero Price")</f>
        <v>PASS</v>
      </c>
      <c r="Q549" s="20" t="str">
        <f aca="false">IF('Raw Catalog'!P547&lt;&gt;"","PASS","FAIL - No Image")</f>
        <v>PASS</v>
      </c>
      <c r="R549" s="20" t="str">
        <f aca="false">IF(F549&lt;&gt;"","PASS","FAIL - No Brand")</f>
        <v>PASS</v>
      </c>
      <c r="S549" s="20" t="str">
        <f aca="true">IF(K549="","FAIL - No Date",IF(TODAY()-DATEVALUE(K549)&lt;=180,"PASS","FLAG - Stale &gt;180d"))</f>
        <v>FLAG - Stale &gt;180d</v>
      </c>
      <c r="T549" s="20" t="n">
        <f aca="false">COUNTIF(M549:S549,"FAIL*")+COUNTIF(M549:S549,"FLAG*")</f>
        <v>1</v>
      </c>
      <c r="U549" s="20" t="str">
        <f aca="false">IF(T549=0,"CLEAN",IF(T549=1,"MINOR",IF(T549&lt;=3,"MODERATE","CRITICAL")))</f>
        <v>MINOR</v>
      </c>
      <c r="V549" s="20" t="str">
        <f aca="false">IF(U549="CLEAN","None",IF(U549="MINOR","Seller Notify",IF(U549="MODERATE","Listing Suspended","Immediate Removal")))</f>
        <v>Seller Notify</v>
      </c>
    </row>
    <row r="550" customFormat="false" ht="18" hidden="false" customHeight="true" outlineLevel="0" collapsed="false">
      <c r="A550" s="19" t="s">
        <v>6627</v>
      </c>
      <c r="B550" s="19" t="s">
        <v>3713</v>
      </c>
      <c r="C550" s="19" t="s">
        <v>255</v>
      </c>
      <c r="D550" s="19" t="s">
        <v>256</v>
      </c>
      <c r="E550" s="19" t="s">
        <v>50</v>
      </c>
      <c r="F550" s="19" t="s">
        <v>115</v>
      </c>
      <c r="G550" s="19" t="s">
        <v>3715</v>
      </c>
      <c r="H550" s="19" t="s">
        <v>3716</v>
      </c>
      <c r="I550" s="19" t="s">
        <v>2338</v>
      </c>
      <c r="J550" s="19" t="n">
        <v>1023.23</v>
      </c>
      <c r="K550" s="19" t="s">
        <v>2006</v>
      </c>
      <c r="L550" s="21" t="s">
        <v>283</v>
      </c>
      <c r="M550" s="20" t="str">
        <f aca="false">IF(G550&lt;&gt;"","PASS","FAIL - Missing UPC")</f>
        <v>PASS</v>
      </c>
      <c r="N550" s="20" t="str">
        <f aca="false">IF(AND(G550&lt;&gt;"",H550&lt;&gt;""),IF("0"&amp;G550=H550,"PASS","FAIL - GTIN Mismatch"),"SKIP")</f>
        <v>PASS</v>
      </c>
      <c r="O550" s="20" t="str">
        <f aca="false">IF(I550="","FAIL - No Title",IF(LEN(I550)&lt;=126,"PASS","FAIL - Title &gt;"&amp;126&amp;" chars"))</f>
        <v>PASS</v>
      </c>
      <c r="P550" s="20" t="str">
        <f aca="false">IF(J550&gt;0,IF(J550&lt;5000,"PASS","FLAG - Review Price"),"FAIL - Zero Price")</f>
        <v>PASS</v>
      </c>
      <c r="Q550" s="20" t="str">
        <f aca="false">IF('Raw Catalog'!P548&lt;&gt;"","PASS","FAIL - No Image")</f>
        <v>PASS</v>
      </c>
      <c r="R550" s="20" t="str">
        <f aca="false">IF(F550&lt;&gt;"","PASS","FAIL - No Brand")</f>
        <v>PASS</v>
      </c>
      <c r="S550" s="20" t="str">
        <f aca="true">IF(K550="","FAIL - No Date",IF(TODAY()-DATEVALUE(K550)&lt;=180,"PASS","FLAG - Stale &gt;180d"))</f>
        <v>FLAG - Stale &gt;180d</v>
      </c>
      <c r="T550" s="20" t="n">
        <f aca="false">COUNTIF(M550:S550,"FAIL*")+COUNTIF(M550:S550,"FLAG*")</f>
        <v>1</v>
      </c>
      <c r="U550" s="20" t="str">
        <f aca="false">IF(T550=0,"CLEAN",IF(T550=1,"MINOR",IF(T550&lt;=3,"MODERATE","CRITICAL")))</f>
        <v>MINOR</v>
      </c>
      <c r="V550" s="20" t="str">
        <f aca="false">IF(U550="CLEAN","None",IF(U550="MINOR","Seller Notify",IF(U550="MODERATE","Listing Suspended","Immediate Removal")))</f>
        <v>Seller Notify</v>
      </c>
    </row>
    <row r="551" customFormat="false" ht="18" hidden="false" customHeight="true" outlineLevel="0" collapsed="false">
      <c r="A551" s="19" t="s">
        <v>6628</v>
      </c>
      <c r="B551" s="19" t="s">
        <v>3717</v>
      </c>
      <c r="C551" s="19" t="s">
        <v>159</v>
      </c>
      <c r="D551" s="19" t="s">
        <v>160</v>
      </c>
      <c r="E551" s="19" t="s">
        <v>50</v>
      </c>
      <c r="F551" s="19" t="s">
        <v>503</v>
      </c>
      <c r="G551" s="19" t="s">
        <v>3719</v>
      </c>
      <c r="H551" s="19" t="s">
        <v>3720</v>
      </c>
      <c r="I551" s="19" t="s">
        <v>3721</v>
      </c>
      <c r="J551" s="19" t="n">
        <v>670.17</v>
      </c>
      <c r="K551" s="19" t="s">
        <v>670</v>
      </c>
      <c r="L551" s="19"/>
      <c r="M551" s="20" t="str">
        <f aca="false">IF(G551&lt;&gt;"","PASS","FAIL - Missing UPC")</f>
        <v>PASS</v>
      </c>
      <c r="N551" s="20" t="str">
        <f aca="false">IF(AND(G551&lt;&gt;"",H551&lt;&gt;""),IF("0"&amp;G551=H551,"PASS","FAIL - GTIN Mismatch"),"SKIP")</f>
        <v>PASS</v>
      </c>
      <c r="O551" s="20" t="str">
        <f aca="false">IF(I551="","FAIL - No Title",IF(LEN(I551)&lt;=126,"PASS","FAIL - Title &gt;"&amp;126&amp;" chars"))</f>
        <v>PASS</v>
      </c>
      <c r="P551" s="20" t="str">
        <f aca="false">IF(J551&gt;0,IF(J551&lt;5000,"PASS","FLAG - Review Price"),"FAIL - Zero Price")</f>
        <v>PASS</v>
      </c>
      <c r="Q551" s="20" t="str">
        <f aca="false">IF('Raw Catalog'!P549&lt;&gt;"","PASS","FAIL - No Image")</f>
        <v>PASS</v>
      </c>
      <c r="R551" s="20" t="str">
        <f aca="false">IF(F551&lt;&gt;"","PASS","FAIL - No Brand")</f>
        <v>PASS</v>
      </c>
      <c r="S551" s="20" t="str">
        <f aca="true">IF(K551="","FAIL - No Date",IF(TODAY()-DATEVALUE(K551)&lt;=180,"PASS","FLAG - Stale &gt;180d"))</f>
        <v>FLAG - Stale &gt;180d</v>
      </c>
      <c r="T551" s="20" t="n">
        <f aca="false">COUNTIF(M551:S551,"FAIL*")+COUNTIF(M551:S551,"FLAG*")</f>
        <v>1</v>
      </c>
      <c r="U551" s="20" t="str">
        <f aca="false">IF(T551=0,"CLEAN",IF(T551=1,"MINOR",IF(T551&lt;=3,"MODERATE","CRITICAL")))</f>
        <v>MINOR</v>
      </c>
      <c r="V551" s="20" t="str">
        <f aca="false">IF(U551="CLEAN","None",IF(U551="MINOR","Seller Notify",IF(U551="MODERATE","Listing Suspended","Immediate Removal")))</f>
        <v>Seller Notify</v>
      </c>
    </row>
    <row r="552" customFormat="false" ht="18" hidden="false" customHeight="true" outlineLevel="0" collapsed="false">
      <c r="A552" s="19" t="s">
        <v>6629</v>
      </c>
      <c r="B552" s="19" t="s">
        <v>3724</v>
      </c>
      <c r="C552" s="19" t="s">
        <v>173</v>
      </c>
      <c r="D552" s="19" t="s">
        <v>174</v>
      </c>
      <c r="E552" s="19" t="s">
        <v>50</v>
      </c>
      <c r="F552" s="19" t="s">
        <v>66</v>
      </c>
      <c r="G552" s="19" t="s">
        <v>3726</v>
      </c>
      <c r="H552" s="19" t="s">
        <v>3727</v>
      </c>
      <c r="I552" s="19" t="s">
        <v>1175</v>
      </c>
      <c r="J552" s="19" t="n">
        <v>202.35</v>
      </c>
      <c r="K552" s="19" t="s">
        <v>3728</v>
      </c>
      <c r="L552" s="21" t="s">
        <v>453</v>
      </c>
      <c r="M552" s="20" t="str">
        <f aca="false">IF(G552&lt;&gt;"","PASS","FAIL - Missing UPC")</f>
        <v>PASS</v>
      </c>
      <c r="N552" s="20" t="str">
        <f aca="false">IF(AND(G552&lt;&gt;"",H552&lt;&gt;""),IF("0"&amp;G552=H552,"PASS","FAIL - GTIN Mismatch"),"SKIP")</f>
        <v>PASS</v>
      </c>
      <c r="O552" s="20" t="str">
        <f aca="false">IF(I552="","FAIL - No Title",IF(LEN(I552)&lt;=126,"PASS","FAIL - Title &gt;"&amp;126&amp;" chars"))</f>
        <v>PASS</v>
      </c>
      <c r="P552" s="20" t="str">
        <f aca="false">IF(J552&gt;0,IF(J552&lt;5000,"PASS","FLAG - Review Price"),"FAIL - Zero Price")</f>
        <v>PASS</v>
      </c>
      <c r="Q552" s="20" t="str">
        <f aca="false">IF('Raw Catalog'!P550&lt;&gt;"","PASS","FAIL - No Image")</f>
        <v>PASS</v>
      </c>
      <c r="R552" s="20" t="str">
        <f aca="false">IF(F552&lt;&gt;"","PASS","FAIL - No Brand")</f>
        <v>PASS</v>
      </c>
      <c r="S552" s="20" t="str">
        <f aca="true">IF(K552="","FAIL - No Date",IF(TODAY()-DATEVALUE(K552)&lt;=180,"PASS","FLAG - Stale &gt;180d"))</f>
        <v>FLAG - Stale &gt;180d</v>
      </c>
      <c r="T552" s="20" t="n">
        <f aca="false">COUNTIF(M552:S552,"FAIL*")+COUNTIF(M552:S552,"FLAG*")</f>
        <v>1</v>
      </c>
      <c r="U552" s="20" t="str">
        <f aca="false">IF(T552=0,"CLEAN",IF(T552=1,"MINOR",IF(T552&lt;=3,"MODERATE","CRITICAL")))</f>
        <v>MINOR</v>
      </c>
      <c r="V552" s="20" t="str">
        <f aca="false">IF(U552="CLEAN","None",IF(U552="MINOR","Seller Notify",IF(U552="MODERATE","Listing Suspended","Immediate Removal")))</f>
        <v>Seller Notify</v>
      </c>
    </row>
    <row r="553" customFormat="false" ht="18" hidden="false" customHeight="true" outlineLevel="0" collapsed="false">
      <c r="A553" s="19" t="s">
        <v>6630</v>
      </c>
      <c r="B553" s="19" t="s">
        <v>3729</v>
      </c>
      <c r="C553" s="19" t="s">
        <v>63</v>
      </c>
      <c r="D553" s="19" t="s">
        <v>64</v>
      </c>
      <c r="E553" s="19" t="s">
        <v>91</v>
      </c>
      <c r="F553" s="19" t="s">
        <v>419</v>
      </c>
      <c r="G553" s="19" t="s">
        <v>3731</v>
      </c>
      <c r="H553" s="19" t="s">
        <v>3732</v>
      </c>
      <c r="I553" s="19" t="s">
        <v>2080</v>
      </c>
      <c r="J553" s="19" t="n">
        <v>825.34</v>
      </c>
      <c r="K553" s="19" t="s">
        <v>3734</v>
      </c>
      <c r="L553" s="19"/>
      <c r="M553" s="20" t="str">
        <f aca="false">IF(G553&lt;&gt;"","PASS","FAIL - Missing UPC")</f>
        <v>PASS</v>
      </c>
      <c r="N553" s="20" t="str">
        <f aca="false">IF(AND(G553&lt;&gt;"",H553&lt;&gt;""),IF("0"&amp;G553=H553,"PASS","FAIL - GTIN Mismatch"),"SKIP")</f>
        <v>PASS</v>
      </c>
      <c r="O553" s="20" t="str">
        <f aca="false">IF(I553="","FAIL - No Title",IF(LEN(I553)&lt;=126,"PASS","FAIL - Title &gt;"&amp;126&amp;" chars"))</f>
        <v>PASS</v>
      </c>
      <c r="P553" s="20" t="str">
        <f aca="false">IF(J553&gt;0,IF(J553&lt;5000,"PASS","FLAG - Review Price"),"FAIL - Zero Price")</f>
        <v>PASS</v>
      </c>
      <c r="Q553" s="20" t="str">
        <f aca="false">IF('Raw Catalog'!P551&lt;&gt;"","PASS","FAIL - No Image")</f>
        <v>PASS</v>
      </c>
      <c r="R553" s="20" t="str">
        <f aca="false">IF(F553&lt;&gt;"","PASS","FAIL - No Brand")</f>
        <v>PASS</v>
      </c>
      <c r="S553" s="20" t="str">
        <f aca="true">IF(K553="","FAIL - No Date",IF(TODAY()-DATEVALUE(K553)&lt;=180,"PASS","FLAG - Stale &gt;180d"))</f>
        <v>FLAG - Stale &gt;180d</v>
      </c>
      <c r="T553" s="20" t="n">
        <f aca="false">COUNTIF(M553:S553,"FAIL*")+COUNTIF(M553:S553,"FLAG*")</f>
        <v>1</v>
      </c>
      <c r="U553" s="20" t="str">
        <f aca="false">IF(T553=0,"CLEAN",IF(T553=1,"MINOR",IF(T553&lt;=3,"MODERATE","CRITICAL")))</f>
        <v>MINOR</v>
      </c>
      <c r="V553" s="20" t="str">
        <f aca="false">IF(U553="CLEAN","None",IF(U553="MINOR","Seller Notify",IF(U553="MODERATE","Listing Suspended","Immediate Removal")))</f>
        <v>Seller Notify</v>
      </c>
    </row>
    <row r="554" customFormat="false" ht="18" hidden="false" customHeight="true" outlineLevel="0" collapsed="false">
      <c r="A554" s="19" t="s">
        <v>6631</v>
      </c>
      <c r="B554" s="19" t="s">
        <v>3735</v>
      </c>
      <c r="C554" s="19" t="s">
        <v>159</v>
      </c>
      <c r="D554" s="19" t="s">
        <v>160</v>
      </c>
      <c r="E554" s="19" t="s">
        <v>65</v>
      </c>
      <c r="F554" s="19" t="s">
        <v>390</v>
      </c>
      <c r="G554" s="19" t="s">
        <v>3737</v>
      </c>
      <c r="H554" s="19" t="s">
        <v>3738</v>
      </c>
      <c r="I554" s="19" t="s">
        <v>3739</v>
      </c>
      <c r="J554" s="19" t="n">
        <v>309.52</v>
      </c>
      <c r="K554" s="19" t="s">
        <v>2268</v>
      </c>
      <c r="L554" s="19"/>
      <c r="M554" s="20" t="str">
        <f aca="false">IF(G554&lt;&gt;"","PASS","FAIL - Missing UPC")</f>
        <v>PASS</v>
      </c>
      <c r="N554" s="20" t="str">
        <f aca="false">IF(AND(G554&lt;&gt;"",H554&lt;&gt;""),IF("0"&amp;G554=H554,"PASS","FAIL - GTIN Mismatch"),"SKIP")</f>
        <v>PASS</v>
      </c>
      <c r="O554" s="20" t="str">
        <f aca="false">IF(I554="","FAIL - No Title",IF(LEN(I554)&lt;=126,"PASS","FAIL - Title &gt;"&amp;126&amp;" chars"))</f>
        <v>PASS</v>
      </c>
      <c r="P554" s="20" t="str">
        <f aca="false">IF(J554&gt;0,IF(J554&lt;5000,"PASS","FLAG - Review Price"),"FAIL - Zero Price")</f>
        <v>PASS</v>
      </c>
      <c r="Q554" s="20" t="str">
        <f aca="false">IF('Raw Catalog'!P552&lt;&gt;"","PASS","FAIL - No Image")</f>
        <v>PASS</v>
      </c>
      <c r="R554" s="20" t="str">
        <f aca="false">IF(F554&lt;&gt;"","PASS","FAIL - No Brand")</f>
        <v>PASS</v>
      </c>
      <c r="S554" s="20" t="str">
        <f aca="true">IF(K554="","FAIL - No Date",IF(TODAY()-DATEVALUE(K554)&lt;=180,"PASS","FLAG - Stale &gt;180d"))</f>
        <v>FLAG - Stale &gt;180d</v>
      </c>
      <c r="T554" s="20" t="n">
        <f aca="false">COUNTIF(M554:S554,"FAIL*")+COUNTIF(M554:S554,"FLAG*")</f>
        <v>1</v>
      </c>
      <c r="U554" s="20" t="str">
        <f aca="false">IF(T554=0,"CLEAN",IF(T554=1,"MINOR",IF(T554&lt;=3,"MODERATE","CRITICAL")))</f>
        <v>MINOR</v>
      </c>
      <c r="V554" s="20" t="str">
        <f aca="false">IF(U554="CLEAN","None",IF(U554="MINOR","Seller Notify",IF(U554="MODERATE","Listing Suspended","Immediate Removal")))</f>
        <v>Seller Notify</v>
      </c>
    </row>
    <row r="555" customFormat="false" ht="18" hidden="false" customHeight="true" outlineLevel="0" collapsed="false">
      <c r="A555" s="19" t="s">
        <v>6632</v>
      </c>
      <c r="B555" s="19" t="s">
        <v>3742</v>
      </c>
      <c r="C555" s="19" t="s">
        <v>113</v>
      </c>
      <c r="D555" s="19" t="s">
        <v>114</v>
      </c>
      <c r="E555" s="19" t="s">
        <v>91</v>
      </c>
      <c r="F555" s="19" t="s">
        <v>587</v>
      </c>
      <c r="G555" s="19" t="s">
        <v>3744</v>
      </c>
      <c r="H555" s="19" t="s">
        <v>3745</v>
      </c>
      <c r="I555" s="19" t="s">
        <v>3746</v>
      </c>
      <c r="J555" s="19" t="n">
        <v>3880.5</v>
      </c>
      <c r="K555" s="19" t="s">
        <v>1459</v>
      </c>
      <c r="L555" s="19"/>
      <c r="M555" s="20" t="str">
        <f aca="false">IF(G555&lt;&gt;"","PASS","FAIL - Missing UPC")</f>
        <v>PASS</v>
      </c>
      <c r="N555" s="20" t="str">
        <f aca="false">IF(AND(G555&lt;&gt;"",H555&lt;&gt;""),IF("0"&amp;G555=H555,"PASS","FAIL - GTIN Mismatch"),"SKIP")</f>
        <v>PASS</v>
      </c>
      <c r="O555" s="20" t="str">
        <f aca="false">IF(I555="","FAIL - No Title",IF(LEN(I555)&lt;=126,"PASS","FAIL - Title &gt;"&amp;126&amp;" chars"))</f>
        <v>PASS</v>
      </c>
      <c r="P555" s="20" t="str">
        <f aca="false">IF(J555&gt;0,IF(J555&lt;5000,"PASS","FLAG - Review Price"),"FAIL - Zero Price")</f>
        <v>PASS</v>
      </c>
      <c r="Q555" s="20" t="str">
        <f aca="false">IF('Raw Catalog'!P553&lt;&gt;"","PASS","FAIL - No Image")</f>
        <v>PASS</v>
      </c>
      <c r="R555" s="20" t="str">
        <f aca="false">IF(F555&lt;&gt;"","PASS","FAIL - No Brand")</f>
        <v>PASS</v>
      </c>
      <c r="S555" s="20" t="str">
        <f aca="true">IF(K555="","FAIL - No Date",IF(TODAY()-DATEVALUE(K555)&lt;=180,"PASS","FLAG - Stale &gt;180d"))</f>
        <v>FLAG - Stale &gt;180d</v>
      </c>
      <c r="T555" s="20" t="n">
        <f aca="false">COUNTIF(M555:S555,"FAIL*")+COUNTIF(M555:S555,"FLAG*")</f>
        <v>1</v>
      </c>
      <c r="U555" s="20" t="str">
        <f aca="false">IF(T555=0,"CLEAN",IF(T555=1,"MINOR",IF(T555&lt;=3,"MODERATE","CRITICAL")))</f>
        <v>MINOR</v>
      </c>
      <c r="V555" s="20" t="str">
        <f aca="false">IF(U555="CLEAN","None",IF(U555="MINOR","Seller Notify",IF(U555="MODERATE","Listing Suspended","Immediate Removal")))</f>
        <v>Seller Notify</v>
      </c>
    </row>
    <row r="556" customFormat="false" ht="18" hidden="false" customHeight="true" outlineLevel="0" collapsed="false">
      <c r="A556" s="19" t="s">
        <v>6633</v>
      </c>
      <c r="B556" s="19" t="s">
        <v>3748</v>
      </c>
      <c r="C556" s="19" t="s">
        <v>77</v>
      </c>
      <c r="D556" s="19" t="s">
        <v>78</v>
      </c>
      <c r="E556" s="19" t="s">
        <v>79</v>
      </c>
      <c r="F556" s="19" t="s">
        <v>513</v>
      </c>
      <c r="G556" s="19" t="s">
        <v>3750</v>
      </c>
      <c r="H556" s="19" t="s">
        <v>3751</v>
      </c>
      <c r="I556" s="19" t="s">
        <v>3752</v>
      </c>
      <c r="J556" s="19" t="n">
        <v>915.4</v>
      </c>
      <c r="K556" s="19" t="s">
        <v>3754</v>
      </c>
      <c r="L556" s="19"/>
      <c r="M556" s="20" t="str">
        <f aca="false">IF(G556&lt;&gt;"","PASS","FAIL - Missing UPC")</f>
        <v>PASS</v>
      </c>
      <c r="N556" s="20" t="str">
        <f aca="false">IF(AND(G556&lt;&gt;"",H556&lt;&gt;""),IF("0"&amp;G556=H556,"PASS","FAIL - GTIN Mismatch"),"SKIP")</f>
        <v>PASS</v>
      </c>
      <c r="O556" s="20" t="str">
        <f aca="false">IF(I556="","FAIL - No Title",IF(LEN(I556)&lt;=126,"PASS","FAIL - Title &gt;"&amp;126&amp;" chars"))</f>
        <v>PASS</v>
      </c>
      <c r="P556" s="20" t="str">
        <f aca="false">IF(J556&gt;0,IF(J556&lt;5000,"PASS","FLAG - Review Price"),"FAIL - Zero Price")</f>
        <v>PASS</v>
      </c>
      <c r="Q556" s="20" t="str">
        <f aca="false">IF('Raw Catalog'!P554&lt;&gt;"","PASS","FAIL - No Image")</f>
        <v>PASS</v>
      </c>
      <c r="R556" s="20" t="str">
        <f aca="false">IF(F556&lt;&gt;"","PASS","FAIL - No Brand")</f>
        <v>PASS</v>
      </c>
      <c r="S556" s="20" t="str">
        <f aca="true">IF(K556="","FAIL - No Date",IF(TODAY()-DATEVALUE(K556)&lt;=180,"PASS","FLAG - Stale &gt;180d"))</f>
        <v>FLAG - Stale &gt;180d</v>
      </c>
      <c r="T556" s="20" t="n">
        <f aca="false">COUNTIF(M556:S556,"FAIL*")+COUNTIF(M556:S556,"FLAG*")</f>
        <v>1</v>
      </c>
      <c r="U556" s="20" t="str">
        <f aca="false">IF(T556=0,"CLEAN",IF(T556=1,"MINOR",IF(T556&lt;=3,"MODERATE","CRITICAL")))</f>
        <v>MINOR</v>
      </c>
      <c r="V556" s="20" t="str">
        <f aca="false">IF(U556="CLEAN","None",IF(U556="MINOR","Seller Notify",IF(U556="MODERATE","Listing Suspended","Immediate Removal")))</f>
        <v>Seller Notify</v>
      </c>
    </row>
    <row r="557" customFormat="false" ht="18" hidden="false" customHeight="true" outlineLevel="0" collapsed="false">
      <c r="A557" s="19" t="s">
        <v>6634</v>
      </c>
      <c r="B557" s="19" t="s">
        <v>3755</v>
      </c>
      <c r="C557" s="19" t="s">
        <v>77</v>
      </c>
      <c r="D557" s="19" t="s">
        <v>78</v>
      </c>
      <c r="E557" s="19" t="s">
        <v>91</v>
      </c>
      <c r="F557" s="19" t="s">
        <v>587</v>
      </c>
      <c r="G557" s="19" t="s">
        <v>3757</v>
      </c>
      <c r="H557" s="19" t="s">
        <v>3758</v>
      </c>
      <c r="I557" s="19" t="s">
        <v>3759</v>
      </c>
      <c r="J557" s="19" t="n">
        <v>1493.21</v>
      </c>
      <c r="K557" s="19" t="s">
        <v>242</v>
      </c>
      <c r="L557" s="19"/>
      <c r="M557" s="20" t="str">
        <f aca="false">IF(G557&lt;&gt;"","PASS","FAIL - Missing UPC")</f>
        <v>PASS</v>
      </c>
      <c r="N557" s="20" t="str">
        <f aca="false">IF(AND(G557&lt;&gt;"",H557&lt;&gt;""),IF("0"&amp;G557=H557,"PASS","FAIL - GTIN Mismatch"),"SKIP")</f>
        <v>PASS</v>
      </c>
      <c r="O557" s="20" t="str">
        <f aca="false">IF(I557="","FAIL - No Title",IF(LEN(I557)&lt;=126,"PASS","FAIL - Title &gt;"&amp;126&amp;" chars"))</f>
        <v>PASS</v>
      </c>
      <c r="P557" s="20" t="str">
        <f aca="false">IF(J557&gt;0,IF(J557&lt;5000,"PASS","FLAG - Review Price"),"FAIL - Zero Price")</f>
        <v>PASS</v>
      </c>
      <c r="Q557" s="20" t="str">
        <f aca="false">IF('Raw Catalog'!P555&lt;&gt;"","PASS","FAIL - No Image")</f>
        <v>PASS</v>
      </c>
      <c r="R557" s="20" t="str">
        <f aca="false">IF(F557&lt;&gt;"","PASS","FAIL - No Brand")</f>
        <v>PASS</v>
      </c>
      <c r="S557" s="20" t="str">
        <f aca="true">IF(K557="","FAIL - No Date",IF(TODAY()-DATEVALUE(K557)&lt;=180,"PASS","FLAG - Stale &gt;180d"))</f>
        <v>FLAG - Stale &gt;180d</v>
      </c>
      <c r="T557" s="20" t="n">
        <f aca="false">COUNTIF(M557:S557,"FAIL*")+COUNTIF(M557:S557,"FLAG*")</f>
        <v>1</v>
      </c>
      <c r="U557" s="20" t="str">
        <f aca="false">IF(T557=0,"CLEAN",IF(T557=1,"MINOR",IF(T557&lt;=3,"MODERATE","CRITICAL")))</f>
        <v>MINOR</v>
      </c>
      <c r="V557" s="20" t="str">
        <f aca="false">IF(U557="CLEAN","None",IF(U557="MINOR","Seller Notify",IF(U557="MODERATE","Listing Suspended","Immediate Removal")))</f>
        <v>Seller Notify</v>
      </c>
    </row>
    <row r="558" customFormat="false" ht="18" hidden="false" customHeight="true" outlineLevel="0" collapsed="false">
      <c r="A558" s="19" t="s">
        <v>6635</v>
      </c>
      <c r="B558" s="19" t="s">
        <v>3761</v>
      </c>
      <c r="C558" s="19" t="s">
        <v>125</v>
      </c>
      <c r="D558" s="19" t="s">
        <v>126</v>
      </c>
      <c r="E558" s="19" t="s">
        <v>91</v>
      </c>
      <c r="F558" s="19" t="s">
        <v>419</v>
      </c>
      <c r="G558" s="19" t="s">
        <v>3763</v>
      </c>
      <c r="H558" s="19" t="s">
        <v>3764</v>
      </c>
      <c r="I558" s="19" t="s">
        <v>3765</v>
      </c>
      <c r="J558" s="19" t="n">
        <v>3954.89</v>
      </c>
      <c r="K558" s="19" t="s">
        <v>3766</v>
      </c>
      <c r="L558" s="19"/>
      <c r="M558" s="20" t="str">
        <f aca="false">IF(G558&lt;&gt;"","PASS","FAIL - Missing UPC")</f>
        <v>PASS</v>
      </c>
      <c r="N558" s="20" t="str">
        <f aca="false">IF(AND(G558&lt;&gt;"",H558&lt;&gt;""),IF("0"&amp;G558=H558,"PASS","FAIL - GTIN Mismatch"),"SKIP")</f>
        <v>PASS</v>
      </c>
      <c r="O558" s="20" t="str">
        <f aca="false">IF(I558="","FAIL - No Title",IF(LEN(I558)&lt;=126,"PASS","FAIL - Title &gt;"&amp;126&amp;" chars"))</f>
        <v>PASS</v>
      </c>
      <c r="P558" s="20" t="str">
        <f aca="false">IF(J558&gt;0,IF(J558&lt;5000,"PASS","FLAG - Review Price"),"FAIL - Zero Price")</f>
        <v>PASS</v>
      </c>
      <c r="Q558" s="20" t="str">
        <f aca="false">IF('Raw Catalog'!P556&lt;&gt;"","PASS","FAIL - No Image")</f>
        <v>PASS</v>
      </c>
      <c r="R558" s="20" t="str">
        <f aca="false">IF(F558&lt;&gt;"","PASS","FAIL - No Brand")</f>
        <v>PASS</v>
      </c>
      <c r="S558" s="20" t="str">
        <f aca="true">IF(K558="","FAIL - No Date",IF(TODAY()-DATEVALUE(K558)&lt;=180,"PASS","FLAG - Stale &gt;180d"))</f>
        <v>FLAG - Stale &gt;180d</v>
      </c>
      <c r="T558" s="20" t="n">
        <f aca="false">COUNTIF(M558:S558,"FAIL*")+COUNTIF(M558:S558,"FLAG*")</f>
        <v>1</v>
      </c>
      <c r="U558" s="20" t="str">
        <f aca="false">IF(T558=0,"CLEAN",IF(T558=1,"MINOR",IF(T558&lt;=3,"MODERATE","CRITICAL")))</f>
        <v>MINOR</v>
      </c>
      <c r="V558" s="20" t="str">
        <f aca="false">IF(U558="CLEAN","None",IF(U558="MINOR","Seller Notify",IF(U558="MODERATE","Listing Suspended","Immediate Removal")))</f>
        <v>Seller Notify</v>
      </c>
    </row>
    <row r="559" customFormat="false" ht="18" hidden="false" customHeight="true" outlineLevel="0" collapsed="false">
      <c r="A559" s="19" t="s">
        <v>6636</v>
      </c>
      <c r="B559" s="19" t="s">
        <v>3767</v>
      </c>
      <c r="C559" s="19" t="s">
        <v>173</v>
      </c>
      <c r="D559" s="19" t="s">
        <v>174</v>
      </c>
      <c r="E559" s="19" t="s">
        <v>91</v>
      </c>
      <c r="F559" s="19" t="s">
        <v>138</v>
      </c>
      <c r="G559" s="19" t="s">
        <v>3769</v>
      </c>
      <c r="H559" s="19" t="s">
        <v>3770</v>
      </c>
      <c r="I559" s="19" t="s">
        <v>3771</v>
      </c>
      <c r="J559" s="19" t="n">
        <v>1186.59</v>
      </c>
      <c r="K559" s="19" t="s">
        <v>282</v>
      </c>
      <c r="L559" s="19"/>
      <c r="M559" s="20" t="str">
        <f aca="false">IF(G559&lt;&gt;"","PASS","FAIL - Missing UPC")</f>
        <v>PASS</v>
      </c>
      <c r="N559" s="20" t="str">
        <f aca="false">IF(AND(G559&lt;&gt;"",H559&lt;&gt;""),IF("0"&amp;G559=H559,"PASS","FAIL - GTIN Mismatch"),"SKIP")</f>
        <v>PASS</v>
      </c>
      <c r="O559" s="20" t="str">
        <f aca="false">IF(I559="","FAIL - No Title",IF(LEN(I559)&lt;=126,"PASS","FAIL - Title &gt;"&amp;126&amp;" chars"))</f>
        <v>PASS</v>
      </c>
      <c r="P559" s="20" t="str">
        <f aca="false">IF(J559&gt;0,IF(J559&lt;5000,"PASS","FLAG - Review Price"),"FAIL - Zero Price")</f>
        <v>PASS</v>
      </c>
      <c r="Q559" s="20" t="str">
        <f aca="false">IF('Raw Catalog'!P557&lt;&gt;"","PASS","FAIL - No Image")</f>
        <v>PASS</v>
      </c>
      <c r="R559" s="20" t="str">
        <f aca="false">IF(F559&lt;&gt;"","PASS","FAIL - No Brand")</f>
        <v>PASS</v>
      </c>
      <c r="S559" s="20" t="str">
        <f aca="true">IF(K559="","FAIL - No Date",IF(TODAY()-DATEVALUE(K559)&lt;=180,"PASS","FLAG - Stale &gt;180d"))</f>
        <v>FLAG - Stale &gt;180d</v>
      </c>
      <c r="T559" s="20" t="n">
        <f aca="false">COUNTIF(M559:S559,"FAIL*")+COUNTIF(M559:S559,"FLAG*")</f>
        <v>1</v>
      </c>
      <c r="U559" s="20" t="str">
        <f aca="false">IF(T559=0,"CLEAN",IF(T559=1,"MINOR",IF(T559&lt;=3,"MODERATE","CRITICAL")))</f>
        <v>MINOR</v>
      </c>
      <c r="V559" s="20" t="str">
        <f aca="false">IF(U559="CLEAN","None",IF(U559="MINOR","Seller Notify",IF(U559="MODERATE","Listing Suspended","Immediate Removal")))</f>
        <v>Seller Notify</v>
      </c>
    </row>
    <row r="560" customFormat="false" ht="18" hidden="false" customHeight="true" outlineLevel="0" collapsed="false">
      <c r="A560" s="19" t="s">
        <v>6637</v>
      </c>
      <c r="B560" s="19" t="s">
        <v>3774</v>
      </c>
      <c r="C560" s="19" t="s">
        <v>113</v>
      </c>
      <c r="D560" s="19" t="s">
        <v>114</v>
      </c>
      <c r="E560" s="19" t="s">
        <v>79</v>
      </c>
      <c r="F560" s="19" t="s">
        <v>956</v>
      </c>
      <c r="G560" s="19" t="s">
        <v>3776</v>
      </c>
      <c r="H560" s="19" t="s">
        <v>3777</v>
      </c>
      <c r="I560" s="19" t="s">
        <v>3778</v>
      </c>
      <c r="J560" s="19" t="n">
        <v>2244.32</v>
      </c>
      <c r="K560" s="19" t="s">
        <v>1202</v>
      </c>
      <c r="L560" s="19"/>
      <c r="M560" s="20" t="str">
        <f aca="false">IF(G560&lt;&gt;"","PASS","FAIL - Missing UPC")</f>
        <v>PASS</v>
      </c>
      <c r="N560" s="20" t="str">
        <f aca="false">IF(AND(G560&lt;&gt;"",H560&lt;&gt;""),IF("0"&amp;G560=H560,"PASS","FAIL - GTIN Mismatch"),"SKIP")</f>
        <v>PASS</v>
      </c>
      <c r="O560" s="20" t="str">
        <f aca="false">IF(I560="","FAIL - No Title",IF(LEN(I560)&lt;=126,"PASS","FAIL - Title &gt;"&amp;126&amp;" chars"))</f>
        <v>PASS</v>
      </c>
      <c r="P560" s="20" t="str">
        <f aca="false">IF(J560&gt;0,IF(J560&lt;5000,"PASS","FLAG - Review Price"),"FAIL - Zero Price")</f>
        <v>PASS</v>
      </c>
      <c r="Q560" s="20" t="str">
        <f aca="false">IF('Raw Catalog'!P558&lt;&gt;"","PASS","FAIL - No Image")</f>
        <v>PASS</v>
      </c>
      <c r="R560" s="20" t="str">
        <f aca="false">IF(F560&lt;&gt;"","PASS","FAIL - No Brand")</f>
        <v>PASS</v>
      </c>
      <c r="S560" s="20" t="str">
        <f aca="true">IF(K560="","FAIL - No Date",IF(TODAY()-DATEVALUE(K560)&lt;=180,"PASS","FLAG - Stale &gt;180d"))</f>
        <v>FLAG - Stale &gt;180d</v>
      </c>
      <c r="T560" s="20" t="n">
        <f aca="false">COUNTIF(M560:S560,"FAIL*")+COUNTIF(M560:S560,"FLAG*")</f>
        <v>1</v>
      </c>
      <c r="U560" s="20" t="str">
        <f aca="false">IF(T560=0,"CLEAN",IF(T560=1,"MINOR",IF(T560&lt;=3,"MODERATE","CRITICAL")))</f>
        <v>MINOR</v>
      </c>
      <c r="V560" s="20" t="str">
        <f aca="false">IF(U560="CLEAN","None",IF(U560="MINOR","Seller Notify",IF(U560="MODERATE","Listing Suspended","Immediate Removal")))</f>
        <v>Seller Notify</v>
      </c>
    </row>
    <row r="561" customFormat="false" ht="18" hidden="false" customHeight="true" outlineLevel="0" collapsed="false">
      <c r="A561" s="19" t="s">
        <v>6638</v>
      </c>
      <c r="B561" s="19" t="s">
        <v>3780</v>
      </c>
      <c r="C561" s="19" t="s">
        <v>159</v>
      </c>
      <c r="D561" s="19" t="s">
        <v>160</v>
      </c>
      <c r="E561" s="19" t="s">
        <v>65</v>
      </c>
      <c r="F561" s="19" t="s">
        <v>115</v>
      </c>
      <c r="G561" s="19" t="s">
        <v>3782</v>
      </c>
      <c r="H561" s="19" t="s">
        <v>3783</v>
      </c>
      <c r="I561" s="19" t="s">
        <v>153</v>
      </c>
      <c r="J561" s="19" t="n">
        <v>310.5</v>
      </c>
      <c r="K561" s="19" t="s">
        <v>1075</v>
      </c>
      <c r="L561" s="19"/>
      <c r="M561" s="20" t="str">
        <f aca="false">IF(G561&lt;&gt;"","PASS","FAIL - Missing UPC")</f>
        <v>PASS</v>
      </c>
      <c r="N561" s="20" t="str">
        <f aca="false">IF(AND(G561&lt;&gt;"",H561&lt;&gt;""),IF("0"&amp;G561=H561,"PASS","FAIL - GTIN Mismatch"),"SKIP")</f>
        <v>PASS</v>
      </c>
      <c r="O561" s="20" t="str">
        <f aca="false">IF(I561="","FAIL - No Title",IF(LEN(I561)&lt;=126,"PASS","FAIL - Title &gt;"&amp;126&amp;" chars"))</f>
        <v>PASS</v>
      </c>
      <c r="P561" s="20" t="str">
        <f aca="false">IF(J561&gt;0,IF(J561&lt;5000,"PASS","FLAG - Review Price"),"FAIL - Zero Price")</f>
        <v>PASS</v>
      </c>
      <c r="Q561" s="20" t="str">
        <f aca="false">IF('Raw Catalog'!P559&lt;&gt;"","PASS","FAIL - No Image")</f>
        <v>PASS</v>
      </c>
      <c r="R561" s="20" t="str">
        <f aca="false">IF(F561&lt;&gt;"","PASS","FAIL - No Brand")</f>
        <v>PASS</v>
      </c>
      <c r="S561" s="20" t="str">
        <f aca="true">IF(K561="","FAIL - No Date",IF(TODAY()-DATEVALUE(K561)&lt;=180,"PASS","FLAG - Stale &gt;180d"))</f>
        <v>FLAG - Stale &gt;180d</v>
      </c>
      <c r="T561" s="20" t="n">
        <f aca="false">COUNTIF(M561:S561,"FAIL*")+COUNTIF(M561:S561,"FLAG*")</f>
        <v>1</v>
      </c>
      <c r="U561" s="20" t="str">
        <f aca="false">IF(T561=0,"CLEAN",IF(T561=1,"MINOR",IF(T561&lt;=3,"MODERATE","CRITICAL")))</f>
        <v>MINOR</v>
      </c>
      <c r="V561" s="20" t="str">
        <f aca="false">IF(U561="CLEAN","None",IF(U561="MINOR","Seller Notify",IF(U561="MODERATE","Listing Suspended","Immediate Removal")))</f>
        <v>Seller Notify</v>
      </c>
    </row>
    <row r="562" customFormat="false" ht="18" hidden="false" customHeight="true" outlineLevel="0" collapsed="false">
      <c r="A562" s="19" t="s">
        <v>6639</v>
      </c>
      <c r="B562" s="19" t="s">
        <v>2721</v>
      </c>
      <c r="C562" s="19" t="s">
        <v>173</v>
      </c>
      <c r="D562" s="19" t="s">
        <v>174</v>
      </c>
      <c r="E562" s="19" t="s">
        <v>161</v>
      </c>
      <c r="F562" s="19" t="s">
        <v>51</v>
      </c>
      <c r="G562" s="19" t="s">
        <v>2723</v>
      </c>
      <c r="H562" s="19" t="s">
        <v>2724</v>
      </c>
      <c r="I562" s="19" t="s">
        <v>1561</v>
      </c>
      <c r="J562" s="19" t="n">
        <v>391.68</v>
      </c>
      <c r="K562" s="19" t="s">
        <v>304</v>
      </c>
      <c r="L562" s="19"/>
      <c r="M562" s="20" t="str">
        <f aca="false">IF(G562&lt;&gt;"","PASS","FAIL - Missing UPC")</f>
        <v>PASS</v>
      </c>
      <c r="N562" s="20" t="str">
        <f aca="false">IF(AND(G562&lt;&gt;"",H562&lt;&gt;""),IF("0"&amp;G562=H562,"PASS","FAIL - GTIN Mismatch"),"SKIP")</f>
        <v>PASS</v>
      </c>
      <c r="O562" s="20" t="str">
        <f aca="false">IF(I562="","FAIL - No Title",IF(LEN(I562)&lt;=126,"PASS","FAIL - Title &gt;"&amp;126&amp;" chars"))</f>
        <v>PASS</v>
      </c>
      <c r="P562" s="20" t="str">
        <f aca="false">IF(J562&gt;0,IF(J562&lt;5000,"PASS","FLAG - Review Price"),"FAIL - Zero Price")</f>
        <v>PASS</v>
      </c>
      <c r="Q562" s="20" t="str">
        <f aca="false">IF('Raw Catalog'!P560&lt;&gt;"","PASS","FAIL - No Image")</f>
        <v>PASS</v>
      </c>
      <c r="R562" s="20" t="str">
        <f aca="false">IF(F562&lt;&gt;"","PASS","FAIL - No Brand")</f>
        <v>PASS</v>
      </c>
      <c r="S562" s="20" t="str">
        <f aca="true">IF(K562="","FAIL - No Date",IF(TODAY()-DATEVALUE(K562)&lt;=180,"PASS","FLAG - Stale &gt;180d"))</f>
        <v>FLAG - Stale &gt;180d</v>
      </c>
      <c r="T562" s="20" t="n">
        <f aca="false">COUNTIF(M562:S562,"FAIL*")+COUNTIF(M562:S562,"FLAG*")</f>
        <v>1</v>
      </c>
      <c r="U562" s="20" t="str">
        <f aca="false">IF(T562=0,"CLEAN",IF(T562=1,"MINOR",IF(T562&lt;=3,"MODERATE","CRITICAL")))</f>
        <v>MINOR</v>
      </c>
      <c r="V562" s="20" t="str">
        <f aca="false">IF(U562="CLEAN","None",IF(U562="MINOR","Seller Notify",IF(U562="MODERATE","Listing Suspended","Immediate Removal")))</f>
        <v>Seller Notify</v>
      </c>
    </row>
    <row r="563" customFormat="false" ht="18" hidden="false" customHeight="true" outlineLevel="0" collapsed="false">
      <c r="A563" s="19" t="s">
        <v>6640</v>
      </c>
      <c r="B563" s="19" t="s">
        <v>3785</v>
      </c>
      <c r="C563" s="19" t="s">
        <v>173</v>
      </c>
      <c r="D563" s="19" t="s">
        <v>174</v>
      </c>
      <c r="E563" s="19" t="s">
        <v>79</v>
      </c>
      <c r="F563" s="19" t="s">
        <v>1531</v>
      </c>
      <c r="G563" s="19" t="s">
        <v>3787</v>
      </c>
      <c r="H563" s="19" t="s">
        <v>3788</v>
      </c>
      <c r="I563" s="19" t="s">
        <v>3789</v>
      </c>
      <c r="J563" s="19" t="n">
        <v>2197.84</v>
      </c>
      <c r="K563" s="19" t="s">
        <v>1035</v>
      </c>
      <c r="L563" s="21" t="s">
        <v>243</v>
      </c>
      <c r="M563" s="20" t="str">
        <f aca="false">IF(G563&lt;&gt;"","PASS","FAIL - Missing UPC")</f>
        <v>PASS</v>
      </c>
      <c r="N563" s="20" t="str">
        <f aca="false">IF(AND(G563&lt;&gt;"",H563&lt;&gt;""),IF("0"&amp;G563=H563,"PASS","FAIL - GTIN Mismatch"),"SKIP")</f>
        <v>FAIL - GTIN Mismatch</v>
      </c>
      <c r="O563" s="20" t="str">
        <f aca="false">IF(I563="","FAIL - No Title",IF(LEN(I563)&lt;=126,"PASS","FAIL - Title &gt;"&amp;126&amp;" chars"))</f>
        <v>PASS</v>
      </c>
      <c r="P563" s="20" t="str">
        <f aca="false">IF(J563&gt;0,IF(J563&lt;5000,"PASS","FLAG - Review Price"),"FAIL - Zero Price")</f>
        <v>PASS</v>
      </c>
      <c r="Q563" s="20" t="str">
        <f aca="false">IF('Raw Catalog'!P561&lt;&gt;"","PASS","FAIL - No Image")</f>
        <v>PASS</v>
      </c>
      <c r="R563" s="20" t="str">
        <f aca="false">IF(F563&lt;&gt;"","PASS","FAIL - No Brand")</f>
        <v>PASS</v>
      </c>
      <c r="S563" s="20" t="str">
        <f aca="true">IF(K563="","FAIL - No Date",IF(TODAY()-DATEVALUE(K563)&lt;=180,"PASS","FLAG - Stale &gt;180d"))</f>
        <v>FLAG - Stale &gt;180d</v>
      </c>
      <c r="T563" s="20" t="n">
        <f aca="false">COUNTIF(M563:S563,"FAIL*")+COUNTIF(M563:S563,"FLAG*")</f>
        <v>2</v>
      </c>
      <c r="U563" s="20" t="str">
        <f aca="false">IF(T563=0,"CLEAN",IF(T563=1,"MINOR",IF(T563&lt;=3,"MODERATE","CRITICAL")))</f>
        <v>MODERATE</v>
      </c>
      <c r="V563" s="20" t="str">
        <f aca="false">IF(U563="CLEAN","None",IF(U563="MINOR","Seller Notify",IF(U563="MODERATE","Listing Suspended","Immediate Removal")))</f>
        <v>Listing Suspended</v>
      </c>
    </row>
    <row r="564" customFormat="false" ht="18" hidden="false" customHeight="true" outlineLevel="0" collapsed="false">
      <c r="A564" s="19" t="s">
        <v>6641</v>
      </c>
      <c r="B564" s="19" t="s">
        <v>3791</v>
      </c>
      <c r="C564" s="19" t="s">
        <v>63</v>
      </c>
      <c r="D564" s="19" t="s">
        <v>64</v>
      </c>
      <c r="E564" s="19" t="s">
        <v>91</v>
      </c>
      <c r="F564" s="19" t="s">
        <v>780</v>
      </c>
      <c r="G564" s="19" t="s">
        <v>3793</v>
      </c>
      <c r="H564" s="19" t="s">
        <v>3794</v>
      </c>
      <c r="I564" s="19" t="s">
        <v>3795</v>
      </c>
      <c r="J564" s="19" t="n">
        <v>3482.13</v>
      </c>
      <c r="K564" s="19" t="s">
        <v>3005</v>
      </c>
      <c r="L564" s="19"/>
      <c r="M564" s="20" t="str">
        <f aca="false">IF(G564&lt;&gt;"","PASS","FAIL - Missing UPC")</f>
        <v>PASS</v>
      </c>
      <c r="N564" s="20" t="str">
        <f aca="false">IF(AND(G564&lt;&gt;"",H564&lt;&gt;""),IF("0"&amp;G564=H564,"PASS","FAIL - GTIN Mismatch"),"SKIP")</f>
        <v>PASS</v>
      </c>
      <c r="O564" s="20" t="str">
        <f aca="false">IF(I564="","FAIL - No Title",IF(LEN(I564)&lt;=126,"PASS","FAIL - Title &gt;"&amp;126&amp;" chars"))</f>
        <v>PASS</v>
      </c>
      <c r="P564" s="20" t="str">
        <f aca="false">IF(J564&gt;0,IF(J564&lt;5000,"PASS","FLAG - Review Price"),"FAIL - Zero Price")</f>
        <v>PASS</v>
      </c>
      <c r="Q564" s="20" t="str">
        <f aca="false">IF('Raw Catalog'!P562&lt;&gt;"","PASS","FAIL - No Image")</f>
        <v>PASS</v>
      </c>
      <c r="R564" s="20" t="str">
        <f aca="false">IF(F564&lt;&gt;"","PASS","FAIL - No Brand")</f>
        <v>PASS</v>
      </c>
      <c r="S564" s="20" t="str">
        <f aca="true">IF(K564="","FAIL - No Date",IF(TODAY()-DATEVALUE(K564)&lt;=180,"PASS","FLAG - Stale &gt;180d"))</f>
        <v>FLAG - Stale &gt;180d</v>
      </c>
      <c r="T564" s="20" t="n">
        <f aca="false">COUNTIF(M564:S564,"FAIL*")+COUNTIF(M564:S564,"FLAG*")</f>
        <v>1</v>
      </c>
      <c r="U564" s="20" t="str">
        <f aca="false">IF(T564=0,"CLEAN",IF(T564=1,"MINOR",IF(T564&lt;=3,"MODERATE","CRITICAL")))</f>
        <v>MINOR</v>
      </c>
      <c r="V564" s="20" t="str">
        <f aca="false">IF(U564="CLEAN","None",IF(U564="MINOR","Seller Notify",IF(U564="MODERATE","Listing Suspended","Immediate Removal")))</f>
        <v>Seller Notify</v>
      </c>
    </row>
    <row r="565" customFormat="false" ht="18" hidden="false" customHeight="true" outlineLevel="0" collapsed="false">
      <c r="A565" s="19" t="s">
        <v>6642</v>
      </c>
      <c r="B565" s="19" t="s">
        <v>3797</v>
      </c>
      <c r="C565" s="19" t="s">
        <v>159</v>
      </c>
      <c r="D565" s="19" t="s">
        <v>160</v>
      </c>
      <c r="E565" s="19" t="s">
        <v>91</v>
      </c>
      <c r="F565" s="19" t="s">
        <v>419</v>
      </c>
      <c r="G565" s="19" t="s">
        <v>3799</v>
      </c>
      <c r="H565" s="19" t="s">
        <v>3800</v>
      </c>
      <c r="I565" s="19" t="s">
        <v>3801</v>
      </c>
      <c r="J565" s="19" t="n">
        <v>2737.17</v>
      </c>
      <c r="K565" s="19" t="s">
        <v>2694</v>
      </c>
      <c r="L565" s="19"/>
      <c r="M565" s="20" t="str">
        <f aca="false">IF(G565&lt;&gt;"","PASS","FAIL - Missing UPC")</f>
        <v>PASS</v>
      </c>
      <c r="N565" s="20" t="str">
        <f aca="false">IF(AND(G565&lt;&gt;"",H565&lt;&gt;""),IF("0"&amp;G565=H565,"PASS","FAIL - GTIN Mismatch"),"SKIP")</f>
        <v>PASS</v>
      </c>
      <c r="O565" s="20" t="str">
        <f aca="false">IF(I565="","FAIL - No Title",IF(LEN(I565)&lt;=126,"PASS","FAIL - Title &gt;"&amp;126&amp;" chars"))</f>
        <v>PASS</v>
      </c>
      <c r="P565" s="20" t="str">
        <f aca="false">IF(J565&gt;0,IF(J565&lt;5000,"PASS","FLAG - Review Price"),"FAIL - Zero Price")</f>
        <v>PASS</v>
      </c>
      <c r="Q565" s="20" t="str">
        <f aca="false">IF('Raw Catalog'!P563&lt;&gt;"","PASS","FAIL - No Image")</f>
        <v>PASS</v>
      </c>
      <c r="R565" s="20" t="str">
        <f aca="false">IF(F565&lt;&gt;"","PASS","FAIL - No Brand")</f>
        <v>PASS</v>
      </c>
      <c r="S565" s="20" t="str">
        <f aca="true">IF(K565="","FAIL - No Date",IF(TODAY()-DATEVALUE(K565)&lt;=180,"PASS","FLAG - Stale &gt;180d"))</f>
        <v>FLAG - Stale &gt;180d</v>
      </c>
      <c r="T565" s="20" t="n">
        <f aca="false">COUNTIF(M565:S565,"FAIL*")+COUNTIF(M565:S565,"FLAG*")</f>
        <v>1</v>
      </c>
      <c r="U565" s="20" t="str">
        <f aca="false">IF(T565=0,"CLEAN",IF(T565=1,"MINOR",IF(T565&lt;=3,"MODERATE","CRITICAL")))</f>
        <v>MINOR</v>
      </c>
      <c r="V565" s="20" t="str">
        <f aca="false">IF(U565="CLEAN","None",IF(U565="MINOR","Seller Notify",IF(U565="MODERATE","Listing Suspended","Immediate Removal")))</f>
        <v>Seller Notify</v>
      </c>
    </row>
    <row r="566" customFormat="false" ht="18" hidden="false" customHeight="true" outlineLevel="0" collapsed="false">
      <c r="A566" s="19" t="s">
        <v>6643</v>
      </c>
      <c r="B566" s="19" t="s">
        <v>3803</v>
      </c>
      <c r="C566" s="19" t="s">
        <v>48</v>
      </c>
      <c r="D566" s="19" t="s">
        <v>49</v>
      </c>
      <c r="E566" s="19" t="s">
        <v>79</v>
      </c>
      <c r="F566" s="19" t="s">
        <v>465</v>
      </c>
      <c r="G566" s="19" t="s">
        <v>3805</v>
      </c>
      <c r="H566" s="19" t="s">
        <v>3806</v>
      </c>
      <c r="I566" s="19" t="s">
        <v>3807</v>
      </c>
      <c r="J566" s="19" t="n">
        <v>548.09</v>
      </c>
      <c r="K566" s="19" t="s">
        <v>1384</v>
      </c>
      <c r="L566" s="21" t="s">
        <v>778</v>
      </c>
      <c r="M566" s="20" t="str">
        <f aca="false">IF(G566&lt;&gt;"","PASS","FAIL - Missing UPC")</f>
        <v>PASS</v>
      </c>
      <c r="N566" s="20" t="str">
        <f aca="false">IF(AND(G566&lt;&gt;"",H566&lt;&gt;""),IF("0"&amp;G566=H566,"PASS","FAIL - GTIN Mismatch"),"SKIP")</f>
        <v>PASS</v>
      </c>
      <c r="O566" s="20" t="str">
        <f aca="false">IF(I566="","FAIL - No Title",IF(LEN(I566)&lt;=126,"PASS","FAIL - Title &gt;"&amp;126&amp;" chars"))</f>
        <v>FAIL - Title &gt;126 chars</v>
      </c>
      <c r="P566" s="20" t="str">
        <f aca="false">IF(J566&gt;0,IF(J566&lt;5000,"PASS","FLAG - Review Price"),"FAIL - Zero Price")</f>
        <v>PASS</v>
      </c>
      <c r="Q566" s="20" t="str">
        <f aca="false">IF('Raw Catalog'!P564&lt;&gt;"","PASS","FAIL - No Image")</f>
        <v>PASS</v>
      </c>
      <c r="R566" s="20" t="str">
        <f aca="false">IF(F566&lt;&gt;"","PASS","FAIL - No Brand")</f>
        <v>PASS</v>
      </c>
      <c r="S566" s="20" t="str">
        <f aca="true">IF(K566="","FAIL - No Date",IF(TODAY()-DATEVALUE(K566)&lt;=180,"PASS","FLAG - Stale &gt;180d"))</f>
        <v>FLAG - Stale &gt;180d</v>
      </c>
      <c r="T566" s="20" t="n">
        <f aca="false">COUNTIF(M566:S566,"FAIL*")+COUNTIF(M566:S566,"FLAG*")</f>
        <v>2</v>
      </c>
      <c r="U566" s="20" t="str">
        <f aca="false">IF(T566=0,"CLEAN",IF(T566=1,"MINOR",IF(T566&lt;=3,"MODERATE","CRITICAL")))</f>
        <v>MODERATE</v>
      </c>
      <c r="V566" s="20" t="str">
        <f aca="false">IF(U566="CLEAN","None",IF(U566="MINOR","Seller Notify",IF(U566="MODERATE","Listing Suspended","Immediate Removal")))</f>
        <v>Listing Suspended</v>
      </c>
    </row>
    <row r="567" customFormat="false" ht="18" hidden="false" customHeight="true" outlineLevel="0" collapsed="false">
      <c r="A567" s="19" t="s">
        <v>6644</v>
      </c>
      <c r="B567" s="19" t="s">
        <v>3808</v>
      </c>
      <c r="C567" s="19" t="s">
        <v>77</v>
      </c>
      <c r="D567" s="19" t="s">
        <v>78</v>
      </c>
      <c r="E567" s="19" t="s">
        <v>50</v>
      </c>
      <c r="F567" s="19" t="s">
        <v>503</v>
      </c>
      <c r="G567" s="19" t="s">
        <v>3810</v>
      </c>
      <c r="H567" s="19" t="s">
        <v>3811</v>
      </c>
      <c r="I567" s="19" t="s">
        <v>1265</v>
      </c>
      <c r="J567" s="19" t="n">
        <v>255.89</v>
      </c>
      <c r="K567" s="19" t="s">
        <v>1887</v>
      </c>
      <c r="L567" s="19"/>
      <c r="M567" s="20" t="str">
        <f aca="false">IF(G567&lt;&gt;"","PASS","FAIL - Missing UPC")</f>
        <v>PASS</v>
      </c>
      <c r="N567" s="20" t="str">
        <f aca="false">IF(AND(G567&lt;&gt;"",H567&lt;&gt;""),IF("0"&amp;G567=H567,"PASS","FAIL - GTIN Mismatch"),"SKIP")</f>
        <v>PASS</v>
      </c>
      <c r="O567" s="20" t="str">
        <f aca="false">IF(I567="","FAIL - No Title",IF(LEN(I567)&lt;=126,"PASS","FAIL - Title &gt;"&amp;126&amp;" chars"))</f>
        <v>PASS</v>
      </c>
      <c r="P567" s="20" t="str">
        <f aca="false">IF(J567&gt;0,IF(J567&lt;5000,"PASS","FLAG - Review Price"),"FAIL - Zero Price")</f>
        <v>PASS</v>
      </c>
      <c r="Q567" s="20" t="str">
        <f aca="false">IF('Raw Catalog'!P565&lt;&gt;"","PASS","FAIL - No Image")</f>
        <v>PASS</v>
      </c>
      <c r="R567" s="20" t="str">
        <f aca="false">IF(F567&lt;&gt;"","PASS","FAIL - No Brand")</f>
        <v>PASS</v>
      </c>
      <c r="S567" s="20" t="str">
        <f aca="true">IF(K567="","FAIL - No Date",IF(TODAY()-DATEVALUE(K567)&lt;=180,"PASS","FLAG - Stale &gt;180d"))</f>
        <v>FLAG - Stale &gt;180d</v>
      </c>
      <c r="T567" s="20" t="n">
        <f aca="false">COUNTIF(M567:S567,"FAIL*")+COUNTIF(M567:S567,"FLAG*")</f>
        <v>1</v>
      </c>
      <c r="U567" s="20" t="str">
        <f aca="false">IF(T567=0,"CLEAN",IF(T567=1,"MINOR",IF(T567&lt;=3,"MODERATE","CRITICAL")))</f>
        <v>MINOR</v>
      </c>
      <c r="V567" s="20" t="str">
        <f aca="false">IF(U567="CLEAN","None",IF(U567="MINOR","Seller Notify",IF(U567="MODERATE","Listing Suspended","Immediate Removal")))</f>
        <v>Seller Notify</v>
      </c>
    </row>
    <row r="568" customFormat="false" ht="18" hidden="false" customHeight="true" outlineLevel="0" collapsed="false">
      <c r="A568" s="19" t="s">
        <v>6645</v>
      </c>
      <c r="B568" s="19" t="s">
        <v>3813</v>
      </c>
      <c r="C568" s="19" t="s">
        <v>255</v>
      </c>
      <c r="D568" s="19" t="s">
        <v>256</v>
      </c>
      <c r="E568" s="19" t="s">
        <v>79</v>
      </c>
      <c r="F568" s="19" t="s">
        <v>956</v>
      </c>
      <c r="G568" s="19" t="s">
        <v>3815</v>
      </c>
      <c r="H568" s="19" t="s">
        <v>3816</v>
      </c>
      <c r="I568" s="19" t="s">
        <v>3817</v>
      </c>
      <c r="J568" s="19" t="n">
        <v>2457.51</v>
      </c>
      <c r="K568" s="19" t="s">
        <v>3728</v>
      </c>
      <c r="L568" s="21" t="s">
        <v>1014</v>
      </c>
      <c r="M568" s="20" t="str">
        <f aca="false">IF(G568&lt;&gt;"","PASS","FAIL - Missing UPC")</f>
        <v>PASS</v>
      </c>
      <c r="N568" s="20" t="str">
        <f aca="false">IF(AND(G568&lt;&gt;"",H568&lt;&gt;""),IF("0"&amp;G568=H568,"PASS","FAIL - GTIN Mismatch"),"SKIP")</f>
        <v>PASS</v>
      </c>
      <c r="O568" s="20" t="str">
        <f aca="false">IF(I568="","FAIL - No Title",IF(LEN(I568)&lt;=126,"PASS","FAIL - Title &gt;"&amp;126&amp;" chars"))</f>
        <v>PASS</v>
      </c>
      <c r="P568" s="20" t="str">
        <f aca="false">IF(J568&gt;0,IF(J568&lt;5000,"PASS","FLAG - Review Price"),"FAIL - Zero Price")</f>
        <v>PASS</v>
      </c>
      <c r="Q568" s="20" t="str">
        <f aca="false">IF('Raw Catalog'!P566&lt;&gt;"","PASS","FAIL - No Image")</f>
        <v>FAIL - No Image</v>
      </c>
      <c r="R568" s="20" t="str">
        <f aca="false">IF(F568&lt;&gt;"","PASS","FAIL - No Brand")</f>
        <v>PASS</v>
      </c>
      <c r="S568" s="20" t="str">
        <f aca="true">IF(K568="","FAIL - No Date",IF(TODAY()-DATEVALUE(K568)&lt;=180,"PASS","FLAG - Stale &gt;180d"))</f>
        <v>FLAG - Stale &gt;180d</v>
      </c>
      <c r="T568" s="20" t="n">
        <f aca="false">COUNTIF(M568:S568,"FAIL*")+COUNTIF(M568:S568,"FLAG*")</f>
        <v>2</v>
      </c>
      <c r="U568" s="20" t="str">
        <f aca="false">IF(T568=0,"CLEAN",IF(T568=1,"MINOR",IF(T568&lt;=3,"MODERATE","CRITICAL")))</f>
        <v>MODERATE</v>
      </c>
      <c r="V568" s="20" t="str">
        <f aca="false">IF(U568="CLEAN","None",IF(U568="MINOR","Seller Notify",IF(U568="MODERATE","Listing Suspended","Immediate Removal")))</f>
        <v>Listing Suspended</v>
      </c>
    </row>
    <row r="569" customFormat="false" ht="18" hidden="false" customHeight="true" outlineLevel="0" collapsed="false">
      <c r="A569" s="19" t="s">
        <v>6646</v>
      </c>
      <c r="B569" s="19" t="s">
        <v>3819</v>
      </c>
      <c r="C569" s="19" t="s">
        <v>63</v>
      </c>
      <c r="D569" s="19" t="s">
        <v>64</v>
      </c>
      <c r="E569" s="19" t="s">
        <v>161</v>
      </c>
      <c r="F569" s="19" t="s">
        <v>822</v>
      </c>
      <c r="G569" s="19" t="s">
        <v>3821</v>
      </c>
      <c r="H569" s="19" t="s">
        <v>3822</v>
      </c>
      <c r="I569" s="19" t="s">
        <v>3823</v>
      </c>
      <c r="J569" s="19" t="n">
        <v>161.96</v>
      </c>
      <c r="K569" s="19" t="s">
        <v>1795</v>
      </c>
      <c r="L569" s="19"/>
      <c r="M569" s="20" t="str">
        <f aca="false">IF(G569&lt;&gt;"","PASS","FAIL - Missing UPC")</f>
        <v>PASS</v>
      </c>
      <c r="N569" s="20" t="str">
        <f aca="false">IF(AND(G569&lt;&gt;"",H569&lt;&gt;""),IF("0"&amp;G569=H569,"PASS","FAIL - GTIN Mismatch"),"SKIP")</f>
        <v>PASS</v>
      </c>
      <c r="O569" s="20" t="str">
        <f aca="false">IF(I569="","FAIL - No Title",IF(LEN(I569)&lt;=126,"PASS","FAIL - Title &gt;"&amp;126&amp;" chars"))</f>
        <v>PASS</v>
      </c>
      <c r="P569" s="20" t="str">
        <f aca="false">IF(J569&gt;0,IF(J569&lt;5000,"PASS","FLAG - Review Price"),"FAIL - Zero Price")</f>
        <v>PASS</v>
      </c>
      <c r="Q569" s="20" t="str">
        <f aca="false">IF('Raw Catalog'!P567&lt;&gt;"","PASS","FAIL - No Image")</f>
        <v>PASS</v>
      </c>
      <c r="R569" s="20" t="str">
        <f aca="false">IF(F569&lt;&gt;"","PASS","FAIL - No Brand")</f>
        <v>PASS</v>
      </c>
      <c r="S569" s="20" t="str">
        <f aca="true">IF(K569="","FAIL - No Date",IF(TODAY()-DATEVALUE(K569)&lt;=180,"PASS","FLAG - Stale &gt;180d"))</f>
        <v>FLAG - Stale &gt;180d</v>
      </c>
      <c r="T569" s="20" t="n">
        <f aca="false">COUNTIF(M569:S569,"FAIL*")+COUNTIF(M569:S569,"FLAG*")</f>
        <v>1</v>
      </c>
      <c r="U569" s="20" t="str">
        <f aca="false">IF(T569=0,"CLEAN",IF(T569=1,"MINOR",IF(T569&lt;=3,"MODERATE","CRITICAL")))</f>
        <v>MINOR</v>
      </c>
      <c r="V569" s="20" t="str">
        <f aca="false">IF(U569="CLEAN","None",IF(U569="MINOR","Seller Notify",IF(U569="MODERATE","Listing Suspended","Immediate Removal")))</f>
        <v>Seller Notify</v>
      </c>
    </row>
    <row r="570" customFormat="false" ht="18" hidden="false" customHeight="true" outlineLevel="0" collapsed="false">
      <c r="A570" s="19" t="s">
        <v>6647</v>
      </c>
      <c r="B570" s="19" t="s">
        <v>3824</v>
      </c>
      <c r="C570" s="19" t="s">
        <v>173</v>
      </c>
      <c r="D570" s="19" t="s">
        <v>174</v>
      </c>
      <c r="E570" s="19" t="s">
        <v>50</v>
      </c>
      <c r="F570" s="19" t="s">
        <v>138</v>
      </c>
      <c r="G570" s="19" t="s">
        <v>3826</v>
      </c>
      <c r="H570" s="19" t="s">
        <v>3827</v>
      </c>
      <c r="I570" s="19" t="s">
        <v>3828</v>
      </c>
      <c r="J570" s="19" t="n">
        <v>630.32</v>
      </c>
      <c r="K570" s="19" t="s">
        <v>3405</v>
      </c>
      <c r="L570" s="21" t="s">
        <v>283</v>
      </c>
      <c r="M570" s="20" t="str">
        <f aca="false">IF(G570&lt;&gt;"","PASS","FAIL - Missing UPC")</f>
        <v>PASS</v>
      </c>
      <c r="N570" s="20" t="str">
        <f aca="false">IF(AND(G570&lt;&gt;"",H570&lt;&gt;""),IF("0"&amp;G570=H570,"PASS","FAIL - GTIN Mismatch"),"SKIP")</f>
        <v>PASS</v>
      </c>
      <c r="O570" s="20" t="str">
        <f aca="false">IF(I570="","FAIL - No Title",IF(LEN(I570)&lt;=126,"PASS","FAIL - Title &gt;"&amp;126&amp;" chars"))</f>
        <v>PASS</v>
      </c>
      <c r="P570" s="20" t="str">
        <f aca="false">IF(J570&gt;0,IF(J570&lt;5000,"PASS","FLAG - Review Price"),"FAIL - Zero Price")</f>
        <v>PASS</v>
      </c>
      <c r="Q570" s="20" t="str">
        <f aca="false">IF('Raw Catalog'!P568&lt;&gt;"","PASS","FAIL - No Image")</f>
        <v>PASS</v>
      </c>
      <c r="R570" s="20" t="str">
        <f aca="false">IF(F570&lt;&gt;"","PASS","FAIL - No Brand")</f>
        <v>PASS</v>
      </c>
      <c r="S570" s="20" t="str">
        <f aca="true">IF(K570="","FAIL - No Date",IF(TODAY()-DATEVALUE(K570)&lt;=180,"PASS","FLAG - Stale &gt;180d"))</f>
        <v>FLAG - Stale &gt;180d</v>
      </c>
      <c r="T570" s="20" t="n">
        <f aca="false">COUNTIF(M570:S570,"FAIL*")+COUNTIF(M570:S570,"FLAG*")</f>
        <v>1</v>
      </c>
      <c r="U570" s="20" t="str">
        <f aca="false">IF(T570=0,"CLEAN",IF(T570=1,"MINOR",IF(T570&lt;=3,"MODERATE","CRITICAL")))</f>
        <v>MINOR</v>
      </c>
      <c r="V570" s="20" t="str">
        <f aca="false">IF(U570="CLEAN","None",IF(U570="MINOR","Seller Notify",IF(U570="MODERATE","Listing Suspended","Immediate Removal")))</f>
        <v>Seller Notify</v>
      </c>
    </row>
    <row r="571" customFormat="false" ht="18" hidden="false" customHeight="true" outlineLevel="0" collapsed="false">
      <c r="A571" s="19" t="s">
        <v>6648</v>
      </c>
      <c r="B571" s="19" t="s">
        <v>3830</v>
      </c>
      <c r="C571" s="19" t="s">
        <v>113</v>
      </c>
      <c r="D571" s="19" t="s">
        <v>114</v>
      </c>
      <c r="E571" s="19" t="s">
        <v>91</v>
      </c>
      <c r="F571" s="19" t="s">
        <v>92</v>
      </c>
      <c r="G571" s="19" t="s">
        <v>3832</v>
      </c>
      <c r="H571" s="19" t="s">
        <v>3833</v>
      </c>
      <c r="I571" s="19" t="s">
        <v>3834</v>
      </c>
      <c r="J571" s="19" t="n">
        <v>891.28</v>
      </c>
      <c r="K571" s="19" t="s">
        <v>323</v>
      </c>
      <c r="L571" s="19"/>
      <c r="M571" s="20" t="str">
        <f aca="false">IF(G571&lt;&gt;"","PASS","FAIL - Missing UPC")</f>
        <v>PASS</v>
      </c>
      <c r="N571" s="20" t="str">
        <f aca="false">IF(AND(G571&lt;&gt;"",H571&lt;&gt;""),IF("0"&amp;G571=H571,"PASS","FAIL - GTIN Mismatch"),"SKIP")</f>
        <v>PASS</v>
      </c>
      <c r="O571" s="20" t="str">
        <f aca="false">IF(I571="","FAIL - No Title",IF(LEN(I571)&lt;=126,"PASS","FAIL - Title &gt;"&amp;126&amp;" chars"))</f>
        <v>PASS</v>
      </c>
      <c r="P571" s="20" t="str">
        <f aca="false">IF(J571&gt;0,IF(J571&lt;5000,"PASS","FLAG - Review Price"),"FAIL - Zero Price")</f>
        <v>PASS</v>
      </c>
      <c r="Q571" s="20" t="str">
        <f aca="false">IF('Raw Catalog'!P569&lt;&gt;"","PASS","FAIL - No Image")</f>
        <v>PASS</v>
      </c>
      <c r="R571" s="20" t="str">
        <f aca="false">IF(F571&lt;&gt;"","PASS","FAIL - No Brand")</f>
        <v>PASS</v>
      </c>
      <c r="S571" s="20" t="str">
        <f aca="true">IF(K571="","FAIL - No Date",IF(TODAY()-DATEVALUE(K571)&lt;=180,"PASS","FLAG - Stale &gt;180d"))</f>
        <v>FLAG - Stale &gt;180d</v>
      </c>
      <c r="T571" s="20" t="n">
        <f aca="false">COUNTIF(M571:S571,"FAIL*")+COUNTIF(M571:S571,"FLAG*")</f>
        <v>1</v>
      </c>
      <c r="U571" s="20" t="str">
        <f aca="false">IF(T571=0,"CLEAN",IF(T571=1,"MINOR",IF(T571&lt;=3,"MODERATE","CRITICAL")))</f>
        <v>MINOR</v>
      </c>
      <c r="V571" s="20" t="str">
        <f aca="false">IF(U571="CLEAN","None",IF(U571="MINOR","Seller Notify",IF(U571="MODERATE","Listing Suspended","Immediate Removal")))</f>
        <v>Seller Notify</v>
      </c>
    </row>
    <row r="572" customFormat="false" ht="18" hidden="false" customHeight="true" outlineLevel="0" collapsed="false">
      <c r="A572" s="19" t="s">
        <v>6649</v>
      </c>
      <c r="B572" s="19" t="s">
        <v>3836</v>
      </c>
      <c r="C572" s="19" t="s">
        <v>125</v>
      </c>
      <c r="D572" s="19" t="s">
        <v>126</v>
      </c>
      <c r="E572" s="19" t="s">
        <v>65</v>
      </c>
      <c r="F572" s="19" t="s">
        <v>227</v>
      </c>
      <c r="G572" s="19" t="s">
        <v>3838</v>
      </c>
      <c r="H572" s="19" t="s">
        <v>3839</v>
      </c>
      <c r="I572" s="19" t="s">
        <v>3456</v>
      </c>
      <c r="J572" s="19" t="n">
        <v>98.45</v>
      </c>
      <c r="K572" s="19" t="s">
        <v>242</v>
      </c>
      <c r="L572" s="19"/>
      <c r="M572" s="20" t="str">
        <f aca="false">IF(G572&lt;&gt;"","PASS","FAIL - Missing UPC")</f>
        <v>PASS</v>
      </c>
      <c r="N572" s="20" t="str">
        <f aca="false">IF(AND(G572&lt;&gt;"",H572&lt;&gt;""),IF("0"&amp;G572=H572,"PASS","FAIL - GTIN Mismatch"),"SKIP")</f>
        <v>PASS</v>
      </c>
      <c r="O572" s="20" t="str">
        <f aca="false">IF(I572="","FAIL - No Title",IF(LEN(I572)&lt;=126,"PASS","FAIL - Title &gt;"&amp;126&amp;" chars"))</f>
        <v>PASS</v>
      </c>
      <c r="P572" s="20" t="str">
        <f aca="false">IF(J572&gt;0,IF(J572&lt;5000,"PASS","FLAG - Review Price"),"FAIL - Zero Price")</f>
        <v>PASS</v>
      </c>
      <c r="Q572" s="20" t="str">
        <f aca="false">IF('Raw Catalog'!P570&lt;&gt;"","PASS","FAIL - No Image")</f>
        <v>PASS</v>
      </c>
      <c r="R572" s="20" t="str">
        <f aca="false">IF(F572&lt;&gt;"","PASS","FAIL - No Brand")</f>
        <v>PASS</v>
      </c>
      <c r="S572" s="20" t="str">
        <f aca="true">IF(K572="","FAIL - No Date",IF(TODAY()-DATEVALUE(K572)&lt;=180,"PASS","FLAG - Stale &gt;180d"))</f>
        <v>FLAG - Stale &gt;180d</v>
      </c>
      <c r="T572" s="20" t="n">
        <f aca="false">COUNTIF(M572:S572,"FAIL*")+COUNTIF(M572:S572,"FLAG*")</f>
        <v>1</v>
      </c>
      <c r="U572" s="20" t="str">
        <f aca="false">IF(T572=0,"CLEAN",IF(T572=1,"MINOR",IF(T572&lt;=3,"MODERATE","CRITICAL")))</f>
        <v>MINOR</v>
      </c>
      <c r="V572" s="20" t="str">
        <f aca="false">IF(U572="CLEAN","None",IF(U572="MINOR","Seller Notify",IF(U572="MODERATE","Listing Suspended","Immediate Removal")))</f>
        <v>Seller Notify</v>
      </c>
    </row>
    <row r="573" customFormat="false" ht="18" hidden="false" customHeight="true" outlineLevel="0" collapsed="false">
      <c r="A573" s="19" t="s">
        <v>6650</v>
      </c>
      <c r="B573" s="19" t="s">
        <v>3840</v>
      </c>
      <c r="C573" s="19" t="s">
        <v>48</v>
      </c>
      <c r="D573" s="19" t="s">
        <v>49</v>
      </c>
      <c r="E573" s="19" t="s">
        <v>50</v>
      </c>
      <c r="F573" s="19" t="s">
        <v>115</v>
      </c>
      <c r="G573" s="19" t="s">
        <v>3842</v>
      </c>
      <c r="H573" s="19" t="s">
        <v>3843</v>
      </c>
      <c r="I573" s="19" t="s">
        <v>3844</v>
      </c>
      <c r="J573" s="19" t="n">
        <v>579.05</v>
      </c>
      <c r="K573" s="19" t="s">
        <v>1570</v>
      </c>
      <c r="L573" s="19"/>
      <c r="M573" s="20" t="str">
        <f aca="false">IF(G573&lt;&gt;"","PASS","FAIL - Missing UPC")</f>
        <v>PASS</v>
      </c>
      <c r="N573" s="20" t="str">
        <f aca="false">IF(AND(G573&lt;&gt;"",H573&lt;&gt;""),IF("0"&amp;G573=H573,"PASS","FAIL - GTIN Mismatch"),"SKIP")</f>
        <v>PASS</v>
      </c>
      <c r="O573" s="20" t="str">
        <f aca="false">IF(I573="","FAIL - No Title",IF(LEN(I573)&lt;=126,"PASS","FAIL - Title &gt;"&amp;126&amp;" chars"))</f>
        <v>PASS</v>
      </c>
      <c r="P573" s="20" t="str">
        <f aca="false">IF(J573&gt;0,IF(J573&lt;5000,"PASS","FLAG - Review Price"),"FAIL - Zero Price")</f>
        <v>PASS</v>
      </c>
      <c r="Q573" s="20" t="str">
        <f aca="false">IF('Raw Catalog'!P571&lt;&gt;"","PASS","FAIL - No Image")</f>
        <v>PASS</v>
      </c>
      <c r="R573" s="20" t="str">
        <f aca="false">IF(F573&lt;&gt;"","PASS","FAIL - No Brand")</f>
        <v>PASS</v>
      </c>
      <c r="S573" s="20" t="str">
        <f aca="true">IF(K573="","FAIL - No Date",IF(TODAY()-DATEVALUE(K573)&lt;=180,"PASS","FLAG - Stale &gt;180d"))</f>
        <v>FLAG - Stale &gt;180d</v>
      </c>
      <c r="T573" s="20" t="n">
        <f aca="false">COUNTIF(M573:S573,"FAIL*")+COUNTIF(M573:S573,"FLAG*")</f>
        <v>1</v>
      </c>
      <c r="U573" s="20" t="str">
        <f aca="false">IF(T573=0,"CLEAN",IF(T573=1,"MINOR",IF(T573&lt;=3,"MODERATE","CRITICAL")))</f>
        <v>MINOR</v>
      </c>
      <c r="V573" s="20" t="str">
        <f aca="false">IF(U573="CLEAN","None",IF(U573="MINOR","Seller Notify",IF(U573="MODERATE","Listing Suspended","Immediate Removal")))</f>
        <v>Seller Notify</v>
      </c>
    </row>
    <row r="574" customFormat="false" ht="18" hidden="false" customHeight="true" outlineLevel="0" collapsed="false">
      <c r="A574" s="19" t="s">
        <v>6651</v>
      </c>
      <c r="B574" s="19" t="s">
        <v>3845</v>
      </c>
      <c r="C574" s="19" t="s">
        <v>255</v>
      </c>
      <c r="D574" s="19" t="s">
        <v>256</v>
      </c>
      <c r="E574" s="19" t="s">
        <v>65</v>
      </c>
      <c r="F574" s="19" t="s">
        <v>66</v>
      </c>
      <c r="G574" s="19" t="s">
        <v>3847</v>
      </c>
      <c r="H574" s="19" t="s">
        <v>3848</v>
      </c>
      <c r="I574" s="19" t="s">
        <v>1696</v>
      </c>
      <c r="J574" s="19" t="n">
        <v>71.74</v>
      </c>
      <c r="K574" s="19" t="s">
        <v>3451</v>
      </c>
      <c r="L574" s="19"/>
      <c r="M574" s="20" t="str">
        <f aca="false">IF(G574&lt;&gt;"","PASS","FAIL - Missing UPC")</f>
        <v>PASS</v>
      </c>
      <c r="N574" s="20" t="str">
        <f aca="false">IF(AND(G574&lt;&gt;"",H574&lt;&gt;""),IF("0"&amp;G574=H574,"PASS","FAIL - GTIN Mismatch"),"SKIP")</f>
        <v>PASS</v>
      </c>
      <c r="O574" s="20" t="str">
        <f aca="false">IF(I574="","FAIL - No Title",IF(LEN(I574)&lt;=126,"PASS","FAIL - Title &gt;"&amp;126&amp;" chars"))</f>
        <v>PASS</v>
      </c>
      <c r="P574" s="20" t="str">
        <f aca="false">IF(J574&gt;0,IF(J574&lt;5000,"PASS","FLAG - Review Price"),"FAIL - Zero Price")</f>
        <v>PASS</v>
      </c>
      <c r="Q574" s="20" t="str">
        <f aca="false">IF('Raw Catalog'!P572&lt;&gt;"","PASS","FAIL - No Image")</f>
        <v>PASS</v>
      </c>
      <c r="R574" s="20" t="str">
        <f aca="false">IF(F574&lt;&gt;"","PASS","FAIL - No Brand")</f>
        <v>PASS</v>
      </c>
      <c r="S574" s="20" t="str">
        <f aca="true">IF(K574="","FAIL - No Date",IF(TODAY()-DATEVALUE(K574)&lt;=180,"PASS","FLAG - Stale &gt;180d"))</f>
        <v>FLAG - Stale &gt;180d</v>
      </c>
      <c r="T574" s="20" t="n">
        <f aca="false">COUNTIF(M574:S574,"FAIL*")+COUNTIF(M574:S574,"FLAG*")</f>
        <v>1</v>
      </c>
      <c r="U574" s="20" t="str">
        <f aca="false">IF(T574=0,"CLEAN",IF(T574=1,"MINOR",IF(T574&lt;=3,"MODERATE","CRITICAL")))</f>
        <v>MINOR</v>
      </c>
      <c r="V574" s="20" t="str">
        <f aca="false">IF(U574="CLEAN","None",IF(U574="MINOR","Seller Notify",IF(U574="MODERATE","Listing Suspended","Immediate Removal")))</f>
        <v>Seller Notify</v>
      </c>
    </row>
    <row r="575" customFormat="false" ht="18" hidden="false" customHeight="true" outlineLevel="0" collapsed="false">
      <c r="A575" s="19" t="s">
        <v>6652</v>
      </c>
      <c r="B575" s="19" t="s">
        <v>3850</v>
      </c>
      <c r="C575" s="19" t="s">
        <v>77</v>
      </c>
      <c r="D575" s="19" t="s">
        <v>78</v>
      </c>
      <c r="E575" s="19" t="s">
        <v>65</v>
      </c>
      <c r="F575" s="19" t="s">
        <v>371</v>
      </c>
      <c r="G575" s="19" t="s">
        <v>3852</v>
      </c>
      <c r="H575" s="19" t="s">
        <v>3853</v>
      </c>
      <c r="I575" s="19" t="s">
        <v>2106</v>
      </c>
      <c r="J575" s="19" t="n">
        <v>105.56</v>
      </c>
      <c r="K575" s="19" t="s">
        <v>2527</v>
      </c>
      <c r="L575" s="19"/>
      <c r="M575" s="20" t="str">
        <f aca="false">IF(G575&lt;&gt;"","PASS","FAIL - Missing UPC")</f>
        <v>PASS</v>
      </c>
      <c r="N575" s="20" t="str">
        <f aca="false">IF(AND(G575&lt;&gt;"",H575&lt;&gt;""),IF("0"&amp;G575=H575,"PASS","FAIL - GTIN Mismatch"),"SKIP")</f>
        <v>PASS</v>
      </c>
      <c r="O575" s="20" t="str">
        <f aca="false">IF(I575="","FAIL - No Title",IF(LEN(I575)&lt;=126,"PASS","FAIL - Title &gt;"&amp;126&amp;" chars"))</f>
        <v>PASS</v>
      </c>
      <c r="P575" s="20" t="str">
        <f aca="false">IF(J575&gt;0,IF(J575&lt;5000,"PASS","FLAG - Review Price"),"FAIL - Zero Price")</f>
        <v>PASS</v>
      </c>
      <c r="Q575" s="20" t="str">
        <f aca="false">IF('Raw Catalog'!P573&lt;&gt;"","PASS","FAIL - No Image")</f>
        <v>PASS</v>
      </c>
      <c r="R575" s="20" t="str">
        <f aca="false">IF(F575&lt;&gt;"","PASS","FAIL - No Brand")</f>
        <v>PASS</v>
      </c>
      <c r="S575" s="20" t="str">
        <f aca="true">IF(K575="","FAIL - No Date",IF(TODAY()-DATEVALUE(K575)&lt;=180,"PASS","FLAG - Stale &gt;180d"))</f>
        <v>FLAG - Stale &gt;180d</v>
      </c>
      <c r="T575" s="20" t="n">
        <f aca="false">COUNTIF(M575:S575,"FAIL*")+COUNTIF(M575:S575,"FLAG*")</f>
        <v>1</v>
      </c>
      <c r="U575" s="20" t="str">
        <f aca="false">IF(T575=0,"CLEAN",IF(T575=1,"MINOR",IF(T575&lt;=3,"MODERATE","CRITICAL")))</f>
        <v>MINOR</v>
      </c>
      <c r="V575" s="20" t="str">
        <f aca="false">IF(U575="CLEAN","None",IF(U575="MINOR","Seller Notify",IF(U575="MODERATE","Listing Suspended","Immediate Removal")))</f>
        <v>Seller Notify</v>
      </c>
    </row>
    <row r="576" customFormat="false" ht="18" hidden="false" customHeight="true" outlineLevel="0" collapsed="false">
      <c r="A576" s="19" t="s">
        <v>6653</v>
      </c>
      <c r="B576" s="19" t="s">
        <v>3854</v>
      </c>
      <c r="C576" s="19" t="s">
        <v>63</v>
      </c>
      <c r="D576" s="19" t="s">
        <v>64</v>
      </c>
      <c r="E576" s="19" t="s">
        <v>91</v>
      </c>
      <c r="F576" s="19" t="s">
        <v>185</v>
      </c>
      <c r="G576" s="19" t="s">
        <v>3856</v>
      </c>
      <c r="H576" s="19" t="s">
        <v>3857</v>
      </c>
      <c r="I576" s="19" t="s">
        <v>3858</v>
      </c>
      <c r="J576" s="19" t="n">
        <v>1585.88</v>
      </c>
      <c r="K576" s="19" t="s">
        <v>369</v>
      </c>
      <c r="L576" s="19"/>
      <c r="M576" s="20" t="str">
        <f aca="false">IF(G576&lt;&gt;"","PASS","FAIL - Missing UPC")</f>
        <v>PASS</v>
      </c>
      <c r="N576" s="20" t="str">
        <f aca="false">IF(AND(G576&lt;&gt;"",H576&lt;&gt;""),IF("0"&amp;G576=H576,"PASS","FAIL - GTIN Mismatch"),"SKIP")</f>
        <v>PASS</v>
      </c>
      <c r="O576" s="20" t="str">
        <f aca="false">IF(I576="","FAIL - No Title",IF(LEN(I576)&lt;=126,"PASS","FAIL - Title &gt;"&amp;126&amp;" chars"))</f>
        <v>PASS</v>
      </c>
      <c r="P576" s="20" t="str">
        <f aca="false">IF(J576&gt;0,IF(J576&lt;5000,"PASS","FLAG - Review Price"),"FAIL - Zero Price")</f>
        <v>PASS</v>
      </c>
      <c r="Q576" s="20" t="str">
        <f aca="false">IF('Raw Catalog'!P574&lt;&gt;"","PASS","FAIL - No Image")</f>
        <v>PASS</v>
      </c>
      <c r="R576" s="20" t="str">
        <f aca="false">IF(F576&lt;&gt;"","PASS","FAIL - No Brand")</f>
        <v>PASS</v>
      </c>
      <c r="S576" s="20" t="str">
        <f aca="true">IF(K576="","FAIL - No Date",IF(TODAY()-DATEVALUE(K576)&lt;=180,"PASS","FLAG - Stale &gt;180d"))</f>
        <v>FLAG - Stale &gt;180d</v>
      </c>
      <c r="T576" s="20" t="n">
        <f aca="false">COUNTIF(M576:S576,"FAIL*")+COUNTIF(M576:S576,"FLAG*")</f>
        <v>1</v>
      </c>
      <c r="U576" s="20" t="str">
        <f aca="false">IF(T576=0,"CLEAN",IF(T576=1,"MINOR",IF(T576&lt;=3,"MODERATE","CRITICAL")))</f>
        <v>MINOR</v>
      </c>
      <c r="V576" s="20" t="str">
        <f aca="false">IF(U576="CLEAN","None",IF(U576="MINOR","Seller Notify",IF(U576="MODERATE","Listing Suspended","Immediate Removal")))</f>
        <v>Seller Notify</v>
      </c>
    </row>
    <row r="577" customFormat="false" ht="18" hidden="false" customHeight="true" outlineLevel="0" collapsed="false">
      <c r="A577" s="19" t="s">
        <v>6654</v>
      </c>
      <c r="B577" s="19" t="s">
        <v>3859</v>
      </c>
      <c r="C577" s="19" t="s">
        <v>77</v>
      </c>
      <c r="D577" s="19" t="s">
        <v>78</v>
      </c>
      <c r="E577" s="19" t="s">
        <v>91</v>
      </c>
      <c r="F577" s="19" t="s">
        <v>92</v>
      </c>
      <c r="G577" s="19" t="s">
        <v>3861</v>
      </c>
      <c r="H577" s="19" t="s">
        <v>3862</v>
      </c>
      <c r="I577" s="19" t="s">
        <v>3863</v>
      </c>
      <c r="J577" s="19" t="n">
        <v>1760.7</v>
      </c>
      <c r="K577" s="19" t="s">
        <v>380</v>
      </c>
      <c r="L577" s="19"/>
      <c r="M577" s="20" t="str">
        <f aca="false">IF(G577&lt;&gt;"","PASS","FAIL - Missing UPC")</f>
        <v>PASS</v>
      </c>
      <c r="N577" s="20" t="str">
        <f aca="false">IF(AND(G577&lt;&gt;"",H577&lt;&gt;""),IF("0"&amp;G577=H577,"PASS","FAIL - GTIN Mismatch"),"SKIP")</f>
        <v>PASS</v>
      </c>
      <c r="O577" s="20" t="str">
        <f aca="false">IF(I577="","FAIL - No Title",IF(LEN(I577)&lt;=126,"PASS","FAIL - Title &gt;"&amp;126&amp;" chars"))</f>
        <v>PASS</v>
      </c>
      <c r="P577" s="20" t="str">
        <f aca="false">IF(J577&gt;0,IF(J577&lt;5000,"PASS","FLAG - Review Price"),"FAIL - Zero Price")</f>
        <v>PASS</v>
      </c>
      <c r="Q577" s="20" t="str">
        <f aca="false">IF('Raw Catalog'!P575&lt;&gt;"","PASS","FAIL - No Image")</f>
        <v>PASS</v>
      </c>
      <c r="R577" s="20" t="str">
        <f aca="false">IF(F577&lt;&gt;"","PASS","FAIL - No Brand")</f>
        <v>PASS</v>
      </c>
      <c r="S577" s="20" t="str">
        <f aca="true">IF(K577="","FAIL - No Date",IF(TODAY()-DATEVALUE(K577)&lt;=180,"PASS","FLAG - Stale &gt;180d"))</f>
        <v>FLAG - Stale &gt;180d</v>
      </c>
      <c r="T577" s="20" t="n">
        <f aca="false">COUNTIF(M577:S577,"FAIL*")+COUNTIF(M577:S577,"FLAG*")</f>
        <v>1</v>
      </c>
      <c r="U577" s="20" t="str">
        <f aca="false">IF(T577=0,"CLEAN",IF(T577=1,"MINOR",IF(T577&lt;=3,"MODERATE","CRITICAL")))</f>
        <v>MINOR</v>
      </c>
      <c r="V577" s="20" t="str">
        <f aca="false">IF(U577="CLEAN","None",IF(U577="MINOR","Seller Notify",IF(U577="MODERATE","Listing Suspended","Immediate Removal")))</f>
        <v>Seller Notify</v>
      </c>
    </row>
    <row r="578" customFormat="false" ht="18" hidden="false" customHeight="true" outlineLevel="0" collapsed="false">
      <c r="A578" s="19" t="s">
        <v>6655</v>
      </c>
      <c r="B578" s="19" t="s">
        <v>3864</v>
      </c>
      <c r="C578" s="19" t="s">
        <v>63</v>
      </c>
      <c r="D578" s="19" t="s">
        <v>64</v>
      </c>
      <c r="E578" s="19" t="s">
        <v>161</v>
      </c>
      <c r="F578" s="19" t="s">
        <v>185</v>
      </c>
      <c r="G578" s="19" t="s">
        <v>3866</v>
      </c>
      <c r="H578" s="19" t="s">
        <v>3867</v>
      </c>
      <c r="I578" s="19" t="s">
        <v>1434</v>
      </c>
      <c r="J578" s="19" t="n">
        <v>466.06</v>
      </c>
      <c r="K578" s="19" t="s">
        <v>1669</v>
      </c>
      <c r="L578" s="19"/>
      <c r="M578" s="20" t="str">
        <f aca="false">IF(G578&lt;&gt;"","PASS","FAIL - Missing UPC")</f>
        <v>PASS</v>
      </c>
      <c r="N578" s="20" t="str">
        <f aca="false">IF(AND(G578&lt;&gt;"",H578&lt;&gt;""),IF("0"&amp;G578=H578,"PASS","FAIL - GTIN Mismatch"),"SKIP")</f>
        <v>PASS</v>
      </c>
      <c r="O578" s="20" t="str">
        <f aca="false">IF(I578="","FAIL - No Title",IF(LEN(I578)&lt;=126,"PASS","FAIL - Title &gt;"&amp;126&amp;" chars"))</f>
        <v>PASS</v>
      </c>
      <c r="P578" s="20" t="str">
        <f aca="false">IF(J578&gt;0,IF(J578&lt;5000,"PASS","FLAG - Review Price"),"FAIL - Zero Price")</f>
        <v>PASS</v>
      </c>
      <c r="Q578" s="20" t="str">
        <f aca="false">IF('Raw Catalog'!P576&lt;&gt;"","PASS","FAIL - No Image")</f>
        <v>PASS</v>
      </c>
      <c r="R578" s="20" t="str">
        <f aca="false">IF(F578&lt;&gt;"","PASS","FAIL - No Brand")</f>
        <v>PASS</v>
      </c>
      <c r="S578" s="20" t="str">
        <f aca="true">IF(K578="","FAIL - No Date",IF(TODAY()-DATEVALUE(K578)&lt;=180,"PASS","FLAG - Stale &gt;180d"))</f>
        <v>FLAG - Stale &gt;180d</v>
      </c>
      <c r="T578" s="20" t="n">
        <f aca="false">COUNTIF(M578:S578,"FAIL*")+COUNTIF(M578:S578,"FLAG*")</f>
        <v>1</v>
      </c>
      <c r="U578" s="20" t="str">
        <f aca="false">IF(T578=0,"CLEAN",IF(T578=1,"MINOR",IF(T578&lt;=3,"MODERATE","CRITICAL")))</f>
        <v>MINOR</v>
      </c>
      <c r="V578" s="20" t="str">
        <f aca="false">IF(U578="CLEAN","None",IF(U578="MINOR","Seller Notify",IF(U578="MODERATE","Listing Suspended","Immediate Removal")))</f>
        <v>Seller Notify</v>
      </c>
    </row>
    <row r="579" customFormat="false" ht="18" hidden="false" customHeight="true" outlineLevel="0" collapsed="false">
      <c r="A579" s="19" t="s">
        <v>6656</v>
      </c>
      <c r="B579" s="19" t="s">
        <v>3868</v>
      </c>
      <c r="C579" s="19" t="s">
        <v>77</v>
      </c>
      <c r="D579" s="19" t="s">
        <v>78</v>
      </c>
      <c r="E579" s="19" t="s">
        <v>65</v>
      </c>
      <c r="F579" s="19" t="s">
        <v>115</v>
      </c>
      <c r="G579" s="19" t="s">
        <v>3870</v>
      </c>
      <c r="H579" s="19" t="s">
        <v>3871</v>
      </c>
      <c r="I579" s="19" t="s">
        <v>3872</v>
      </c>
      <c r="J579" s="19" t="n">
        <v>264.3</v>
      </c>
      <c r="K579" s="19" t="s">
        <v>2224</v>
      </c>
      <c r="L579" s="19"/>
      <c r="M579" s="20" t="str">
        <f aca="false">IF(G579&lt;&gt;"","PASS","FAIL - Missing UPC")</f>
        <v>PASS</v>
      </c>
      <c r="N579" s="20" t="str">
        <f aca="false">IF(AND(G579&lt;&gt;"",H579&lt;&gt;""),IF("0"&amp;G579=H579,"PASS","FAIL - GTIN Mismatch"),"SKIP")</f>
        <v>PASS</v>
      </c>
      <c r="O579" s="20" t="str">
        <f aca="false">IF(I579="","FAIL - No Title",IF(LEN(I579)&lt;=126,"PASS","FAIL - Title &gt;"&amp;126&amp;" chars"))</f>
        <v>PASS</v>
      </c>
      <c r="P579" s="20" t="str">
        <f aca="false">IF(J579&gt;0,IF(J579&lt;5000,"PASS","FLAG - Review Price"),"FAIL - Zero Price")</f>
        <v>PASS</v>
      </c>
      <c r="Q579" s="20" t="str">
        <f aca="false">IF('Raw Catalog'!P577&lt;&gt;"","PASS","FAIL - No Image")</f>
        <v>PASS</v>
      </c>
      <c r="R579" s="20" t="str">
        <f aca="false">IF(F579&lt;&gt;"","PASS","FAIL - No Brand")</f>
        <v>PASS</v>
      </c>
      <c r="S579" s="20" t="str">
        <f aca="true">IF(K579="","FAIL - No Date",IF(TODAY()-DATEVALUE(K579)&lt;=180,"PASS","FLAG - Stale &gt;180d"))</f>
        <v>FLAG - Stale &gt;180d</v>
      </c>
      <c r="T579" s="20" t="n">
        <f aca="false">COUNTIF(M579:S579,"FAIL*")+COUNTIF(M579:S579,"FLAG*")</f>
        <v>1</v>
      </c>
      <c r="U579" s="20" t="str">
        <f aca="false">IF(T579=0,"CLEAN",IF(T579=1,"MINOR",IF(T579&lt;=3,"MODERATE","CRITICAL")))</f>
        <v>MINOR</v>
      </c>
      <c r="V579" s="20" t="str">
        <f aca="false">IF(U579="CLEAN","None",IF(U579="MINOR","Seller Notify",IF(U579="MODERATE","Listing Suspended","Immediate Removal")))</f>
        <v>Seller Notify</v>
      </c>
    </row>
    <row r="580" customFormat="false" ht="18" hidden="false" customHeight="true" outlineLevel="0" collapsed="false">
      <c r="A580" s="19" t="s">
        <v>6657</v>
      </c>
      <c r="B580" s="19" t="s">
        <v>3876</v>
      </c>
      <c r="C580" s="19" t="s">
        <v>255</v>
      </c>
      <c r="D580" s="19" t="s">
        <v>256</v>
      </c>
      <c r="E580" s="19" t="s">
        <v>65</v>
      </c>
      <c r="F580" s="19" t="s">
        <v>245</v>
      </c>
      <c r="G580" s="19" t="s">
        <v>3878</v>
      </c>
      <c r="H580" s="19" t="s">
        <v>3879</v>
      </c>
      <c r="I580" s="19" t="s">
        <v>1832</v>
      </c>
      <c r="J580" s="19" t="n">
        <v>34.62</v>
      </c>
      <c r="K580" s="19" t="s">
        <v>482</v>
      </c>
      <c r="L580" s="19"/>
      <c r="M580" s="20" t="str">
        <f aca="false">IF(G580&lt;&gt;"","PASS","FAIL - Missing UPC")</f>
        <v>PASS</v>
      </c>
      <c r="N580" s="20" t="str">
        <f aca="false">IF(AND(G580&lt;&gt;"",H580&lt;&gt;""),IF("0"&amp;G580=H580,"PASS","FAIL - GTIN Mismatch"),"SKIP")</f>
        <v>PASS</v>
      </c>
      <c r="O580" s="20" t="str">
        <f aca="false">IF(I580="","FAIL - No Title",IF(LEN(I580)&lt;=126,"PASS","FAIL - Title &gt;"&amp;126&amp;" chars"))</f>
        <v>PASS</v>
      </c>
      <c r="P580" s="20" t="str">
        <f aca="false">IF(J580&gt;0,IF(J580&lt;5000,"PASS","FLAG - Review Price"),"FAIL - Zero Price")</f>
        <v>PASS</v>
      </c>
      <c r="Q580" s="20" t="str">
        <f aca="false">IF('Raw Catalog'!P578&lt;&gt;"","PASS","FAIL - No Image")</f>
        <v>PASS</v>
      </c>
      <c r="R580" s="20" t="str">
        <f aca="false">IF(F580&lt;&gt;"","PASS","FAIL - No Brand")</f>
        <v>PASS</v>
      </c>
      <c r="S580" s="20" t="str">
        <f aca="true">IF(K580="","FAIL - No Date",IF(TODAY()-DATEVALUE(K580)&lt;=180,"PASS","FLAG - Stale &gt;180d"))</f>
        <v>FLAG - Stale &gt;180d</v>
      </c>
      <c r="T580" s="20" t="n">
        <f aca="false">COUNTIF(M580:S580,"FAIL*")+COUNTIF(M580:S580,"FLAG*")</f>
        <v>1</v>
      </c>
      <c r="U580" s="20" t="str">
        <f aca="false">IF(T580=0,"CLEAN",IF(T580=1,"MINOR",IF(T580&lt;=3,"MODERATE","CRITICAL")))</f>
        <v>MINOR</v>
      </c>
      <c r="V580" s="20" t="str">
        <f aca="false">IF(U580="CLEAN","None",IF(U580="MINOR","Seller Notify",IF(U580="MODERATE","Listing Suspended","Immediate Removal")))</f>
        <v>Seller Notify</v>
      </c>
    </row>
    <row r="581" customFormat="false" ht="18" hidden="false" customHeight="true" outlineLevel="0" collapsed="false">
      <c r="A581" s="19" t="s">
        <v>6658</v>
      </c>
      <c r="B581" s="19" t="s">
        <v>3880</v>
      </c>
      <c r="C581" s="19" t="s">
        <v>63</v>
      </c>
      <c r="D581" s="19" t="s">
        <v>64</v>
      </c>
      <c r="E581" s="19" t="s">
        <v>50</v>
      </c>
      <c r="F581" s="19" t="s">
        <v>115</v>
      </c>
      <c r="G581" s="19" t="s">
        <v>3882</v>
      </c>
      <c r="H581" s="19" t="s">
        <v>3883</v>
      </c>
      <c r="I581" s="19" t="s">
        <v>3884</v>
      </c>
      <c r="J581" s="19" t="n">
        <v>619.5</v>
      </c>
      <c r="K581" s="19" t="s">
        <v>2503</v>
      </c>
      <c r="L581" s="19"/>
      <c r="M581" s="20" t="str">
        <f aca="false">IF(G581&lt;&gt;"","PASS","FAIL - Missing UPC")</f>
        <v>PASS</v>
      </c>
      <c r="N581" s="20" t="str">
        <f aca="false">IF(AND(G581&lt;&gt;"",H581&lt;&gt;""),IF("0"&amp;G581=H581,"PASS","FAIL - GTIN Mismatch"),"SKIP")</f>
        <v>PASS</v>
      </c>
      <c r="O581" s="20" t="str">
        <f aca="false">IF(I581="","FAIL - No Title",IF(LEN(I581)&lt;=126,"PASS","FAIL - Title &gt;"&amp;126&amp;" chars"))</f>
        <v>PASS</v>
      </c>
      <c r="P581" s="20" t="str">
        <f aca="false">IF(J581&gt;0,IF(J581&lt;5000,"PASS","FLAG - Review Price"),"FAIL - Zero Price")</f>
        <v>PASS</v>
      </c>
      <c r="Q581" s="20" t="str">
        <f aca="false">IF('Raw Catalog'!P579&lt;&gt;"","PASS","FAIL - No Image")</f>
        <v>PASS</v>
      </c>
      <c r="R581" s="20" t="str">
        <f aca="false">IF(F581&lt;&gt;"","PASS","FAIL - No Brand")</f>
        <v>PASS</v>
      </c>
      <c r="S581" s="20" t="str">
        <f aca="true">IF(K581="","FAIL - No Date",IF(TODAY()-DATEVALUE(K581)&lt;=180,"PASS","FLAG - Stale &gt;180d"))</f>
        <v>FLAG - Stale &gt;180d</v>
      </c>
      <c r="T581" s="20" t="n">
        <f aca="false">COUNTIF(M581:S581,"FAIL*")+COUNTIF(M581:S581,"FLAG*")</f>
        <v>1</v>
      </c>
      <c r="U581" s="20" t="str">
        <f aca="false">IF(T581=0,"CLEAN",IF(T581=1,"MINOR",IF(T581&lt;=3,"MODERATE","CRITICAL")))</f>
        <v>MINOR</v>
      </c>
      <c r="V581" s="20" t="str">
        <f aca="false">IF(U581="CLEAN","None",IF(U581="MINOR","Seller Notify",IF(U581="MODERATE","Listing Suspended","Immediate Removal")))</f>
        <v>Seller Notify</v>
      </c>
    </row>
    <row r="582" customFormat="false" ht="18" hidden="false" customHeight="true" outlineLevel="0" collapsed="false">
      <c r="A582" s="19" t="s">
        <v>6659</v>
      </c>
      <c r="B582" s="19" t="s">
        <v>3886</v>
      </c>
      <c r="C582" s="19" t="s">
        <v>48</v>
      </c>
      <c r="D582" s="19" t="s">
        <v>49</v>
      </c>
      <c r="E582" s="19" t="s">
        <v>79</v>
      </c>
      <c r="F582" s="19" t="s">
        <v>513</v>
      </c>
      <c r="G582" s="19" t="s">
        <v>3888</v>
      </c>
      <c r="H582" s="19" t="s">
        <v>3889</v>
      </c>
      <c r="I582" s="19" t="s">
        <v>3890</v>
      </c>
      <c r="J582" s="19" t="n">
        <v>2360.52</v>
      </c>
      <c r="K582" s="19" t="s">
        <v>541</v>
      </c>
      <c r="L582" s="19"/>
      <c r="M582" s="20" t="str">
        <f aca="false">IF(G582&lt;&gt;"","PASS","FAIL - Missing UPC")</f>
        <v>PASS</v>
      </c>
      <c r="N582" s="20" t="str">
        <f aca="false">IF(AND(G582&lt;&gt;"",H582&lt;&gt;""),IF("0"&amp;G582=H582,"PASS","FAIL - GTIN Mismatch"),"SKIP")</f>
        <v>PASS</v>
      </c>
      <c r="O582" s="20" t="str">
        <f aca="false">IF(I582="","FAIL - No Title",IF(LEN(I582)&lt;=126,"PASS","FAIL - Title &gt;"&amp;126&amp;" chars"))</f>
        <v>PASS</v>
      </c>
      <c r="P582" s="20" t="str">
        <f aca="false">IF(J582&gt;0,IF(J582&lt;5000,"PASS","FLAG - Review Price"),"FAIL - Zero Price")</f>
        <v>PASS</v>
      </c>
      <c r="Q582" s="20" t="str">
        <f aca="false">IF('Raw Catalog'!P580&lt;&gt;"","PASS","FAIL - No Image")</f>
        <v>PASS</v>
      </c>
      <c r="R582" s="20" t="str">
        <f aca="false">IF(F582&lt;&gt;"","PASS","FAIL - No Brand")</f>
        <v>PASS</v>
      </c>
      <c r="S582" s="20" t="str">
        <f aca="true">IF(K582="","FAIL - No Date",IF(TODAY()-DATEVALUE(K582)&lt;=180,"PASS","FLAG - Stale &gt;180d"))</f>
        <v>FLAG - Stale &gt;180d</v>
      </c>
      <c r="T582" s="20" t="n">
        <f aca="false">COUNTIF(M582:S582,"FAIL*")+COUNTIF(M582:S582,"FLAG*")</f>
        <v>1</v>
      </c>
      <c r="U582" s="20" t="str">
        <f aca="false">IF(T582=0,"CLEAN",IF(T582=1,"MINOR",IF(T582&lt;=3,"MODERATE","CRITICAL")))</f>
        <v>MINOR</v>
      </c>
      <c r="V582" s="20" t="str">
        <f aca="false">IF(U582="CLEAN","None",IF(U582="MINOR","Seller Notify",IF(U582="MODERATE","Listing Suspended","Immediate Removal")))</f>
        <v>Seller Notify</v>
      </c>
    </row>
    <row r="583" customFormat="false" ht="18" hidden="false" customHeight="true" outlineLevel="0" collapsed="false">
      <c r="A583" s="19" t="s">
        <v>6660</v>
      </c>
      <c r="B583" s="19" t="s">
        <v>333</v>
      </c>
      <c r="C583" s="19" t="s">
        <v>255</v>
      </c>
      <c r="D583" s="19" t="s">
        <v>256</v>
      </c>
      <c r="E583" s="19" t="s">
        <v>161</v>
      </c>
      <c r="F583" s="19" t="s">
        <v>162</v>
      </c>
      <c r="G583" s="19" t="s">
        <v>336</v>
      </c>
      <c r="H583" s="19" t="s">
        <v>337</v>
      </c>
      <c r="I583" s="19" t="s">
        <v>338</v>
      </c>
      <c r="J583" s="19" t="n">
        <v>217.25</v>
      </c>
      <c r="K583" s="19" t="s">
        <v>342</v>
      </c>
      <c r="L583" s="21" t="s">
        <v>283</v>
      </c>
      <c r="M583" s="20" t="str">
        <f aca="false">IF(G583&lt;&gt;"","PASS","FAIL - Missing UPC")</f>
        <v>PASS</v>
      </c>
      <c r="N583" s="20" t="str">
        <f aca="false">IF(AND(G583&lt;&gt;"",H583&lt;&gt;""),IF("0"&amp;G583=H583,"PASS","FAIL - GTIN Mismatch"),"SKIP")</f>
        <v>PASS</v>
      </c>
      <c r="O583" s="20" t="str">
        <f aca="false">IF(I583="","FAIL - No Title",IF(LEN(I583)&lt;=126,"PASS","FAIL - Title &gt;"&amp;126&amp;" chars"))</f>
        <v>PASS</v>
      </c>
      <c r="P583" s="20" t="str">
        <f aca="false">IF(J583&gt;0,IF(J583&lt;5000,"PASS","FLAG - Review Price"),"FAIL - Zero Price")</f>
        <v>PASS</v>
      </c>
      <c r="Q583" s="20" t="str">
        <f aca="false">IF('Raw Catalog'!P581&lt;&gt;"","PASS","FAIL - No Image")</f>
        <v>PASS</v>
      </c>
      <c r="R583" s="20" t="str">
        <f aca="false">IF(F583&lt;&gt;"","PASS","FAIL - No Brand")</f>
        <v>PASS</v>
      </c>
      <c r="S583" s="20" t="str">
        <f aca="true">IF(K583="","FAIL - No Date",IF(TODAY()-DATEVALUE(K583)&lt;=180,"PASS","FLAG - Stale &gt;180d"))</f>
        <v>FLAG - Stale &gt;180d</v>
      </c>
      <c r="T583" s="20" t="n">
        <f aca="false">COUNTIF(M583:S583,"FAIL*")+COUNTIF(M583:S583,"FLAG*")</f>
        <v>1</v>
      </c>
      <c r="U583" s="20" t="str">
        <f aca="false">IF(T583=0,"CLEAN",IF(T583=1,"MINOR",IF(T583&lt;=3,"MODERATE","CRITICAL")))</f>
        <v>MINOR</v>
      </c>
      <c r="V583" s="20" t="str">
        <f aca="false">IF(U583="CLEAN","None",IF(U583="MINOR","Seller Notify",IF(U583="MODERATE","Listing Suspended","Immediate Removal")))</f>
        <v>Seller Notify</v>
      </c>
    </row>
    <row r="584" customFormat="false" ht="18" hidden="false" customHeight="true" outlineLevel="0" collapsed="false">
      <c r="A584" s="19" t="s">
        <v>6661</v>
      </c>
      <c r="B584" s="19" t="s">
        <v>3893</v>
      </c>
      <c r="C584" s="19" t="s">
        <v>159</v>
      </c>
      <c r="D584" s="19" t="s">
        <v>160</v>
      </c>
      <c r="E584" s="19" t="s">
        <v>79</v>
      </c>
      <c r="F584" s="19" t="s">
        <v>513</v>
      </c>
      <c r="G584" s="19" t="s">
        <v>3895</v>
      </c>
      <c r="H584" s="19" t="s">
        <v>3896</v>
      </c>
      <c r="I584" s="19" t="s">
        <v>3897</v>
      </c>
      <c r="J584" s="19" t="n">
        <v>888.38</v>
      </c>
      <c r="K584" s="19" t="s">
        <v>576</v>
      </c>
      <c r="L584" s="19"/>
      <c r="M584" s="20" t="str">
        <f aca="false">IF(G584&lt;&gt;"","PASS","FAIL - Missing UPC")</f>
        <v>PASS</v>
      </c>
      <c r="N584" s="20" t="str">
        <f aca="false">IF(AND(G584&lt;&gt;"",H584&lt;&gt;""),IF("0"&amp;G584=H584,"PASS","FAIL - GTIN Mismatch"),"SKIP")</f>
        <v>PASS</v>
      </c>
      <c r="O584" s="20" t="str">
        <f aca="false">IF(I584="","FAIL - No Title",IF(LEN(I584)&lt;=126,"PASS","FAIL - Title &gt;"&amp;126&amp;" chars"))</f>
        <v>PASS</v>
      </c>
      <c r="P584" s="20" t="str">
        <f aca="false">IF(J584&gt;0,IF(J584&lt;5000,"PASS","FLAG - Review Price"),"FAIL - Zero Price")</f>
        <v>PASS</v>
      </c>
      <c r="Q584" s="20" t="str">
        <f aca="false">IF('Raw Catalog'!P582&lt;&gt;"","PASS","FAIL - No Image")</f>
        <v>PASS</v>
      </c>
      <c r="R584" s="20" t="str">
        <f aca="false">IF(F584&lt;&gt;"","PASS","FAIL - No Brand")</f>
        <v>PASS</v>
      </c>
      <c r="S584" s="20" t="str">
        <f aca="true">IF(K584="","FAIL - No Date",IF(TODAY()-DATEVALUE(K584)&lt;=180,"PASS","FLAG - Stale &gt;180d"))</f>
        <v>FLAG - Stale &gt;180d</v>
      </c>
      <c r="T584" s="20" t="n">
        <f aca="false">COUNTIF(M584:S584,"FAIL*")+COUNTIF(M584:S584,"FLAG*")</f>
        <v>1</v>
      </c>
      <c r="U584" s="20" t="str">
        <f aca="false">IF(T584=0,"CLEAN",IF(T584=1,"MINOR",IF(T584&lt;=3,"MODERATE","CRITICAL")))</f>
        <v>MINOR</v>
      </c>
      <c r="V584" s="20" t="str">
        <f aca="false">IF(U584="CLEAN","None",IF(U584="MINOR","Seller Notify",IF(U584="MODERATE","Listing Suspended","Immediate Removal")))</f>
        <v>Seller Notify</v>
      </c>
    </row>
    <row r="585" customFormat="false" ht="18" hidden="false" customHeight="true" outlineLevel="0" collapsed="false">
      <c r="A585" s="19" t="s">
        <v>6662</v>
      </c>
      <c r="B585" s="19" t="s">
        <v>3898</v>
      </c>
      <c r="C585" s="19" t="s">
        <v>77</v>
      </c>
      <c r="D585" s="19" t="s">
        <v>78</v>
      </c>
      <c r="E585" s="19" t="s">
        <v>79</v>
      </c>
      <c r="F585" s="19" t="s">
        <v>51</v>
      </c>
      <c r="G585" s="19" t="s">
        <v>3900</v>
      </c>
      <c r="H585" s="19" t="s">
        <v>3901</v>
      </c>
      <c r="I585" s="19" t="s">
        <v>3902</v>
      </c>
      <c r="J585" s="19" t="n">
        <v>1731.37</v>
      </c>
      <c r="K585" s="19" t="s">
        <v>1669</v>
      </c>
      <c r="L585" s="19"/>
      <c r="M585" s="20" t="str">
        <f aca="false">IF(G585&lt;&gt;"","PASS","FAIL - Missing UPC")</f>
        <v>PASS</v>
      </c>
      <c r="N585" s="20" t="str">
        <f aca="false">IF(AND(G585&lt;&gt;"",H585&lt;&gt;""),IF("0"&amp;G585=H585,"PASS","FAIL - GTIN Mismatch"),"SKIP")</f>
        <v>PASS</v>
      </c>
      <c r="O585" s="20" t="str">
        <f aca="false">IF(I585="","FAIL - No Title",IF(LEN(I585)&lt;=126,"PASS","FAIL - Title &gt;"&amp;126&amp;" chars"))</f>
        <v>PASS</v>
      </c>
      <c r="P585" s="20" t="str">
        <f aca="false">IF(J585&gt;0,IF(J585&lt;5000,"PASS","FLAG - Review Price"),"FAIL - Zero Price")</f>
        <v>PASS</v>
      </c>
      <c r="Q585" s="20" t="str">
        <f aca="false">IF('Raw Catalog'!P583&lt;&gt;"","PASS","FAIL - No Image")</f>
        <v>PASS</v>
      </c>
      <c r="R585" s="20" t="str">
        <f aca="false">IF(F585&lt;&gt;"","PASS","FAIL - No Brand")</f>
        <v>PASS</v>
      </c>
      <c r="S585" s="20" t="str">
        <f aca="true">IF(K585="","FAIL - No Date",IF(TODAY()-DATEVALUE(K585)&lt;=180,"PASS","FLAG - Stale &gt;180d"))</f>
        <v>FLAG - Stale &gt;180d</v>
      </c>
      <c r="T585" s="20" t="n">
        <f aca="false">COUNTIF(M585:S585,"FAIL*")+COUNTIF(M585:S585,"FLAG*")</f>
        <v>1</v>
      </c>
      <c r="U585" s="20" t="str">
        <f aca="false">IF(T585=0,"CLEAN",IF(T585=1,"MINOR",IF(T585&lt;=3,"MODERATE","CRITICAL")))</f>
        <v>MINOR</v>
      </c>
      <c r="V585" s="20" t="str">
        <f aca="false">IF(U585="CLEAN","None",IF(U585="MINOR","Seller Notify",IF(U585="MODERATE","Listing Suspended","Immediate Removal")))</f>
        <v>Seller Notify</v>
      </c>
    </row>
    <row r="586" customFormat="false" ht="18" hidden="false" customHeight="true" outlineLevel="0" collapsed="false">
      <c r="A586" s="19" t="s">
        <v>6663</v>
      </c>
      <c r="B586" s="19" t="s">
        <v>3904</v>
      </c>
      <c r="C586" s="19" t="s">
        <v>63</v>
      </c>
      <c r="D586" s="19" t="s">
        <v>64</v>
      </c>
      <c r="E586" s="19" t="s">
        <v>79</v>
      </c>
      <c r="F586" s="19" t="s">
        <v>1531</v>
      </c>
      <c r="G586" s="19" t="s">
        <v>3906</v>
      </c>
      <c r="H586" s="19" t="s">
        <v>3907</v>
      </c>
      <c r="I586" s="19" t="s">
        <v>3908</v>
      </c>
      <c r="J586" s="19" t="n">
        <v>2042.49</v>
      </c>
      <c r="K586" s="19" t="s">
        <v>697</v>
      </c>
      <c r="L586" s="19"/>
      <c r="M586" s="20" t="str">
        <f aca="false">IF(G586&lt;&gt;"","PASS","FAIL - Missing UPC")</f>
        <v>PASS</v>
      </c>
      <c r="N586" s="20" t="str">
        <f aca="false">IF(AND(G586&lt;&gt;"",H586&lt;&gt;""),IF("0"&amp;G586=H586,"PASS","FAIL - GTIN Mismatch"),"SKIP")</f>
        <v>PASS</v>
      </c>
      <c r="O586" s="20" t="str">
        <f aca="false">IF(I586="","FAIL - No Title",IF(LEN(I586)&lt;=126,"PASS","FAIL - Title &gt;"&amp;126&amp;" chars"))</f>
        <v>PASS</v>
      </c>
      <c r="P586" s="20" t="str">
        <f aca="false">IF(J586&gt;0,IF(J586&lt;5000,"PASS","FLAG - Review Price"),"FAIL - Zero Price")</f>
        <v>PASS</v>
      </c>
      <c r="Q586" s="20" t="str">
        <f aca="false">IF('Raw Catalog'!P584&lt;&gt;"","PASS","FAIL - No Image")</f>
        <v>PASS</v>
      </c>
      <c r="R586" s="20" t="str">
        <f aca="false">IF(F586&lt;&gt;"","PASS","FAIL - No Brand")</f>
        <v>PASS</v>
      </c>
      <c r="S586" s="20" t="str">
        <f aca="true">IF(K586="","FAIL - No Date",IF(TODAY()-DATEVALUE(K586)&lt;=180,"PASS","FLAG - Stale &gt;180d"))</f>
        <v>FLAG - Stale &gt;180d</v>
      </c>
      <c r="T586" s="20" t="n">
        <f aca="false">COUNTIF(M586:S586,"FAIL*")+COUNTIF(M586:S586,"FLAG*")</f>
        <v>1</v>
      </c>
      <c r="U586" s="20" t="str">
        <f aca="false">IF(T586=0,"CLEAN",IF(T586=1,"MINOR",IF(T586&lt;=3,"MODERATE","CRITICAL")))</f>
        <v>MINOR</v>
      </c>
      <c r="V586" s="20" t="str">
        <f aca="false">IF(U586="CLEAN","None",IF(U586="MINOR","Seller Notify",IF(U586="MODERATE","Listing Suspended","Immediate Removal")))</f>
        <v>Seller Notify</v>
      </c>
    </row>
    <row r="587" customFormat="false" ht="18" hidden="false" customHeight="true" outlineLevel="0" collapsed="false">
      <c r="A587" s="19" t="s">
        <v>6664</v>
      </c>
      <c r="B587" s="19" t="s">
        <v>3910</v>
      </c>
      <c r="C587" s="19" t="s">
        <v>63</v>
      </c>
      <c r="D587" s="19" t="s">
        <v>64</v>
      </c>
      <c r="E587" s="19" t="s">
        <v>91</v>
      </c>
      <c r="F587" s="19" t="s">
        <v>138</v>
      </c>
      <c r="G587" s="19" t="s">
        <v>3912</v>
      </c>
      <c r="H587" s="19" t="s">
        <v>3913</v>
      </c>
      <c r="I587" s="19" t="s">
        <v>3914</v>
      </c>
      <c r="J587" s="19" t="n">
        <v>1216.25</v>
      </c>
      <c r="K587" s="19" t="s">
        <v>829</v>
      </c>
      <c r="L587" s="19"/>
      <c r="M587" s="20" t="str">
        <f aca="false">IF(G587&lt;&gt;"","PASS","FAIL - Missing UPC")</f>
        <v>PASS</v>
      </c>
      <c r="N587" s="20" t="str">
        <f aca="false">IF(AND(G587&lt;&gt;"",H587&lt;&gt;""),IF("0"&amp;G587=H587,"PASS","FAIL - GTIN Mismatch"),"SKIP")</f>
        <v>PASS</v>
      </c>
      <c r="O587" s="20" t="str">
        <f aca="false">IF(I587="","FAIL - No Title",IF(LEN(I587)&lt;=126,"PASS","FAIL - Title &gt;"&amp;126&amp;" chars"))</f>
        <v>PASS</v>
      </c>
      <c r="P587" s="20" t="str">
        <f aca="false">IF(J587&gt;0,IF(J587&lt;5000,"PASS","FLAG - Review Price"),"FAIL - Zero Price")</f>
        <v>PASS</v>
      </c>
      <c r="Q587" s="20" t="str">
        <f aca="false">IF('Raw Catalog'!P585&lt;&gt;"","PASS","FAIL - No Image")</f>
        <v>PASS</v>
      </c>
      <c r="R587" s="20" t="str">
        <f aca="false">IF(F587&lt;&gt;"","PASS","FAIL - No Brand")</f>
        <v>PASS</v>
      </c>
      <c r="S587" s="20" t="str">
        <f aca="true">IF(K587="","FAIL - No Date",IF(TODAY()-DATEVALUE(K587)&lt;=180,"PASS","FLAG - Stale &gt;180d"))</f>
        <v>FLAG - Stale &gt;180d</v>
      </c>
      <c r="T587" s="20" t="n">
        <f aca="false">COUNTIF(M587:S587,"FAIL*")+COUNTIF(M587:S587,"FLAG*")</f>
        <v>1</v>
      </c>
      <c r="U587" s="20" t="str">
        <f aca="false">IF(T587=0,"CLEAN",IF(T587=1,"MINOR",IF(T587&lt;=3,"MODERATE","CRITICAL")))</f>
        <v>MINOR</v>
      </c>
      <c r="V587" s="20" t="str">
        <f aca="false">IF(U587="CLEAN","None",IF(U587="MINOR","Seller Notify",IF(U587="MODERATE","Listing Suspended","Immediate Removal")))</f>
        <v>Seller Notify</v>
      </c>
    </row>
    <row r="588" customFormat="false" ht="18" hidden="false" customHeight="true" outlineLevel="0" collapsed="false">
      <c r="A588" s="19" t="s">
        <v>6665</v>
      </c>
      <c r="B588" s="19" t="s">
        <v>3915</v>
      </c>
      <c r="C588" s="19" t="s">
        <v>63</v>
      </c>
      <c r="D588" s="19" t="s">
        <v>64</v>
      </c>
      <c r="E588" s="19" t="s">
        <v>161</v>
      </c>
      <c r="F588" s="19" t="s">
        <v>429</v>
      </c>
      <c r="G588" s="19" t="s">
        <v>3917</v>
      </c>
      <c r="H588" s="19" t="s">
        <v>3918</v>
      </c>
      <c r="I588" s="19" t="s">
        <v>3919</v>
      </c>
      <c r="J588" s="19" t="n">
        <v>118.3</v>
      </c>
      <c r="K588" s="19" t="s">
        <v>2576</v>
      </c>
      <c r="L588" s="19"/>
      <c r="M588" s="20" t="str">
        <f aca="false">IF(G588&lt;&gt;"","PASS","FAIL - Missing UPC")</f>
        <v>PASS</v>
      </c>
      <c r="N588" s="20" t="str">
        <f aca="false">IF(AND(G588&lt;&gt;"",H588&lt;&gt;""),IF("0"&amp;G588=H588,"PASS","FAIL - GTIN Mismatch"),"SKIP")</f>
        <v>PASS</v>
      </c>
      <c r="O588" s="20" t="str">
        <f aca="false">IF(I588="","FAIL - No Title",IF(LEN(I588)&lt;=126,"PASS","FAIL - Title &gt;"&amp;126&amp;" chars"))</f>
        <v>PASS</v>
      </c>
      <c r="P588" s="20" t="str">
        <f aca="false">IF(J588&gt;0,IF(J588&lt;5000,"PASS","FLAG - Review Price"),"FAIL - Zero Price")</f>
        <v>PASS</v>
      </c>
      <c r="Q588" s="20" t="str">
        <f aca="false">IF('Raw Catalog'!P586&lt;&gt;"","PASS","FAIL - No Image")</f>
        <v>PASS</v>
      </c>
      <c r="R588" s="20" t="str">
        <f aca="false">IF(F588&lt;&gt;"","PASS","FAIL - No Brand")</f>
        <v>PASS</v>
      </c>
      <c r="S588" s="20" t="str">
        <f aca="true">IF(K588="","FAIL - No Date",IF(TODAY()-DATEVALUE(K588)&lt;=180,"PASS","FLAG - Stale &gt;180d"))</f>
        <v>FLAG - Stale &gt;180d</v>
      </c>
      <c r="T588" s="20" t="n">
        <f aca="false">COUNTIF(M588:S588,"FAIL*")+COUNTIF(M588:S588,"FLAG*")</f>
        <v>1</v>
      </c>
      <c r="U588" s="20" t="str">
        <f aca="false">IF(T588=0,"CLEAN",IF(T588=1,"MINOR",IF(T588&lt;=3,"MODERATE","CRITICAL")))</f>
        <v>MINOR</v>
      </c>
      <c r="V588" s="20" t="str">
        <f aca="false">IF(U588="CLEAN","None",IF(U588="MINOR","Seller Notify",IF(U588="MODERATE","Listing Suspended","Immediate Removal")))</f>
        <v>Seller Notify</v>
      </c>
    </row>
    <row r="589" customFormat="false" ht="18" hidden="false" customHeight="true" outlineLevel="0" collapsed="false">
      <c r="A589" s="19" t="s">
        <v>6666</v>
      </c>
      <c r="B589" s="19" t="s">
        <v>3920</v>
      </c>
      <c r="C589" s="19" t="s">
        <v>63</v>
      </c>
      <c r="D589" s="19" t="s">
        <v>64</v>
      </c>
      <c r="E589" s="19" t="s">
        <v>161</v>
      </c>
      <c r="F589" s="19" t="s">
        <v>162</v>
      </c>
      <c r="G589" s="19" t="s">
        <v>3922</v>
      </c>
      <c r="H589" s="19" t="s">
        <v>3923</v>
      </c>
      <c r="I589" s="19" t="s">
        <v>3924</v>
      </c>
      <c r="J589" s="19" t="n">
        <v>257.85</v>
      </c>
      <c r="K589" s="19" t="s">
        <v>3925</v>
      </c>
      <c r="L589" s="19"/>
      <c r="M589" s="20" t="str">
        <f aca="false">IF(G589&lt;&gt;"","PASS","FAIL - Missing UPC")</f>
        <v>PASS</v>
      </c>
      <c r="N589" s="20" t="str">
        <f aca="false">IF(AND(G589&lt;&gt;"",H589&lt;&gt;""),IF("0"&amp;G589=H589,"PASS","FAIL - GTIN Mismatch"),"SKIP")</f>
        <v>PASS</v>
      </c>
      <c r="O589" s="20" t="str">
        <f aca="false">IF(I589="","FAIL - No Title",IF(LEN(I589)&lt;=126,"PASS","FAIL - Title &gt;"&amp;126&amp;" chars"))</f>
        <v>PASS</v>
      </c>
      <c r="P589" s="20" t="str">
        <f aca="false">IF(J589&gt;0,IF(J589&lt;5000,"PASS","FLAG - Review Price"),"FAIL - Zero Price")</f>
        <v>PASS</v>
      </c>
      <c r="Q589" s="20" t="str">
        <f aca="false">IF('Raw Catalog'!P587&lt;&gt;"","PASS","FAIL - No Image")</f>
        <v>PASS</v>
      </c>
      <c r="R589" s="20" t="str">
        <f aca="false">IF(F589&lt;&gt;"","PASS","FAIL - No Brand")</f>
        <v>PASS</v>
      </c>
      <c r="S589" s="20" t="str">
        <f aca="true">IF(K589="","FAIL - No Date",IF(TODAY()-DATEVALUE(K589)&lt;=180,"PASS","FLAG - Stale &gt;180d"))</f>
        <v>FLAG - Stale &gt;180d</v>
      </c>
      <c r="T589" s="20" t="n">
        <f aca="false">COUNTIF(M589:S589,"FAIL*")+COUNTIF(M589:S589,"FLAG*")</f>
        <v>1</v>
      </c>
      <c r="U589" s="20" t="str">
        <f aca="false">IF(T589=0,"CLEAN",IF(T589=1,"MINOR",IF(T589&lt;=3,"MODERATE","CRITICAL")))</f>
        <v>MINOR</v>
      </c>
      <c r="V589" s="20" t="str">
        <f aca="false">IF(U589="CLEAN","None",IF(U589="MINOR","Seller Notify",IF(U589="MODERATE","Listing Suspended","Immediate Removal")))</f>
        <v>Seller Notify</v>
      </c>
    </row>
    <row r="590" customFormat="false" ht="18" hidden="false" customHeight="true" outlineLevel="0" collapsed="false">
      <c r="A590" s="19" t="s">
        <v>6667</v>
      </c>
      <c r="B590" s="19" t="s">
        <v>3926</v>
      </c>
      <c r="C590" s="19" t="s">
        <v>113</v>
      </c>
      <c r="D590" s="19" t="s">
        <v>114</v>
      </c>
      <c r="E590" s="19" t="s">
        <v>65</v>
      </c>
      <c r="F590" s="19" t="s">
        <v>115</v>
      </c>
      <c r="G590" s="19" t="s">
        <v>3928</v>
      </c>
      <c r="H590" s="19" t="s">
        <v>3929</v>
      </c>
      <c r="I590" s="19" t="s">
        <v>1257</v>
      </c>
      <c r="J590" s="19" t="n">
        <v>77.14</v>
      </c>
      <c r="K590" s="19" t="s">
        <v>3930</v>
      </c>
      <c r="L590" s="19"/>
      <c r="M590" s="20" t="str">
        <f aca="false">IF(G590&lt;&gt;"","PASS","FAIL - Missing UPC")</f>
        <v>PASS</v>
      </c>
      <c r="N590" s="20" t="str">
        <f aca="false">IF(AND(G590&lt;&gt;"",H590&lt;&gt;""),IF("0"&amp;G590=H590,"PASS","FAIL - GTIN Mismatch"),"SKIP")</f>
        <v>PASS</v>
      </c>
      <c r="O590" s="20" t="str">
        <f aca="false">IF(I590="","FAIL - No Title",IF(LEN(I590)&lt;=126,"PASS","FAIL - Title &gt;"&amp;126&amp;" chars"))</f>
        <v>PASS</v>
      </c>
      <c r="P590" s="20" t="str">
        <f aca="false">IF(J590&gt;0,IF(J590&lt;5000,"PASS","FLAG - Review Price"),"FAIL - Zero Price")</f>
        <v>PASS</v>
      </c>
      <c r="Q590" s="20" t="str">
        <f aca="false">IF('Raw Catalog'!P588&lt;&gt;"","PASS","FAIL - No Image")</f>
        <v>PASS</v>
      </c>
      <c r="R590" s="20" t="str">
        <f aca="false">IF(F590&lt;&gt;"","PASS","FAIL - No Brand")</f>
        <v>PASS</v>
      </c>
      <c r="S590" s="20" t="str">
        <f aca="true">IF(K590="","FAIL - No Date",IF(TODAY()-DATEVALUE(K590)&lt;=180,"PASS","FLAG - Stale &gt;180d"))</f>
        <v>FLAG - Stale &gt;180d</v>
      </c>
      <c r="T590" s="20" t="n">
        <f aca="false">COUNTIF(M590:S590,"FAIL*")+COUNTIF(M590:S590,"FLAG*")</f>
        <v>1</v>
      </c>
      <c r="U590" s="20" t="str">
        <f aca="false">IF(T590=0,"CLEAN",IF(T590=1,"MINOR",IF(T590&lt;=3,"MODERATE","CRITICAL")))</f>
        <v>MINOR</v>
      </c>
      <c r="V590" s="20" t="str">
        <f aca="false">IF(U590="CLEAN","None",IF(U590="MINOR","Seller Notify",IF(U590="MODERATE","Listing Suspended","Immediate Removal")))</f>
        <v>Seller Notify</v>
      </c>
    </row>
    <row r="591" customFormat="false" ht="18" hidden="false" customHeight="true" outlineLevel="0" collapsed="false">
      <c r="A591" s="19" t="s">
        <v>6668</v>
      </c>
      <c r="B591" s="19" t="s">
        <v>2386</v>
      </c>
      <c r="C591" s="19" t="s">
        <v>125</v>
      </c>
      <c r="D591" s="19" t="s">
        <v>126</v>
      </c>
      <c r="E591" s="19" t="s">
        <v>50</v>
      </c>
      <c r="F591" s="19" t="s">
        <v>127</v>
      </c>
      <c r="G591" s="19" t="s">
        <v>2388</v>
      </c>
      <c r="H591" s="19" t="s">
        <v>2389</v>
      </c>
      <c r="I591" s="19" t="s">
        <v>2390</v>
      </c>
      <c r="J591" s="19" t="n">
        <v>985.95</v>
      </c>
      <c r="K591" s="19" t="s">
        <v>2392</v>
      </c>
      <c r="L591" s="21" t="s">
        <v>283</v>
      </c>
      <c r="M591" s="20" t="str">
        <f aca="false">IF(G591&lt;&gt;"","PASS","FAIL - Missing UPC")</f>
        <v>PASS</v>
      </c>
      <c r="N591" s="20" t="str">
        <f aca="false">IF(AND(G591&lt;&gt;"",H591&lt;&gt;""),IF("0"&amp;G591=H591,"PASS","FAIL - GTIN Mismatch"),"SKIP")</f>
        <v>PASS</v>
      </c>
      <c r="O591" s="20" t="str">
        <f aca="false">IF(I591="","FAIL - No Title",IF(LEN(I591)&lt;=126,"PASS","FAIL - Title &gt;"&amp;126&amp;" chars"))</f>
        <v>PASS</v>
      </c>
      <c r="P591" s="20" t="str">
        <f aca="false">IF(J591&gt;0,IF(J591&lt;5000,"PASS","FLAG - Review Price"),"FAIL - Zero Price")</f>
        <v>PASS</v>
      </c>
      <c r="Q591" s="20" t="str">
        <f aca="false">IF('Raw Catalog'!P589&lt;&gt;"","PASS","FAIL - No Image")</f>
        <v>PASS</v>
      </c>
      <c r="R591" s="20" t="str">
        <f aca="false">IF(F591&lt;&gt;"","PASS","FAIL - No Brand")</f>
        <v>PASS</v>
      </c>
      <c r="S591" s="20" t="str">
        <f aca="true">IF(K591="","FAIL - No Date",IF(TODAY()-DATEVALUE(K591)&lt;=180,"PASS","FLAG - Stale &gt;180d"))</f>
        <v>FLAG - Stale &gt;180d</v>
      </c>
      <c r="T591" s="20" t="n">
        <f aca="false">COUNTIF(M591:S591,"FAIL*")+COUNTIF(M591:S591,"FLAG*")</f>
        <v>1</v>
      </c>
      <c r="U591" s="20" t="str">
        <f aca="false">IF(T591=0,"CLEAN",IF(T591=1,"MINOR",IF(T591&lt;=3,"MODERATE","CRITICAL")))</f>
        <v>MINOR</v>
      </c>
      <c r="V591" s="20" t="str">
        <f aca="false">IF(U591="CLEAN","None",IF(U591="MINOR","Seller Notify",IF(U591="MODERATE","Listing Suspended","Immediate Removal")))</f>
        <v>Seller Notify</v>
      </c>
    </row>
    <row r="592" customFormat="false" ht="18" hidden="false" customHeight="true" outlineLevel="0" collapsed="false">
      <c r="A592" s="19" t="s">
        <v>6669</v>
      </c>
      <c r="B592" s="19" t="s">
        <v>3931</v>
      </c>
      <c r="C592" s="19" t="s">
        <v>77</v>
      </c>
      <c r="D592" s="19" t="s">
        <v>78</v>
      </c>
      <c r="E592" s="19" t="s">
        <v>161</v>
      </c>
      <c r="F592" s="19" t="s">
        <v>306</v>
      </c>
      <c r="G592" s="19" t="s">
        <v>3933</v>
      </c>
      <c r="H592" s="19" t="s">
        <v>3934</v>
      </c>
      <c r="I592" s="19" t="s">
        <v>3935</v>
      </c>
      <c r="J592" s="19" t="n">
        <v>523.11</v>
      </c>
      <c r="K592" s="19" t="s">
        <v>3936</v>
      </c>
      <c r="L592" s="21" t="s">
        <v>325</v>
      </c>
      <c r="M592" s="20" t="str">
        <f aca="false">IF(G592&lt;&gt;"","PASS","FAIL - Missing UPC")</f>
        <v>PASS</v>
      </c>
      <c r="N592" s="20" t="str">
        <f aca="false">IF(AND(G592&lt;&gt;"",H592&lt;&gt;""),IF("0"&amp;G592=H592,"PASS","FAIL - GTIN Mismatch"),"SKIP")</f>
        <v>PASS</v>
      </c>
      <c r="O592" s="20" t="str">
        <f aca="false">IF(I592="","FAIL - No Title",IF(LEN(I592)&lt;=126,"PASS","FAIL - Title &gt;"&amp;126&amp;" chars"))</f>
        <v>PASS</v>
      </c>
      <c r="P592" s="20" t="str">
        <f aca="false">IF(J592&gt;0,IF(J592&lt;5000,"PASS","FLAG - Review Price"),"FAIL - Zero Price")</f>
        <v>PASS</v>
      </c>
      <c r="Q592" s="20" t="str">
        <f aca="false">IF('Raw Catalog'!P590&lt;&gt;"","PASS","FAIL - No Image")</f>
        <v>PASS</v>
      </c>
      <c r="R592" s="20" t="str">
        <f aca="false">IF(F592&lt;&gt;"","PASS","FAIL - No Brand")</f>
        <v>PASS</v>
      </c>
      <c r="S592" s="20" t="str">
        <f aca="true">IF(K592="","FAIL - No Date",IF(TODAY()-DATEVALUE(K592)&lt;=180,"PASS","FLAG - Stale &gt;180d"))</f>
        <v>FLAG - Stale &gt;180d</v>
      </c>
      <c r="T592" s="20" t="n">
        <f aca="false">COUNTIF(M592:S592,"FAIL*")+COUNTIF(M592:S592,"FLAG*")</f>
        <v>1</v>
      </c>
      <c r="U592" s="20" t="str">
        <f aca="false">IF(T592=0,"CLEAN",IF(T592=1,"MINOR",IF(T592&lt;=3,"MODERATE","CRITICAL")))</f>
        <v>MINOR</v>
      </c>
      <c r="V592" s="20" t="str">
        <f aca="false">IF(U592="CLEAN","None",IF(U592="MINOR","Seller Notify",IF(U592="MODERATE","Listing Suspended","Immediate Removal")))</f>
        <v>Seller Notify</v>
      </c>
    </row>
    <row r="593" customFormat="false" ht="18" hidden="false" customHeight="true" outlineLevel="0" collapsed="false">
      <c r="A593" s="19" t="s">
        <v>6670</v>
      </c>
      <c r="B593" s="19" t="s">
        <v>3937</v>
      </c>
      <c r="C593" s="19" t="s">
        <v>125</v>
      </c>
      <c r="D593" s="19" t="s">
        <v>126</v>
      </c>
      <c r="E593" s="19" t="s">
        <v>65</v>
      </c>
      <c r="F593" s="19" t="s">
        <v>115</v>
      </c>
      <c r="G593" s="19" t="s">
        <v>3939</v>
      </c>
      <c r="H593" s="19" t="s">
        <v>3940</v>
      </c>
      <c r="I593" s="19" t="s">
        <v>153</v>
      </c>
      <c r="J593" s="19" t="n">
        <v>361.37</v>
      </c>
      <c r="K593" s="19" t="s">
        <v>3941</v>
      </c>
      <c r="L593" s="19"/>
      <c r="M593" s="20" t="str">
        <f aca="false">IF(G593&lt;&gt;"","PASS","FAIL - Missing UPC")</f>
        <v>PASS</v>
      </c>
      <c r="N593" s="20" t="str">
        <f aca="false">IF(AND(G593&lt;&gt;"",H593&lt;&gt;""),IF("0"&amp;G593=H593,"PASS","FAIL - GTIN Mismatch"),"SKIP")</f>
        <v>PASS</v>
      </c>
      <c r="O593" s="20" t="str">
        <f aca="false">IF(I593="","FAIL - No Title",IF(LEN(I593)&lt;=126,"PASS","FAIL - Title &gt;"&amp;126&amp;" chars"))</f>
        <v>PASS</v>
      </c>
      <c r="P593" s="20" t="str">
        <f aca="false">IF(J593&gt;0,IF(J593&lt;5000,"PASS","FLAG - Review Price"),"FAIL - Zero Price")</f>
        <v>PASS</v>
      </c>
      <c r="Q593" s="20" t="str">
        <f aca="false">IF('Raw Catalog'!P591&lt;&gt;"","PASS","FAIL - No Image")</f>
        <v>PASS</v>
      </c>
      <c r="R593" s="20" t="str">
        <f aca="false">IF(F593&lt;&gt;"","PASS","FAIL - No Brand")</f>
        <v>PASS</v>
      </c>
      <c r="S593" s="20" t="str">
        <f aca="true">IF(K593="","FAIL - No Date",IF(TODAY()-DATEVALUE(K593)&lt;=180,"PASS","FLAG - Stale &gt;180d"))</f>
        <v>FLAG - Stale &gt;180d</v>
      </c>
      <c r="T593" s="20" t="n">
        <f aca="false">COUNTIF(M593:S593,"FAIL*")+COUNTIF(M593:S593,"FLAG*")</f>
        <v>1</v>
      </c>
      <c r="U593" s="20" t="str">
        <f aca="false">IF(T593=0,"CLEAN",IF(T593=1,"MINOR",IF(T593&lt;=3,"MODERATE","CRITICAL")))</f>
        <v>MINOR</v>
      </c>
      <c r="V593" s="20" t="str">
        <f aca="false">IF(U593="CLEAN","None",IF(U593="MINOR","Seller Notify",IF(U593="MODERATE","Listing Suspended","Immediate Removal")))</f>
        <v>Seller Notify</v>
      </c>
    </row>
    <row r="594" customFormat="false" ht="18" hidden="false" customHeight="true" outlineLevel="0" collapsed="false">
      <c r="A594" s="19" t="s">
        <v>6671</v>
      </c>
      <c r="B594" s="19" t="s">
        <v>3942</v>
      </c>
      <c r="C594" s="19" t="s">
        <v>77</v>
      </c>
      <c r="D594" s="19" t="s">
        <v>78</v>
      </c>
      <c r="E594" s="19" t="s">
        <v>65</v>
      </c>
      <c r="F594" s="19" t="s">
        <v>390</v>
      </c>
      <c r="G594" s="19" t="s">
        <v>3944</v>
      </c>
      <c r="H594" s="19" t="s">
        <v>3945</v>
      </c>
      <c r="I594" s="19" t="s">
        <v>395</v>
      </c>
      <c r="J594" s="19" t="n">
        <v>369.42</v>
      </c>
      <c r="K594" s="19" t="s">
        <v>369</v>
      </c>
      <c r="L594" s="19"/>
      <c r="M594" s="20" t="str">
        <f aca="false">IF(G594&lt;&gt;"","PASS","FAIL - Missing UPC")</f>
        <v>PASS</v>
      </c>
      <c r="N594" s="20" t="str">
        <f aca="false">IF(AND(G594&lt;&gt;"",H594&lt;&gt;""),IF("0"&amp;G594=H594,"PASS","FAIL - GTIN Mismatch"),"SKIP")</f>
        <v>PASS</v>
      </c>
      <c r="O594" s="20" t="str">
        <f aca="false">IF(I594="","FAIL - No Title",IF(LEN(I594)&lt;=126,"PASS","FAIL - Title &gt;"&amp;126&amp;" chars"))</f>
        <v>PASS</v>
      </c>
      <c r="P594" s="20" t="str">
        <f aca="false">IF(J594&gt;0,IF(J594&lt;5000,"PASS","FLAG - Review Price"),"FAIL - Zero Price")</f>
        <v>PASS</v>
      </c>
      <c r="Q594" s="20" t="str">
        <f aca="false">IF('Raw Catalog'!P592&lt;&gt;"","PASS","FAIL - No Image")</f>
        <v>PASS</v>
      </c>
      <c r="R594" s="20" t="str">
        <f aca="false">IF(F594&lt;&gt;"","PASS","FAIL - No Brand")</f>
        <v>PASS</v>
      </c>
      <c r="S594" s="20" t="str">
        <f aca="true">IF(K594="","FAIL - No Date",IF(TODAY()-DATEVALUE(K594)&lt;=180,"PASS","FLAG - Stale &gt;180d"))</f>
        <v>FLAG - Stale &gt;180d</v>
      </c>
      <c r="T594" s="20" t="n">
        <f aca="false">COUNTIF(M594:S594,"FAIL*")+COUNTIF(M594:S594,"FLAG*")</f>
        <v>1</v>
      </c>
      <c r="U594" s="20" t="str">
        <f aca="false">IF(T594=0,"CLEAN",IF(T594=1,"MINOR",IF(T594&lt;=3,"MODERATE","CRITICAL")))</f>
        <v>MINOR</v>
      </c>
      <c r="V594" s="20" t="str">
        <f aca="false">IF(U594="CLEAN","None",IF(U594="MINOR","Seller Notify",IF(U594="MODERATE","Listing Suspended","Immediate Removal")))</f>
        <v>Seller Notify</v>
      </c>
    </row>
    <row r="595" customFormat="false" ht="18" hidden="false" customHeight="true" outlineLevel="0" collapsed="false">
      <c r="A595" s="19" t="s">
        <v>6672</v>
      </c>
      <c r="B595" s="19" t="s">
        <v>3947</v>
      </c>
      <c r="C595" s="19" t="s">
        <v>255</v>
      </c>
      <c r="D595" s="19" t="s">
        <v>256</v>
      </c>
      <c r="E595" s="19" t="s">
        <v>79</v>
      </c>
      <c r="F595" s="19" t="s">
        <v>196</v>
      </c>
      <c r="G595" s="19" t="s">
        <v>3949</v>
      </c>
      <c r="H595" s="19" t="s">
        <v>3950</v>
      </c>
      <c r="I595" s="19" t="s">
        <v>3951</v>
      </c>
      <c r="J595" s="19" t="n">
        <v>9532.45</v>
      </c>
      <c r="K595" s="19" t="s">
        <v>171</v>
      </c>
      <c r="L595" s="21" t="s">
        <v>343</v>
      </c>
      <c r="M595" s="20" t="str">
        <f aca="false">IF(G595&lt;&gt;"","PASS","FAIL - Missing UPC")</f>
        <v>PASS</v>
      </c>
      <c r="N595" s="20" t="str">
        <f aca="false">IF(AND(G595&lt;&gt;"",H595&lt;&gt;""),IF("0"&amp;G595=H595,"PASS","FAIL - GTIN Mismatch"),"SKIP")</f>
        <v>PASS</v>
      </c>
      <c r="O595" s="20" t="str">
        <f aca="false">IF(I595="","FAIL - No Title",IF(LEN(I595)&lt;=126,"PASS","FAIL - Title &gt;"&amp;126&amp;" chars"))</f>
        <v>PASS</v>
      </c>
      <c r="P595" s="20" t="str">
        <f aca="false">IF(J595&gt;0,IF(J595&lt;5000,"PASS","FLAG - Review Price"),"FAIL - Zero Price")</f>
        <v>FLAG - Review Price</v>
      </c>
      <c r="Q595" s="20" t="str">
        <f aca="false">IF('Raw Catalog'!P593&lt;&gt;"","PASS","FAIL - No Image")</f>
        <v>PASS</v>
      </c>
      <c r="R595" s="20" t="str">
        <f aca="false">IF(F595&lt;&gt;"","PASS","FAIL - No Brand")</f>
        <v>PASS</v>
      </c>
      <c r="S595" s="20" t="str">
        <f aca="true">IF(K595="","FAIL - No Date",IF(TODAY()-DATEVALUE(K595)&lt;=180,"PASS","FLAG - Stale &gt;180d"))</f>
        <v>FLAG - Stale &gt;180d</v>
      </c>
      <c r="T595" s="20" t="n">
        <f aca="false">COUNTIF(M595:S595,"FAIL*")+COUNTIF(M595:S595,"FLAG*")</f>
        <v>2</v>
      </c>
      <c r="U595" s="20" t="str">
        <f aca="false">IF(T595=0,"CLEAN",IF(T595=1,"MINOR",IF(T595&lt;=3,"MODERATE","CRITICAL")))</f>
        <v>MODERATE</v>
      </c>
      <c r="V595" s="20" t="str">
        <f aca="false">IF(U595="CLEAN","None",IF(U595="MINOR","Seller Notify",IF(U595="MODERATE","Listing Suspended","Immediate Removal")))</f>
        <v>Listing Suspended</v>
      </c>
    </row>
    <row r="596" customFormat="false" ht="18" hidden="false" customHeight="true" outlineLevel="0" collapsed="false">
      <c r="A596" s="19" t="s">
        <v>6673</v>
      </c>
      <c r="B596" s="19" t="s">
        <v>3953</v>
      </c>
      <c r="C596" s="19" t="s">
        <v>125</v>
      </c>
      <c r="D596" s="19" t="s">
        <v>126</v>
      </c>
      <c r="E596" s="19" t="s">
        <v>65</v>
      </c>
      <c r="F596" s="19" t="s">
        <v>245</v>
      </c>
      <c r="G596" s="19" t="s">
        <v>3955</v>
      </c>
      <c r="H596" s="19" t="s">
        <v>3956</v>
      </c>
      <c r="I596" s="19" t="s">
        <v>1414</v>
      </c>
      <c r="J596" s="19" t="n">
        <v>322.88</v>
      </c>
      <c r="K596" s="19" t="s">
        <v>2036</v>
      </c>
      <c r="L596" s="19"/>
      <c r="M596" s="20" t="str">
        <f aca="false">IF(G596&lt;&gt;"","PASS","FAIL - Missing UPC")</f>
        <v>PASS</v>
      </c>
      <c r="N596" s="20" t="str">
        <f aca="false">IF(AND(G596&lt;&gt;"",H596&lt;&gt;""),IF("0"&amp;G596=H596,"PASS","FAIL - GTIN Mismatch"),"SKIP")</f>
        <v>PASS</v>
      </c>
      <c r="O596" s="20" t="str">
        <f aca="false">IF(I596="","FAIL - No Title",IF(LEN(I596)&lt;=126,"PASS","FAIL - Title &gt;"&amp;126&amp;" chars"))</f>
        <v>PASS</v>
      </c>
      <c r="P596" s="20" t="str">
        <f aca="false">IF(J596&gt;0,IF(J596&lt;5000,"PASS","FLAG - Review Price"),"FAIL - Zero Price")</f>
        <v>PASS</v>
      </c>
      <c r="Q596" s="20" t="str">
        <f aca="false">IF('Raw Catalog'!P594&lt;&gt;"","PASS","FAIL - No Image")</f>
        <v>PASS</v>
      </c>
      <c r="R596" s="20" t="str">
        <f aca="false">IF(F596&lt;&gt;"","PASS","FAIL - No Brand")</f>
        <v>PASS</v>
      </c>
      <c r="S596" s="20" t="str">
        <f aca="true">IF(K596="","FAIL - No Date",IF(TODAY()-DATEVALUE(K596)&lt;=180,"PASS","FLAG - Stale &gt;180d"))</f>
        <v>FLAG - Stale &gt;180d</v>
      </c>
      <c r="T596" s="20" t="n">
        <f aca="false">COUNTIF(M596:S596,"FAIL*")+COUNTIF(M596:S596,"FLAG*")</f>
        <v>1</v>
      </c>
      <c r="U596" s="20" t="str">
        <f aca="false">IF(T596=0,"CLEAN",IF(T596=1,"MINOR",IF(T596&lt;=3,"MODERATE","CRITICAL")))</f>
        <v>MINOR</v>
      </c>
      <c r="V596" s="20" t="str">
        <f aca="false">IF(U596="CLEAN","None",IF(U596="MINOR","Seller Notify",IF(U596="MODERATE","Listing Suspended","Immediate Removal")))</f>
        <v>Seller Notify</v>
      </c>
    </row>
    <row r="597" customFormat="false" ht="18" hidden="false" customHeight="true" outlineLevel="0" collapsed="false">
      <c r="A597" s="19" t="s">
        <v>6674</v>
      </c>
      <c r="B597" s="19" t="s">
        <v>3957</v>
      </c>
      <c r="C597" s="19" t="s">
        <v>173</v>
      </c>
      <c r="D597" s="19" t="s">
        <v>174</v>
      </c>
      <c r="E597" s="19" t="s">
        <v>50</v>
      </c>
      <c r="F597" s="19" t="s">
        <v>115</v>
      </c>
      <c r="G597" s="19" t="s">
        <v>3959</v>
      </c>
      <c r="H597" s="19" t="s">
        <v>3960</v>
      </c>
      <c r="I597" s="19" t="s">
        <v>3540</v>
      </c>
      <c r="J597" s="19" t="n">
        <v>439.25</v>
      </c>
      <c r="K597" s="19" t="s">
        <v>282</v>
      </c>
      <c r="L597" s="19"/>
      <c r="M597" s="20" t="str">
        <f aca="false">IF(G597&lt;&gt;"","PASS","FAIL - Missing UPC")</f>
        <v>PASS</v>
      </c>
      <c r="N597" s="20" t="str">
        <f aca="false">IF(AND(G597&lt;&gt;"",H597&lt;&gt;""),IF("0"&amp;G597=H597,"PASS","FAIL - GTIN Mismatch"),"SKIP")</f>
        <v>PASS</v>
      </c>
      <c r="O597" s="20" t="str">
        <f aca="false">IF(I597="","FAIL - No Title",IF(LEN(I597)&lt;=126,"PASS","FAIL - Title &gt;"&amp;126&amp;" chars"))</f>
        <v>PASS</v>
      </c>
      <c r="P597" s="20" t="str">
        <f aca="false">IF(J597&gt;0,IF(J597&lt;5000,"PASS","FLAG - Review Price"),"FAIL - Zero Price")</f>
        <v>PASS</v>
      </c>
      <c r="Q597" s="20" t="str">
        <f aca="false">IF('Raw Catalog'!P595&lt;&gt;"","PASS","FAIL - No Image")</f>
        <v>PASS</v>
      </c>
      <c r="R597" s="20" t="str">
        <f aca="false">IF(F597&lt;&gt;"","PASS","FAIL - No Brand")</f>
        <v>PASS</v>
      </c>
      <c r="S597" s="20" t="str">
        <f aca="true">IF(K597="","FAIL - No Date",IF(TODAY()-DATEVALUE(K597)&lt;=180,"PASS","FLAG - Stale &gt;180d"))</f>
        <v>FLAG - Stale &gt;180d</v>
      </c>
      <c r="T597" s="20" t="n">
        <f aca="false">COUNTIF(M597:S597,"FAIL*")+COUNTIF(M597:S597,"FLAG*")</f>
        <v>1</v>
      </c>
      <c r="U597" s="20" t="str">
        <f aca="false">IF(T597=0,"CLEAN",IF(T597=1,"MINOR",IF(T597&lt;=3,"MODERATE","CRITICAL")))</f>
        <v>MINOR</v>
      </c>
      <c r="V597" s="20" t="str">
        <f aca="false">IF(U597="CLEAN","None",IF(U597="MINOR","Seller Notify",IF(U597="MODERATE","Listing Suspended","Immediate Removal")))</f>
        <v>Seller Notify</v>
      </c>
    </row>
    <row r="598" customFormat="false" ht="18" hidden="false" customHeight="true" outlineLevel="0" collapsed="false">
      <c r="A598" s="19" t="s">
        <v>6675</v>
      </c>
      <c r="B598" s="19" t="s">
        <v>3961</v>
      </c>
      <c r="C598" s="19" t="s">
        <v>173</v>
      </c>
      <c r="D598" s="19" t="s">
        <v>174</v>
      </c>
      <c r="E598" s="19" t="s">
        <v>65</v>
      </c>
      <c r="F598" s="19" t="s">
        <v>438</v>
      </c>
      <c r="G598" s="19" t="s">
        <v>3963</v>
      </c>
      <c r="H598" s="19" t="s">
        <v>3964</v>
      </c>
      <c r="I598" s="19" t="s">
        <v>2046</v>
      </c>
      <c r="J598" s="19" t="n">
        <v>434.74</v>
      </c>
      <c r="K598" s="19" t="s">
        <v>604</v>
      </c>
      <c r="L598" s="19"/>
      <c r="M598" s="20" t="str">
        <f aca="false">IF(G598&lt;&gt;"","PASS","FAIL - Missing UPC")</f>
        <v>PASS</v>
      </c>
      <c r="N598" s="20" t="str">
        <f aca="false">IF(AND(G598&lt;&gt;"",H598&lt;&gt;""),IF("0"&amp;G598=H598,"PASS","FAIL - GTIN Mismatch"),"SKIP")</f>
        <v>PASS</v>
      </c>
      <c r="O598" s="20" t="str">
        <f aca="false">IF(I598="","FAIL - No Title",IF(LEN(I598)&lt;=126,"PASS","FAIL - Title &gt;"&amp;126&amp;" chars"))</f>
        <v>PASS</v>
      </c>
      <c r="P598" s="20" t="str">
        <f aca="false">IF(J598&gt;0,IF(J598&lt;5000,"PASS","FLAG - Review Price"),"FAIL - Zero Price")</f>
        <v>PASS</v>
      </c>
      <c r="Q598" s="20" t="str">
        <f aca="false">IF('Raw Catalog'!P596&lt;&gt;"","PASS","FAIL - No Image")</f>
        <v>PASS</v>
      </c>
      <c r="R598" s="20" t="str">
        <f aca="false">IF(F598&lt;&gt;"","PASS","FAIL - No Brand")</f>
        <v>PASS</v>
      </c>
      <c r="S598" s="20" t="str">
        <f aca="true">IF(K598="","FAIL - No Date",IF(TODAY()-DATEVALUE(K598)&lt;=180,"PASS","FLAG - Stale &gt;180d"))</f>
        <v>FLAG - Stale &gt;180d</v>
      </c>
      <c r="T598" s="20" t="n">
        <f aca="false">COUNTIF(M598:S598,"FAIL*")+COUNTIF(M598:S598,"FLAG*")</f>
        <v>1</v>
      </c>
      <c r="U598" s="20" t="str">
        <f aca="false">IF(T598=0,"CLEAN",IF(T598=1,"MINOR",IF(T598&lt;=3,"MODERATE","CRITICAL")))</f>
        <v>MINOR</v>
      </c>
      <c r="V598" s="20" t="str">
        <f aca="false">IF(U598="CLEAN","None",IF(U598="MINOR","Seller Notify",IF(U598="MODERATE","Listing Suspended","Immediate Removal")))</f>
        <v>Seller Notify</v>
      </c>
    </row>
    <row r="599" customFormat="false" ht="18" hidden="false" customHeight="true" outlineLevel="0" collapsed="false">
      <c r="A599" s="19" t="s">
        <v>6676</v>
      </c>
      <c r="B599" s="19" t="s">
        <v>3965</v>
      </c>
      <c r="C599" s="19" t="s">
        <v>125</v>
      </c>
      <c r="D599" s="19" t="s">
        <v>126</v>
      </c>
      <c r="E599" s="19" t="s">
        <v>79</v>
      </c>
      <c r="F599" s="19" t="s">
        <v>51</v>
      </c>
      <c r="G599" s="19" t="s">
        <v>3967</v>
      </c>
      <c r="H599" s="19" t="s">
        <v>3968</v>
      </c>
      <c r="I599" s="19" t="s">
        <v>3969</v>
      </c>
      <c r="J599" s="19" t="n">
        <v>1893.72</v>
      </c>
      <c r="K599" s="19" t="s">
        <v>3971</v>
      </c>
      <c r="L599" s="19"/>
      <c r="M599" s="20" t="str">
        <f aca="false">IF(G599&lt;&gt;"","PASS","FAIL - Missing UPC")</f>
        <v>PASS</v>
      </c>
      <c r="N599" s="20" t="str">
        <f aca="false">IF(AND(G599&lt;&gt;"",H599&lt;&gt;""),IF("0"&amp;G599=H599,"PASS","FAIL - GTIN Mismatch"),"SKIP")</f>
        <v>PASS</v>
      </c>
      <c r="O599" s="20" t="str">
        <f aca="false">IF(I599="","FAIL - No Title",IF(LEN(I599)&lt;=126,"PASS","FAIL - Title &gt;"&amp;126&amp;" chars"))</f>
        <v>PASS</v>
      </c>
      <c r="P599" s="20" t="str">
        <f aca="false">IF(J599&gt;0,IF(J599&lt;5000,"PASS","FLAG - Review Price"),"FAIL - Zero Price")</f>
        <v>PASS</v>
      </c>
      <c r="Q599" s="20" t="str">
        <f aca="false">IF('Raw Catalog'!P597&lt;&gt;"","PASS","FAIL - No Image")</f>
        <v>PASS</v>
      </c>
      <c r="R599" s="20" t="str">
        <f aca="false">IF(F599&lt;&gt;"","PASS","FAIL - No Brand")</f>
        <v>PASS</v>
      </c>
      <c r="S599" s="20" t="str">
        <f aca="true">IF(K599="","FAIL - No Date",IF(TODAY()-DATEVALUE(K599)&lt;=180,"PASS","FLAG - Stale &gt;180d"))</f>
        <v>FLAG - Stale &gt;180d</v>
      </c>
      <c r="T599" s="20" t="n">
        <f aca="false">COUNTIF(M599:S599,"FAIL*")+COUNTIF(M599:S599,"FLAG*")</f>
        <v>1</v>
      </c>
      <c r="U599" s="20" t="str">
        <f aca="false">IF(T599=0,"CLEAN",IF(T599=1,"MINOR",IF(T599&lt;=3,"MODERATE","CRITICAL")))</f>
        <v>MINOR</v>
      </c>
      <c r="V599" s="20" t="str">
        <f aca="false">IF(U599="CLEAN","None",IF(U599="MINOR","Seller Notify",IF(U599="MODERATE","Listing Suspended","Immediate Removal")))</f>
        <v>Seller Notify</v>
      </c>
    </row>
    <row r="600" customFormat="false" ht="18" hidden="false" customHeight="true" outlineLevel="0" collapsed="false">
      <c r="A600" s="19" t="s">
        <v>6677</v>
      </c>
      <c r="B600" s="19" t="s">
        <v>3972</v>
      </c>
      <c r="C600" s="19" t="s">
        <v>113</v>
      </c>
      <c r="D600" s="19" t="s">
        <v>114</v>
      </c>
      <c r="E600" s="19" t="s">
        <v>50</v>
      </c>
      <c r="F600" s="19" t="s">
        <v>115</v>
      </c>
      <c r="G600" s="19" t="s">
        <v>3974</v>
      </c>
      <c r="H600" s="19" t="s">
        <v>3975</v>
      </c>
      <c r="I600" s="19" t="s">
        <v>3976</v>
      </c>
      <c r="J600" s="19" t="n">
        <v>803.56</v>
      </c>
      <c r="K600" s="19" t="s">
        <v>183</v>
      </c>
      <c r="L600" s="19"/>
      <c r="M600" s="20" t="str">
        <f aca="false">IF(G600&lt;&gt;"","PASS","FAIL - Missing UPC")</f>
        <v>PASS</v>
      </c>
      <c r="N600" s="20" t="str">
        <f aca="false">IF(AND(G600&lt;&gt;"",H600&lt;&gt;""),IF("0"&amp;G600=H600,"PASS","FAIL - GTIN Mismatch"),"SKIP")</f>
        <v>PASS</v>
      </c>
      <c r="O600" s="20" t="str">
        <f aca="false">IF(I600="","FAIL - No Title",IF(LEN(I600)&lt;=126,"PASS","FAIL - Title &gt;"&amp;126&amp;" chars"))</f>
        <v>PASS</v>
      </c>
      <c r="P600" s="20" t="str">
        <f aca="false">IF(J600&gt;0,IF(J600&lt;5000,"PASS","FLAG - Review Price"),"FAIL - Zero Price")</f>
        <v>PASS</v>
      </c>
      <c r="Q600" s="20" t="str">
        <f aca="false">IF('Raw Catalog'!P598&lt;&gt;"","PASS","FAIL - No Image")</f>
        <v>PASS</v>
      </c>
      <c r="R600" s="20" t="str">
        <f aca="false">IF(F600&lt;&gt;"","PASS","FAIL - No Brand")</f>
        <v>PASS</v>
      </c>
      <c r="S600" s="20" t="str">
        <f aca="true">IF(K600="","FAIL - No Date",IF(TODAY()-DATEVALUE(K600)&lt;=180,"PASS","FLAG - Stale &gt;180d"))</f>
        <v>FLAG - Stale &gt;180d</v>
      </c>
      <c r="T600" s="20" t="n">
        <f aca="false">COUNTIF(M600:S600,"FAIL*")+COUNTIF(M600:S600,"FLAG*")</f>
        <v>1</v>
      </c>
      <c r="U600" s="20" t="str">
        <f aca="false">IF(T600=0,"CLEAN",IF(T600=1,"MINOR",IF(T600&lt;=3,"MODERATE","CRITICAL")))</f>
        <v>MINOR</v>
      </c>
      <c r="V600" s="20" t="str">
        <f aca="false">IF(U600="CLEAN","None",IF(U600="MINOR","Seller Notify",IF(U600="MODERATE","Listing Suspended","Immediate Removal")))</f>
        <v>Seller Notify</v>
      </c>
    </row>
    <row r="601" customFormat="false" ht="18" hidden="false" customHeight="true" outlineLevel="0" collapsed="false">
      <c r="A601" s="19" t="s">
        <v>6678</v>
      </c>
      <c r="B601" s="19" t="s">
        <v>3977</v>
      </c>
      <c r="C601" s="19" t="s">
        <v>77</v>
      </c>
      <c r="D601" s="19" t="s">
        <v>78</v>
      </c>
      <c r="E601" s="19" t="s">
        <v>161</v>
      </c>
      <c r="F601" s="19" t="s">
        <v>51</v>
      </c>
      <c r="G601" s="19" t="s">
        <v>3979</v>
      </c>
      <c r="H601" s="19" t="s">
        <v>3980</v>
      </c>
      <c r="I601" s="19"/>
      <c r="J601" s="19" t="n">
        <v>233.53</v>
      </c>
      <c r="K601" s="19" t="s">
        <v>1814</v>
      </c>
      <c r="L601" s="21" t="s">
        <v>1048</v>
      </c>
      <c r="M601" s="20" t="str">
        <f aca="false">IF(G601&lt;&gt;"","PASS","FAIL - Missing UPC")</f>
        <v>PASS</v>
      </c>
      <c r="N601" s="20" t="str">
        <f aca="false">IF(AND(G601&lt;&gt;"",H601&lt;&gt;""),IF("0"&amp;G601=H601,"PASS","FAIL - GTIN Mismatch"),"SKIP")</f>
        <v>PASS</v>
      </c>
      <c r="O601" s="20" t="str">
        <f aca="false">IF(I601="","FAIL - No Title",IF(LEN(I601)&lt;=126,"PASS","FAIL - Title &gt;"&amp;126&amp;" chars"))</f>
        <v>FAIL - No Title</v>
      </c>
      <c r="P601" s="20" t="str">
        <f aca="false">IF(J601&gt;0,IF(J601&lt;5000,"PASS","FLAG - Review Price"),"FAIL - Zero Price")</f>
        <v>PASS</v>
      </c>
      <c r="Q601" s="20" t="str">
        <f aca="false">IF('Raw Catalog'!P599&lt;&gt;"","PASS","FAIL - No Image")</f>
        <v>PASS</v>
      </c>
      <c r="R601" s="20" t="str">
        <f aca="false">IF(F601&lt;&gt;"","PASS","FAIL - No Brand")</f>
        <v>PASS</v>
      </c>
      <c r="S601" s="20" t="str">
        <f aca="true">IF(K601="","FAIL - No Date",IF(TODAY()-DATEVALUE(K601)&lt;=180,"PASS","FLAG - Stale &gt;180d"))</f>
        <v>FLAG - Stale &gt;180d</v>
      </c>
      <c r="T601" s="20" t="n">
        <f aca="false">COUNTIF(M601:S601,"FAIL*")+COUNTIF(M601:S601,"FLAG*")</f>
        <v>2</v>
      </c>
      <c r="U601" s="20" t="str">
        <f aca="false">IF(T601=0,"CLEAN",IF(T601=1,"MINOR",IF(T601&lt;=3,"MODERATE","CRITICAL")))</f>
        <v>MODERATE</v>
      </c>
      <c r="V601" s="20" t="str">
        <f aca="false">IF(U601="CLEAN","None",IF(U601="MINOR","Seller Notify",IF(U601="MODERATE","Listing Suspended","Immediate Removal")))</f>
        <v>Listing Suspended</v>
      </c>
    </row>
    <row r="602" customFormat="false" ht="18" hidden="false" customHeight="true" outlineLevel="0" collapsed="false">
      <c r="A602" s="19" t="s">
        <v>6679</v>
      </c>
      <c r="B602" s="19" t="s">
        <v>3981</v>
      </c>
      <c r="C602" s="19" t="s">
        <v>255</v>
      </c>
      <c r="D602" s="19" t="s">
        <v>256</v>
      </c>
      <c r="E602" s="19" t="s">
        <v>161</v>
      </c>
      <c r="F602" s="19" t="s">
        <v>822</v>
      </c>
      <c r="G602" s="19" t="s">
        <v>3983</v>
      </c>
      <c r="H602" s="19" t="s">
        <v>3984</v>
      </c>
      <c r="I602" s="19" t="s">
        <v>3985</v>
      </c>
      <c r="J602" s="19" t="n">
        <v>250.77</v>
      </c>
      <c r="K602" s="19" t="s">
        <v>1777</v>
      </c>
      <c r="L602" s="21" t="s">
        <v>283</v>
      </c>
      <c r="M602" s="20" t="str">
        <f aca="false">IF(G602&lt;&gt;"","PASS","FAIL - Missing UPC")</f>
        <v>PASS</v>
      </c>
      <c r="N602" s="20" t="str">
        <f aca="false">IF(AND(G602&lt;&gt;"",H602&lt;&gt;""),IF("0"&amp;G602=H602,"PASS","FAIL - GTIN Mismatch"),"SKIP")</f>
        <v>PASS</v>
      </c>
      <c r="O602" s="20" t="str">
        <f aca="false">IF(I602="","FAIL - No Title",IF(LEN(I602)&lt;=126,"PASS","FAIL - Title &gt;"&amp;126&amp;" chars"))</f>
        <v>PASS</v>
      </c>
      <c r="P602" s="20" t="str">
        <f aca="false">IF(J602&gt;0,IF(J602&lt;5000,"PASS","FLAG - Review Price"),"FAIL - Zero Price")</f>
        <v>PASS</v>
      </c>
      <c r="Q602" s="20" t="str">
        <f aca="false">IF('Raw Catalog'!P600&lt;&gt;"","PASS","FAIL - No Image")</f>
        <v>PASS</v>
      </c>
      <c r="R602" s="20" t="str">
        <f aca="false">IF(F602&lt;&gt;"","PASS","FAIL - No Brand")</f>
        <v>PASS</v>
      </c>
      <c r="S602" s="20" t="str">
        <f aca="true">IF(K602="","FAIL - No Date",IF(TODAY()-DATEVALUE(K602)&lt;=180,"PASS","FLAG - Stale &gt;180d"))</f>
        <v>FLAG - Stale &gt;180d</v>
      </c>
      <c r="T602" s="20" t="n">
        <f aca="false">COUNTIF(M602:S602,"FAIL*")+COUNTIF(M602:S602,"FLAG*")</f>
        <v>1</v>
      </c>
      <c r="U602" s="20" t="str">
        <f aca="false">IF(T602=0,"CLEAN",IF(T602=1,"MINOR",IF(T602&lt;=3,"MODERATE","CRITICAL")))</f>
        <v>MINOR</v>
      </c>
      <c r="V602" s="20" t="str">
        <f aca="false">IF(U602="CLEAN","None",IF(U602="MINOR","Seller Notify",IF(U602="MODERATE","Listing Suspended","Immediate Removal")))</f>
        <v>Seller Notify</v>
      </c>
    </row>
    <row r="603" customFormat="false" ht="18" hidden="false" customHeight="true" outlineLevel="0" collapsed="false">
      <c r="A603" s="19" t="s">
        <v>6680</v>
      </c>
      <c r="B603" s="19" t="s">
        <v>3986</v>
      </c>
      <c r="C603" s="19" t="s">
        <v>77</v>
      </c>
      <c r="D603" s="19" t="s">
        <v>78</v>
      </c>
      <c r="E603" s="19" t="s">
        <v>79</v>
      </c>
      <c r="F603" s="19" t="s">
        <v>465</v>
      </c>
      <c r="G603" s="19" t="s">
        <v>3988</v>
      </c>
      <c r="H603" s="19" t="s">
        <v>3989</v>
      </c>
      <c r="I603" s="19" t="s">
        <v>3990</v>
      </c>
      <c r="J603" s="19" t="n">
        <v>1176.11</v>
      </c>
      <c r="K603" s="19" t="s">
        <v>3734</v>
      </c>
      <c r="L603" s="19"/>
      <c r="M603" s="20" t="str">
        <f aca="false">IF(G603&lt;&gt;"","PASS","FAIL - Missing UPC")</f>
        <v>PASS</v>
      </c>
      <c r="N603" s="20" t="str">
        <f aca="false">IF(AND(G603&lt;&gt;"",H603&lt;&gt;""),IF("0"&amp;G603=H603,"PASS","FAIL - GTIN Mismatch"),"SKIP")</f>
        <v>PASS</v>
      </c>
      <c r="O603" s="20" t="str">
        <f aca="false">IF(I603="","FAIL - No Title",IF(LEN(I603)&lt;=126,"PASS","FAIL - Title &gt;"&amp;126&amp;" chars"))</f>
        <v>PASS</v>
      </c>
      <c r="P603" s="20" t="str">
        <f aca="false">IF(J603&gt;0,IF(J603&lt;5000,"PASS","FLAG - Review Price"),"FAIL - Zero Price")</f>
        <v>PASS</v>
      </c>
      <c r="Q603" s="20" t="str">
        <f aca="false">IF('Raw Catalog'!P601&lt;&gt;"","PASS","FAIL - No Image")</f>
        <v>PASS</v>
      </c>
      <c r="R603" s="20" t="str">
        <f aca="false">IF(F603&lt;&gt;"","PASS","FAIL - No Brand")</f>
        <v>PASS</v>
      </c>
      <c r="S603" s="20" t="str">
        <f aca="true">IF(K603="","FAIL - No Date",IF(TODAY()-DATEVALUE(K603)&lt;=180,"PASS","FLAG - Stale &gt;180d"))</f>
        <v>FLAG - Stale &gt;180d</v>
      </c>
      <c r="T603" s="20" t="n">
        <f aca="false">COUNTIF(M603:S603,"FAIL*")+COUNTIF(M603:S603,"FLAG*")</f>
        <v>1</v>
      </c>
      <c r="U603" s="20" t="str">
        <f aca="false">IF(T603=0,"CLEAN",IF(T603=1,"MINOR",IF(T603&lt;=3,"MODERATE","CRITICAL")))</f>
        <v>MINOR</v>
      </c>
      <c r="V603" s="20" t="str">
        <f aca="false">IF(U603="CLEAN","None",IF(U603="MINOR","Seller Notify",IF(U603="MODERATE","Listing Suspended","Immediate Removal")))</f>
        <v>Seller Notify</v>
      </c>
    </row>
    <row r="604" customFormat="false" ht="18" hidden="false" customHeight="true" outlineLevel="0" collapsed="false">
      <c r="A604" s="19" t="s">
        <v>6681</v>
      </c>
      <c r="B604" s="19" t="s">
        <v>3992</v>
      </c>
      <c r="C604" s="19" t="s">
        <v>77</v>
      </c>
      <c r="D604" s="19" t="s">
        <v>78</v>
      </c>
      <c r="E604" s="19" t="s">
        <v>50</v>
      </c>
      <c r="F604" s="19" t="s">
        <v>51</v>
      </c>
      <c r="G604" s="19" t="s">
        <v>3994</v>
      </c>
      <c r="H604" s="19" t="s">
        <v>3995</v>
      </c>
      <c r="I604" s="19" t="s">
        <v>3996</v>
      </c>
      <c r="J604" s="19" t="n">
        <v>397.45</v>
      </c>
      <c r="K604" s="19" t="s">
        <v>3998</v>
      </c>
      <c r="L604" s="19"/>
      <c r="M604" s="20" t="str">
        <f aca="false">IF(G604&lt;&gt;"","PASS","FAIL - Missing UPC")</f>
        <v>PASS</v>
      </c>
      <c r="N604" s="20" t="str">
        <f aca="false">IF(AND(G604&lt;&gt;"",H604&lt;&gt;""),IF("0"&amp;G604=H604,"PASS","FAIL - GTIN Mismatch"),"SKIP")</f>
        <v>PASS</v>
      </c>
      <c r="O604" s="20" t="str">
        <f aca="false">IF(I604="","FAIL - No Title",IF(LEN(I604)&lt;=126,"PASS","FAIL - Title &gt;"&amp;126&amp;" chars"))</f>
        <v>PASS</v>
      </c>
      <c r="P604" s="20" t="str">
        <f aca="false">IF(J604&gt;0,IF(J604&lt;5000,"PASS","FLAG - Review Price"),"FAIL - Zero Price")</f>
        <v>PASS</v>
      </c>
      <c r="Q604" s="20" t="str">
        <f aca="false">IF('Raw Catalog'!P602&lt;&gt;"","PASS","FAIL - No Image")</f>
        <v>PASS</v>
      </c>
      <c r="R604" s="20" t="str">
        <f aca="false">IF(F604&lt;&gt;"","PASS","FAIL - No Brand")</f>
        <v>PASS</v>
      </c>
      <c r="S604" s="20" t="str">
        <f aca="true">IF(K604="","FAIL - No Date",IF(TODAY()-DATEVALUE(K604)&lt;=180,"PASS","FLAG - Stale &gt;180d"))</f>
        <v>FLAG - Stale &gt;180d</v>
      </c>
      <c r="T604" s="20" t="n">
        <f aca="false">COUNTIF(M604:S604,"FAIL*")+COUNTIF(M604:S604,"FLAG*")</f>
        <v>1</v>
      </c>
      <c r="U604" s="20" t="str">
        <f aca="false">IF(T604=0,"CLEAN",IF(T604=1,"MINOR",IF(T604&lt;=3,"MODERATE","CRITICAL")))</f>
        <v>MINOR</v>
      </c>
      <c r="V604" s="20" t="str">
        <f aca="false">IF(U604="CLEAN","None",IF(U604="MINOR","Seller Notify",IF(U604="MODERATE","Listing Suspended","Immediate Removal")))</f>
        <v>Seller Notify</v>
      </c>
    </row>
    <row r="605" customFormat="false" ht="18" hidden="false" customHeight="true" outlineLevel="0" collapsed="false">
      <c r="A605" s="19" t="s">
        <v>6682</v>
      </c>
      <c r="B605" s="19" t="s">
        <v>3999</v>
      </c>
      <c r="C605" s="19" t="s">
        <v>63</v>
      </c>
      <c r="D605" s="19" t="s">
        <v>64</v>
      </c>
      <c r="E605" s="19" t="s">
        <v>79</v>
      </c>
      <c r="F605" s="19" t="s">
        <v>465</v>
      </c>
      <c r="G605" s="19" t="s">
        <v>4001</v>
      </c>
      <c r="H605" s="19" t="s">
        <v>4002</v>
      </c>
      <c r="I605" s="19" t="s">
        <v>4003</v>
      </c>
      <c r="J605" s="19" t="n">
        <v>1719.68</v>
      </c>
      <c r="K605" s="19" t="s">
        <v>4004</v>
      </c>
      <c r="L605" s="21" t="s">
        <v>283</v>
      </c>
      <c r="M605" s="20" t="str">
        <f aca="false">IF(G605&lt;&gt;"","PASS","FAIL - Missing UPC")</f>
        <v>PASS</v>
      </c>
      <c r="N605" s="20" t="str">
        <f aca="false">IF(AND(G605&lt;&gt;"",H605&lt;&gt;""),IF("0"&amp;G605=H605,"PASS","FAIL - GTIN Mismatch"),"SKIP")</f>
        <v>PASS</v>
      </c>
      <c r="O605" s="20" t="str">
        <f aca="false">IF(I605="","FAIL - No Title",IF(LEN(I605)&lt;=126,"PASS","FAIL - Title &gt;"&amp;126&amp;" chars"))</f>
        <v>PASS</v>
      </c>
      <c r="P605" s="20" t="str">
        <f aca="false">IF(J605&gt;0,IF(J605&lt;5000,"PASS","FLAG - Review Price"),"FAIL - Zero Price")</f>
        <v>PASS</v>
      </c>
      <c r="Q605" s="20" t="str">
        <f aca="false">IF('Raw Catalog'!P603&lt;&gt;"","PASS","FAIL - No Image")</f>
        <v>PASS</v>
      </c>
      <c r="R605" s="20" t="str">
        <f aca="false">IF(F605&lt;&gt;"","PASS","FAIL - No Brand")</f>
        <v>PASS</v>
      </c>
      <c r="S605" s="20" t="str">
        <f aca="true">IF(K605="","FAIL - No Date",IF(TODAY()-DATEVALUE(K605)&lt;=180,"PASS","FLAG - Stale &gt;180d"))</f>
        <v>FLAG - Stale &gt;180d</v>
      </c>
      <c r="T605" s="20" t="n">
        <f aca="false">COUNTIF(M605:S605,"FAIL*")+COUNTIF(M605:S605,"FLAG*")</f>
        <v>1</v>
      </c>
      <c r="U605" s="20" t="str">
        <f aca="false">IF(T605=0,"CLEAN",IF(T605=1,"MINOR",IF(T605&lt;=3,"MODERATE","CRITICAL")))</f>
        <v>MINOR</v>
      </c>
      <c r="V605" s="20" t="str">
        <f aca="false">IF(U605="CLEAN","None",IF(U605="MINOR","Seller Notify",IF(U605="MODERATE","Listing Suspended","Immediate Removal")))</f>
        <v>Seller Notify</v>
      </c>
    </row>
    <row r="606" customFormat="false" ht="18" hidden="false" customHeight="true" outlineLevel="0" collapsed="false">
      <c r="A606" s="19" t="s">
        <v>6683</v>
      </c>
      <c r="B606" s="19" t="s">
        <v>4005</v>
      </c>
      <c r="C606" s="19" t="s">
        <v>77</v>
      </c>
      <c r="D606" s="19" t="s">
        <v>78</v>
      </c>
      <c r="E606" s="19" t="s">
        <v>161</v>
      </c>
      <c r="F606" s="19" t="s">
        <v>295</v>
      </c>
      <c r="G606" s="19"/>
      <c r="H606" s="19" t="s">
        <v>4007</v>
      </c>
      <c r="I606" s="19" t="s">
        <v>4008</v>
      </c>
      <c r="J606" s="19" t="n">
        <v>2042.44</v>
      </c>
      <c r="K606" s="19" t="s">
        <v>855</v>
      </c>
      <c r="L606" s="21" t="s">
        <v>343</v>
      </c>
      <c r="M606" s="20" t="str">
        <f aca="false">IF(G606&lt;&gt;"","PASS","FAIL - Missing UPC")</f>
        <v>FAIL - Missing UPC</v>
      </c>
      <c r="N606" s="20" t="str">
        <f aca="false">IF(AND(G606&lt;&gt;"",H606&lt;&gt;""),IF("0"&amp;G606=H606,"PASS","FAIL - GTIN Mismatch"),"SKIP")</f>
        <v>SKIP</v>
      </c>
      <c r="O606" s="20" t="str">
        <f aca="false">IF(I606="","FAIL - No Title",IF(LEN(I606)&lt;=126,"PASS","FAIL - Title &gt;"&amp;126&amp;" chars"))</f>
        <v>PASS</v>
      </c>
      <c r="P606" s="20" t="str">
        <f aca="false">IF(J606&gt;0,IF(J606&lt;5000,"PASS","FLAG - Review Price"),"FAIL - Zero Price")</f>
        <v>PASS</v>
      </c>
      <c r="Q606" s="20" t="str">
        <f aca="false">IF('Raw Catalog'!P604&lt;&gt;"","PASS","FAIL - No Image")</f>
        <v>PASS</v>
      </c>
      <c r="R606" s="20" t="str">
        <f aca="false">IF(F606&lt;&gt;"","PASS","FAIL - No Brand")</f>
        <v>PASS</v>
      </c>
      <c r="S606" s="20" t="str">
        <f aca="true">IF(K606="","FAIL - No Date",IF(TODAY()-DATEVALUE(K606)&lt;=180,"PASS","FLAG - Stale &gt;180d"))</f>
        <v>FLAG - Stale &gt;180d</v>
      </c>
      <c r="T606" s="20" t="n">
        <f aca="false">COUNTIF(M606:S606,"FAIL*")+COUNTIF(M606:S606,"FLAG*")</f>
        <v>2</v>
      </c>
      <c r="U606" s="20" t="str">
        <f aca="false">IF(T606=0,"CLEAN",IF(T606=1,"MINOR",IF(T606&lt;=3,"MODERATE","CRITICAL")))</f>
        <v>MODERATE</v>
      </c>
      <c r="V606" s="20" t="str">
        <f aca="false">IF(U606="CLEAN","None",IF(U606="MINOR","Seller Notify",IF(U606="MODERATE","Listing Suspended","Immediate Removal")))</f>
        <v>Listing Suspended</v>
      </c>
    </row>
    <row r="607" customFormat="false" ht="18" hidden="false" customHeight="true" outlineLevel="0" collapsed="false">
      <c r="A607" s="19" t="s">
        <v>6684</v>
      </c>
      <c r="B607" s="19" t="s">
        <v>4009</v>
      </c>
      <c r="C607" s="19" t="s">
        <v>77</v>
      </c>
      <c r="D607" s="19" t="s">
        <v>78</v>
      </c>
      <c r="E607" s="19" t="s">
        <v>65</v>
      </c>
      <c r="F607" s="19" t="s">
        <v>66</v>
      </c>
      <c r="G607" s="19" t="s">
        <v>4011</v>
      </c>
      <c r="H607" s="19" t="s">
        <v>4012</v>
      </c>
      <c r="I607" s="19" t="s">
        <v>1175</v>
      </c>
      <c r="J607" s="19" t="n">
        <v>243.9</v>
      </c>
      <c r="K607" s="19" t="s">
        <v>1409</v>
      </c>
      <c r="L607" s="19"/>
      <c r="M607" s="20" t="str">
        <f aca="false">IF(G607&lt;&gt;"","PASS","FAIL - Missing UPC")</f>
        <v>PASS</v>
      </c>
      <c r="N607" s="20" t="str">
        <f aca="false">IF(AND(G607&lt;&gt;"",H607&lt;&gt;""),IF("0"&amp;G607=H607,"PASS","FAIL - GTIN Mismatch"),"SKIP")</f>
        <v>PASS</v>
      </c>
      <c r="O607" s="20" t="str">
        <f aca="false">IF(I607="","FAIL - No Title",IF(LEN(I607)&lt;=126,"PASS","FAIL - Title &gt;"&amp;126&amp;" chars"))</f>
        <v>PASS</v>
      </c>
      <c r="P607" s="20" t="str">
        <f aca="false">IF(J607&gt;0,IF(J607&lt;5000,"PASS","FLAG - Review Price"),"FAIL - Zero Price")</f>
        <v>PASS</v>
      </c>
      <c r="Q607" s="20" t="str">
        <f aca="false">IF('Raw Catalog'!P605&lt;&gt;"","PASS","FAIL - No Image")</f>
        <v>PASS</v>
      </c>
      <c r="R607" s="20" t="str">
        <f aca="false">IF(F607&lt;&gt;"","PASS","FAIL - No Brand")</f>
        <v>PASS</v>
      </c>
      <c r="S607" s="20" t="str">
        <f aca="true">IF(K607="","FAIL - No Date",IF(TODAY()-DATEVALUE(K607)&lt;=180,"PASS","FLAG - Stale &gt;180d"))</f>
        <v>FLAG - Stale &gt;180d</v>
      </c>
      <c r="T607" s="20" t="n">
        <f aca="false">COUNTIF(M607:S607,"FAIL*")+COUNTIF(M607:S607,"FLAG*")</f>
        <v>1</v>
      </c>
      <c r="U607" s="20" t="str">
        <f aca="false">IF(T607=0,"CLEAN",IF(T607=1,"MINOR",IF(T607&lt;=3,"MODERATE","CRITICAL")))</f>
        <v>MINOR</v>
      </c>
      <c r="V607" s="20" t="str">
        <f aca="false">IF(U607="CLEAN","None",IF(U607="MINOR","Seller Notify",IF(U607="MODERATE","Listing Suspended","Immediate Removal")))</f>
        <v>Seller Notify</v>
      </c>
    </row>
    <row r="608" customFormat="false" ht="18" hidden="false" customHeight="true" outlineLevel="0" collapsed="false">
      <c r="A608" s="19" t="s">
        <v>6685</v>
      </c>
      <c r="B608" s="19" t="s">
        <v>4013</v>
      </c>
      <c r="C608" s="19" t="s">
        <v>48</v>
      </c>
      <c r="D608" s="19" t="s">
        <v>49</v>
      </c>
      <c r="E608" s="19" t="s">
        <v>50</v>
      </c>
      <c r="F608" s="19" t="s">
        <v>503</v>
      </c>
      <c r="G608" s="19" t="s">
        <v>4015</v>
      </c>
      <c r="H608" s="19" t="s">
        <v>4016</v>
      </c>
      <c r="I608" s="19" t="s">
        <v>4017</v>
      </c>
      <c r="J608" s="19" t="n">
        <v>1199.82</v>
      </c>
      <c r="K608" s="19" t="s">
        <v>1707</v>
      </c>
      <c r="L608" s="19"/>
      <c r="M608" s="20" t="str">
        <f aca="false">IF(G608&lt;&gt;"","PASS","FAIL - Missing UPC")</f>
        <v>PASS</v>
      </c>
      <c r="N608" s="20" t="str">
        <f aca="false">IF(AND(G608&lt;&gt;"",H608&lt;&gt;""),IF("0"&amp;G608=H608,"PASS","FAIL - GTIN Mismatch"),"SKIP")</f>
        <v>PASS</v>
      </c>
      <c r="O608" s="20" t="str">
        <f aca="false">IF(I608="","FAIL - No Title",IF(LEN(I608)&lt;=126,"PASS","FAIL - Title &gt;"&amp;126&amp;" chars"))</f>
        <v>PASS</v>
      </c>
      <c r="P608" s="20" t="str">
        <f aca="false">IF(J608&gt;0,IF(J608&lt;5000,"PASS","FLAG - Review Price"),"FAIL - Zero Price")</f>
        <v>PASS</v>
      </c>
      <c r="Q608" s="20" t="str">
        <f aca="false">IF('Raw Catalog'!P606&lt;&gt;"","PASS","FAIL - No Image")</f>
        <v>PASS</v>
      </c>
      <c r="R608" s="20" t="str">
        <f aca="false">IF(F608&lt;&gt;"","PASS","FAIL - No Brand")</f>
        <v>PASS</v>
      </c>
      <c r="S608" s="20" t="str">
        <f aca="true">IF(K608="","FAIL - No Date",IF(TODAY()-DATEVALUE(K608)&lt;=180,"PASS","FLAG - Stale &gt;180d"))</f>
        <v>FLAG - Stale &gt;180d</v>
      </c>
      <c r="T608" s="20" t="n">
        <f aca="false">COUNTIF(M608:S608,"FAIL*")+COUNTIF(M608:S608,"FLAG*")</f>
        <v>1</v>
      </c>
      <c r="U608" s="20" t="str">
        <f aca="false">IF(T608=0,"CLEAN",IF(T608=1,"MINOR",IF(T608&lt;=3,"MODERATE","CRITICAL")))</f>
        <v>MINOR</v>
      </c>
      <c r="V608" s="20" t="str">
        <f aca="false">IF(U608="CLEAN","None",IF(U608="MINOR","Seller Notify",IF(U608="MODERATE","Listing Suspended","Immediate Removal")))</f>
        <v>Seller Notify</v>
      </c>
    </row>
    <row r="609" customFormat="false" ht="18" hidden="false" customHeight="true" outlineLevel="0" collapsed="false">
      <c r="A609" s="19" t="s">
        <v>6686</v>
      </c>
      <c r="B609" s="19" t="s">
        <v>4019</v>
      </c>
      <c r="C609" s="19" t="s">
        <v>77</v>
      </c>
      <c r="D609" s="19" t="s">
        <v>78</v>
      </c>
      <c r="E609" s="19" t="s">
        <v>79</v>
      </c>
      <c r="F609" s="19" t="s">
        <v>956</v>
      </c>
      <c r="G609" s="19" t="s">
        <v>4021</v>
      </c>
      <c r="H609" s="19" t="s">
        <v>4022</v>
      </c>
      <c r="I609" s="19" t="s">
        <v>4023</v>
      </c>
      <c r="J609" s="19" t="n">
        <v>1378.3</v>
      </c>
      <c r="K609" s="19" t="s">
        <v>768</v>
      </c>
      <c r="L609" s="19"/>
      <c r="M609" s="20" t="str">
        <f aca="false">IF(G609&lt;&gt;"","PASS","FAIL - Missing UPC")</f>
        <v>PASS</v>
      </c>
      <c r="N609" s="20" t="str">
        <f aca="false">IF(AND(G609&lt;&gt;"",H609&lt;&gt;""),IF("0"&amp;G609=H609,"PASS","FAIL - GTIN Mismatch"),"SKIP")</f>
        <v>PASS</v>
      </c>
      <c r="O609" s="20" t="str">
        <f aca="false">IF(I609="","FAIL - No Title",IF(LEN(I609)&lt;=126,"PASS","FAIL - Title &gt;"&amp;126&amp;" chars"))</f>
        <v>PASS</v>
      </c>
      <c r="P609" s="20" t="str">
        <f aca="false">IF(J609&gt;0,IF(J609&lt;5000,"PASS","FLAG - Review Price"),"FAIL - Zero Price")</f>
        <v>PASS</v>
      </c>
      <c r="Q609" s="20" t="str">
        <f aca="false">IF('Raw Catalog'!P607&lt;&gt;"","PASS","FAIL - No Image")</f>
        <v>PASS</v>
      </c>
      <c r="R609" s="20" t="str">
        <f aca="false">IF(F609&lt;&gt;"","PASS","FAIL - No Brand")</f>
        <v>PASS</v>
      </c>
      <c r="S609" s="20" t="str">
        <f aca="true">IF(K609="","FAIL - No Date",IF(TODAY()-DATEVALUE(K609)&lt;=180,"PASS","FLAG - Stale &gt;180d"))</f>
        <v>FLAG - Stale &gt;180d</v>
      </c>
      <c r="T609" s="20" t="n">
        <f aca="false">COUNTIF(M609:S609,"FAIL*")+COUNTIF(M609:S609,"FLAG*")</f>
        <v>1</v>
      </c>
      <c r="U609" s="20" t="str">
        <f aca="false">IF(T609=0,"CLEAN",IF(T609=1,"MINOR",IF(T609&lt;=3,"MODERATE","CRITICAL")))</f>
        <v>MINOR</v>
      </c>
      <c r="V609" s="20" t="str">
        <f aca="false">IF(U609="CLEAN","None",IF(U609="MINOR","Seller Notify",IF(U609="MODERATE","Listing Suspended","Immediate Removal")))</f>
        <v>Seller Notify</v>
      </c>
    </row>
    <row r="610" customFormat="false" ht="18" hidden="false" customHeight="true" outlineLevel="0" collapsed="false">
      <c r="A610" s="19" t="s">
        <v>6687</v>
      </c>
      <c r="B610" s="19" t="s">
        <v>4024</v>
      </c>
      <c r="C610" s="19" t="s">
        <v>48</v>
      </c>
      <c r="D610" s="19" t="s">
        <v>49</v>
      </c>
      <c r="E610" s="19" t="s">
        <v>79</v>
      </c>
      <c r="F610" s="19" t="s">
        <v>1531</v>
      </c>
      <c r="G610" s="19" t="s">
        <v>4026</v>
      </c>
      <c r="H610" s="19" t="s">
        <v>4027</v>
      </c>
      <c r="I610" s="19" t="s">
        <v>4028</v>
      </c>
      <c r="J610" s="19" t="n">
        <v>1685.57</v>
      </c>
      <c r="K610" s="19" t="s">
        <v>4030</v>
      </c>
      <c r="L610" s="19"/>
      <c r="M610" s="20" t="str">
        <f aca="false">IF(G610&lt;&gt;"","PASS","FAIL - Missing UPC")</f>
        <v>PASS</v>
      </c>
      <c r="N610" s="20" t="str">
        <f aca="false">IF(AND(G610&lt;&gt;"",H610&lt;&gt;""),IF("0"&amp;G610=H610,"PASS","FAIL - GTIN Mismatch"),"SKIP")</f>
        <v>PASS</v>
      </c>
      <c r="O610" s="20" t="str">
        <f aca="false">IF(I610="","FAIL - No Title",IF(LEN(I610)&lt;=126,"PASS","FAIL - Title &gt;"&amp;126&amp;" chars"))</f>
        <v>PASS</v>
      </c>
      <c r="P610" s="20" t="str">
        <f aca="false">IF(J610&gt;0,IF(J610&lt;5000,"PASS","FLAG - Review Price"),"FAIL - Zero Price")</f>
        <v>PASS</v>
      </c>
      <c r="Q610" s="20" t="str">
        <f aca="false">IF('Raw Catalog'!P608&lt;&gt;"","PASS","FAIL - No Image")</f>
        <v>PASS</v>
      </c>
      <c r="R610" s="20" t="str">
        <f aca="false">IF(F610&lt;&gt;"","PASS","FAIL - No Brand")</f>
        <v>PASS</v>
      </c>
      <c r="S610" s="20" t="str">
        <f aca="true">IF(K610="","FAIL - No Date",IF(TODAY()-DATEVALUE(K610)&lt;=180,"PASS","FLAG - Stale &gt;180d"))</f>
        <v>FLAG - Stale &gt;180d</v>
      </c>
      <c r="T610" s="20" t="n">
        <f aca="false">COUNTIF(M610:S610,"FAIL*")+COUNTIF(M610:S610,"FLAG*")</f>
        <v>1</v>
      </c>
      <c r="U610" s="20" t="str">
        <f aca="false">IF(T610=0,"CLEAN",IF(T610=1,"MINOR",IF(T610&lt;=3,"MODERATE","CRITICAL")))</f>
        <v>MINOR</v>
      </c>
      <c r="V610" s="20" t="str">
        <f aca="false">IF(U610="CLEAN","None",IF(U610="MINOR","Seller Notify",IF(U610="MODERATE","Listing Suspended","Immediate Removal")))</f>
        <v>Seller Notify</v>
      </c>
    </row>
    <row r="611" customFormat="false" ht="18" hidden="false" customHeight="true" outlineLevel="0" collapsed="false">
      <c r="A611" s="19" t="s">
        <v>6688</v>
      </c>
      <c r="B611" s="19" t="s">
        <v>4031</v>
      </c>
      <c r="C611" s="19" t="s">
        <v>255</v>
      </c>
      <c r="D611" s="19" t="s">
        <v>256</v>
      </c>
      <c r="E611" s="19" t="s">
        <v>161</v>
      </c>
      <c r="F611" s="19" t="s">
        <v>295</v>
      </c>
      <c r="G611" s="19" t="s">
        <v>4033</v>
      </c>
      <c r="H611" s="19" t="s">
        <v>4034</v>
      </c>
      <c r="I611" s="19" t="s">
        <v>4035</v>
      </c>
      <c r="J611" s="19" t="n">
        <v>524.34</v>
      </c>
      <c r="K611" s="19" t="s">
        <v>670</v>
      </c>
      <c r="L611" s="19"/>
      <c r="M611" s="20" t="str">
        <f aca="false">IF(G611&lt;&gt;"","PASS","FAIL - Missing UPC")</f>
        <v>PASS</v>
      </c>
      <c r="N611" s="20" t="str">
        <f aca="false">IF(AND(G611&lt;&gt;"",H611&lt;&gt;""),IF("0"&amp;G611=H611,"PASS","FAIL - GTIN Mismatch"),"SKIP")</f>
        <v>PASS</v>
      </c>
      <c r="O611" s="20" t="str">
        <f aca="false">IF(I611="","FAIL - No Title",IF(LEN(I611)&lt;=126,"PASS","FAIL - Title &gt;"&amp;126&amp;" chars"))</f>
        <v>PASS</v>
      </c>
      <c r="P611" s="20" t="str">
        <f aca="false">IF(J611&gt;0,IF(J611&lt;5000,"PASS","FLAG - Review Price"),"FAIL - Zero Price")</f>
        <v>PASS</v>
      </c>
      <c r="Q611" s="20" t="str">
        <f aca="false">IF('Raw Catalog'!P609&lt;&gt;"","PASS","FAIL - No Image")</f>
        <v>PASS</v>
      </c>
      <c r="R611" s="20" t="str">
        <f aca="false">IF(F611&lt;&gt;"","PASS","FAIL - No Brand")</f>
        <v>PASS</v>
      </c>
      <c r="S611" s="20" t="str">
        <f aca="true">IF(K611="","FAIL - No Date",IF(TODAY()-DATEVALUE(K611)&lt;=180,"PASS","FLAG - Stale &gt;180d"))</f>
        <v>FLAG - Stale &gt;180d</v>
      </c>
      <c r="T611" s="20" t="n">
        <f aca="false">COUNTIF(M611:S611,"FAIL*")+COUNTIF(M611:S611,"FLAG*")</f>
        <v>1</v>
      </c>
      <c r="U611" s="20" t="str">
        <f aca="false">IF(T611=0,"CLEAN",IF(T611=1,"MINOR",IF(T611&lt;=3,"MODERATE","CRITICAL")))</f>
        <v>MINOR</v>
      </c>
      <c r="V611" s="20" t="str">
        <f aca="false">IF(U611="CLEAN","None",IF(U611="MINOR","Seller Notify",IF(U611="MODERATE","Listing Suspended","Immediate Removal")))</f>
        <v>Seller Notify</v>
      </c>
    </row>
    <row r="612" customFormat="false" ht="18" hidden="false" customHeight="true" outlineLevel="0" collapsed="false">
      <c r="A612" s="19" t="s">
        <v>6689</v>
      </c>
      <c r="B612" s="19" t="s">
        <v>4036</v>
      </c>
      <c r="C612" s="19" t="s">
        <v>113</v>
      </c>
      <c r="D612" s="19" t="s">
        <v>114</v>
      </c>
      <c r="E612" s="19" t="s">
        <v>79</v>
      </c>
      <c r="F612" s="19" t="s">
        <v>196</v>
      </c>
      <c r="G612" s="19" t="s">
        <v>4038</v>
      </c>
      <c r="H612" s="19" t="s">
        <v>4039</v>
      </c>
      <c r="I612" s="19" t="s">
        <v>4040</v>
      </c>
      <c r="J612" s="19" t="n">
        <v>1794.67</v>
      </c>
      <c r="K612" s="19" t="s">
        <v>3998</v>
      </c>
      <c r="L612" s="19"/>
      <c r="M612" s="20" t="str">
        <f aca="false">IF(G612&lt;&gt;"","PASS","FAIL - Missing UPC")</f>
        <v>PASS</v>
      </c>
      <c r="N612" s="20" t="str">
        <f aca="false">IF(AND(G612&lt;&gt;"",H612&lt;&gt;""),IF("0"&amp;G612=H612,"PASS","FAIL - GTIN Mismatch"),"SKIP")</f>
        <v>PASS</v>
      </c>
      <c r="O612" s="20" t="str">
        <f aca="false">IF(I612="","FAIL - No Title",IF(LEN(I612)&lt;=126,"PASS","FAIL - Title &gt;"&amp;126&amp;" chars"))</f>
        <v>PASS</v>
      </c>
      <c r="P612" s="20" t="str">
        <f aca="false">IF(J612&gt;0,IF(J612&lt;5000,"PASS","FLAG - Review Price"),"FAIL - Zero Price")</f>
        <v>PASS</v>
      </c>
      <c r="Q612" s="20" t="str">
        <f aca="false">IF('Raw Catalog'!P610&lt;&gt;"","PASS","FAIL - No Image")</f>
        <v>PASS</v>
      </c>
      <c r="R612" s="20" t="str">
        <f aca="false">IF(F612&lt;&gt;"","PASS","FAIL - No Brand")</f>
        <v>PASS</v>
      </c>
      <c r="S612" s="20" t="str">
        <f aca="true">IF(K612="","FAIL - No Date",IF(TODAY()-DATEVALUE(K612)&lt;=180,"PASS","FLAG - Stale &gt;180d"))</f>
        <v>FLAG - Stale &gt;180d</v>
      </c>
      <c r="T612" s="20" t="n">
        <f aca="false">COUNTIF(M612:S612,"FAIL*")+COUNTIF(M612:S612,"FLAG*")</f>
        <v>1</v>
      </c>
      <c r="U612" s="20" t="str">
        <f aca="false">IF(T612=0,"CLEAN",IF(T612=1,"MINOR",IF(T612&lt;=3,"MODERATE","CRITICAL")))</f>
        <v>MINOR</v>
      </c>
      <c r="V612" s="20" t="str">
        <f aca="false">IF(U612="CLEAN","None",IF(U612="MINOR","Seller Notify",IF(U612="MODERATE","Listing Suspended","Immediate Removal")))</f>
        <v>Seller Notify</v>
      </c>
    </row>
    <row r="613" customFormat="false" ht="18" hidden="false" customHeight="true" outlineLevel="0" collapsed="false">
      <c r="A613" s="19" t="s">
        <v>6690</v>
      </c>
      <c r="B613" s="19" t="s">
        <v>4042</v>
      </c>
      <c r="C613" s="19" t="s">
        <v>63</v>
      </c>
      <c r="D613" s="19" t="s">
        <v>64</v>
      </c>
      <c r="E613" s="19" t="s">
        <v>161</v>
      </c>
      <c r="F613" s="19" t="s">
        <v>306</v>
      </c>
      <c r="G613" s="19" t="s">
        <v>4044</v>
      </c>
      <c r="H613" s="19" t="s">
        <v>4045</v>
      </c>
      <c r="I613" s="19" t="s">
        <v>4046</v>
      </c>
      <c r="J613" s="19" t="n">
        <v>95.14</v>
      </c>
      <c r="K613" s="19" t="s">
        <v>324</v>
      </c>
      <c r="L613" s="21" t="s">
        <v>325</v>
      </c>
      <c r="M613" s="20" t="str">
        <f aca="false">IF(G613&lt;&gt;"","PASS","FAIL - Missing UPC")</f>
        <v>PASS</v>
      </c>
      <c r="N613" s="20" t="str">
        <f aca="false">IF(AND(G613&lt;&gt;"",H613&lt;&gt;""),IF("0"&amp;G613=H613,"PASS","FAIL - GTIN Mismatch"),"SKIP")</f>
        <v>PASS</v>
      </c>
      <c r="O613" s="20" t="str">
        <f aca="false">IF(I613="","FAIL - No Title",IF(LEN(I613)&lt;=126,"PASS","FAIL - Title &gt;"&amp;126&amp;" chars"))</f>
        <v>PASS</v>
      </c>
      <c r="P613" s="20" t="str">
        <f aca="false">IF(J613&gt;0,IF(J613&lt;5000,"PASS","FLAG - Review Price"),"FAIL - Zero Price")</f>
        <v>PASS</v>
      </c>
      <c r="Q613" s="20" t="str">
        <f aca="false">IF('Raw Catalog'!P611&lt;&gt;"","PASS","FAIL - No Image")</f>
        <v>PASS</v>
      </c>
      <c r="R613" s="20" t="str">
        <f aca="false">IF(F613&lt;&gt;"","PASS","FAIL - No Brand")</f>
        <v>PASS</v>
      </c>
      <c r="S613" s="20" t="str">
        <f aca="true">IF(K613="","FAIL - No Date",IF(TODAY()-DATEVALUE(K613)&lt;=180,"PASS","FLAG - Stale &gt;180d"))</f>
        <v>FLAG - Stale &gt;180d</v>
      </c>
      <c r="T613" s="20" t="n">
        <f aca="false">COUNTIF(M613:S613,"FAIL*")+COUNTIF(M613:S613,"FLAG*")</f>
        <v>1</v>
      </c>
      <c r="U613" s="20" t="str">
        <f aca="false">IF(T613=0,"CLEAN",IF(T613=1,"MINOR",IF(T613&lt;=3,"MODERATE","CRITICAL")))</f>
        <v>MINOR</v>
      </c>
      <c r="V613" s="20" t="str">
        <f aca="false">IF(U613="CLEAN","None",IF(U613="MINOR","Seller Notify",IF(U613="MODERATE","Listing Suspended","Immediate Removal")))</f>
        <v>Seller Notify</v>
      </c>
    </row>
    <row r="614" customFormat="false" ht="18" hidden="false" customHeight="true" outlineLevel="0" collapsed="false">
      <c r="A614" s="19" t="s">
        <v>6691</v>
      </c>
      <c r="B614" s="19" t="s">
        <v>4047</v>
      </c>
      <c r="C614" s="19" t="s">
        <v>173</v>
      </c>
      <c r="D614" s="19" t="s">
        <v>174</v>
      </c>
      <c r="E614" s="19" t="s">
        <v>65</v>
      </c>
      <c r="F614" s="19" t="s">
        <v>371</v>
      </c>
      <c r="G614" s="19" t="s">
        <v>4049</v>
      </c>
      <c r="H614" s="19" t="s">
        <v>4050</v>
      </c>
      <c r="I614" s="19" t="s">
        <v>2106</v>
      </c>
      <c r="J614" s="19" t="n">
        <v>262.31</v>
      </c>
      <c r="K614" s="19" t="s">
        <v>3240</v>
      </c>
      <c r="L614" s="19"/>
      <c r="M614" s="20" t="str">
        <f aca="false">IF(G614&lt;&gt;"","PASS","FAIL - Missing UPC")</f>
        <v>PASS</v>
      </c>
      <c r="N614" s="20" t="str">
        <f aca="false">IF(AND(G614&lt;&gt;"",H614&lt;&gt;""),IF("0"&amp;G614=H614,"PASS","FAIL - GTIN Mismatch"),"SKIP")</f>
        <v>PASS</v>
      </c>
      <c r="O614" s="20" t="str">
        <f aca="false">IF(I614="","FAIL - No Title",IF(LEN(I614)&lt;=126,"PASS","FAIL - Title &gt;"&amp;126&amp;" chars"))</f>
        <v>PASS</v>
      </c>
      <c r="P614" s="20" t="str">
        <f aca="false">IF(J614&gt;0,IF(J614&lt;5000,"PASS","FLAG - Review Price"),"FAIL - Zero Price")</f>
        <v>PASS</v>
      </c>
      <c r="Q614" s="20" t="str">
        <f aca="false">IF('Raw Catalog'!P612&lt;&gt;"","PASS","FAIL - No Image")</f>
        <v>PASS</v>
      </c>
      <c r="R614" s="20" t="str">
        <f aca="false">IF(F614&lt;&gt;"","PASS","FAIL - No Brand")</f>
        <v>PASS</v>
      </c>
      <c r="S614" s="20" t="str">
        <f aca="true">IF(K614="","FAIL - No Date",IF(TODAY()-DATEVALUE(K614)&lt;=180,"PASS","FLAG - Stale &gt;180d"))</f>
        <v>FLAG - Stale &gt;180d</v>
      </c>
      <c r="T614" s="20" t="n">
        <f aca="false">COUNTIF(M614:S614,"FAIL*")+COUNTIF(M614:S614,"FLAG*")</f>
        <v>1</v>
      </c>
      <c r="U614" s="20" t="str">
        <f aca="false">IF(T614=0,"CLEAN",IF(T614=1,"MINOR",IF(T614&lt;=3,"MODERATE","CRITICAL")))</f>
        <v>MINOR</v>
      </c>
      <c r="V614" s="20" t="str">
        <f aca="false">IF(U614="CLEAN","None",IF(U614="MINOR","Seller Notify",IF(U614="MODERATE","Listing Suspended","Immediate Removal")))</f>
        <v>Seller Notify</v>
      </c>
    </row>
    <row r="615" customFormat="false" ht="18" hidden="false" customHeight="true" outlineLevel="0" collapsed="false">
      <c r="A615" s="19" t="s">
        <v>6692</v>
      </c>
      <c r="B615" s="19" t="s">
        <v>4051</v>
      </c>
      <c r="C615" s="19" t="s">
        <v>159</v>
      </c>
      <c r="D615" s="19" t="s">
        <v>160</v>
      </c>
      <c r="E615" s="19" t="s">
        <v>79</v>
      </c>
      <c r="F615" s="19" t="s">
        <v>127</v>
      </c>
      <c r="G615" s="19" t="s">
        <v>4053</v>
      </c>
      <c r="H615" s="19" t="s">
        <v>4054</v>
      </c>
      <c r="I615" s="19" t="s">
        <v>4055</v>
      </c>
      <c r="J615" s="19" t="n">
        <v>1241.73</v>
      </c>
      <c r="K615" s="19" t="s">
        <v>985</v>
      </c>
      <c r="L615" s="21" t="s">
        <v>453</v>
      </c>
      <c r="M615" s="20" t="str">
        <f aca="false">IF(G615&lt;&gt;"","PASS","FAIL - Missing UPC")</f>
        <v>PASS</v>
      </c>
      <c r="N615" s="20" t="str">
        <f aca="false">IF(AND(G615&lt;&gt;"",H615&lt;&gt;""),IF("0"&amp;G615=H615,"PASS","FAIL - GTIN Mismatch"),"SKIP")</f>
        <v>PASS</v>
      </c>
      <c r="O615" s="20" t="str">
        <f aca="false">IF(I615="","FAIL - No Title",IF(LEN(I615)&lt;=126,"PASS","FAIL - Title &gt;"&amp;126&amp;" chars"))</f>
        <v>PASS</v>
      </c>
      <c r="P615" s="20" t="str">
        <f aca="false">IF(J615&gt;0,IF(J615&lt;5000,"PASS","FLAG - Review Price"),"FAIL - Zero Price")</f>
        <v>PASS</v>
      </c>
      <c r="Q615" s="20" t="str">
        <f aca="false">IF('Raw Catalog'!P613&lt;&gt;"","PASS","FAIL - No Image")</f>
        <v>PASS</v>
      </c>
      <c r="R615" s="20" t="str">
        <f aca="false">IF(F615&lt;&gt;"","PASS","FAIL - No Brand")</f>
        <v>PASS</v>
      </c>
      <c r="S615" s="20" t="str">
        <f aca="true">IF(K615="","FAIL - No Date",IF(TODAY()-DATEVALUE(K615)&lt;=180,"PASS","FLAG - Stale &gt;180d"))</f>
        <v>FLAG - Stale &gt;180d</v>
      </c>
      <c r="T615" s="20" t="n">
        <f aca="false">COUNTIF(M615:S615,"FAIL*")+COUNTIF(M615:S615,"FLAG*")</f>
        <v>1</v>
      </c>
      <c r="U615" s="20" t="str">
        <f aca="false">IF(T615=0,"CLEAN",IF(T615=1,"MINOR",IF(T615&lt;=3,"MODERATE","CRITICAL")))</f>
        <v>MINOR</v>
      </c>
      <c r="V615" s="20" t="str">
        <f aca="false">IF(U615="CLEAN","None",IF(U615="MINOR","Seller Notify",IF(U615="MODERATE","Listing Suspended","Immediate Removal")))</f>
        <v>Seller Notify</v>
      </c>
    </row>
    <row r="616" customFormat="false" ht="18" hidden="false" customHeight="true" outlineLevel="0" collapsed="false">
      <c r="A616" s="19" t="s">
        <v>6693</v>
      </c>
      <c r="B616" s="19" t="s">
        <v>4056</v>
      </c>
      <c r="C616" s="19" t="s">
        <v>125</v>
      </c>
      <c r="D616" s="19" t="s">
        <v>126</v>
      </c>
      <c r="E616" s="19" t="s">
        <v>65</v>
      </c>
      <c r="F616" s="19" t="s">
        <v>245</v>
      </c>
      <c r="G616" s="19" t="s">
        <v>4058</v>
      </c>
      <c r="H616" s="19" t="s">
        <v>4059</v>
      </c>
      <c r="I616" s="19" t="s">
        <v>4060</v>
      </c>
      <c r="J616" s="19" t="n">
        <v>396.38</v>
      </c>
      <c r="K616" s="19" t="s">
        <v>4064</v>
      </c>
      <c r="L616" s="19"/>
      <c r="M616" s="20" t="str">
        <f aca="false">IF(G616&lt;&gt;"","PASS","FAIL - Missing UPC")</f>
        <v>PASS</v>
      </c>
      <c r="N616" s="20" t="str">
        <f aca="false">IF(AND(G616&lt;&gt;"",H616&lt;&gt;""),IF("0"&amp;G616=H616,"PASS","FAIL - GTIN Mismatch"),"SKIP")</f>
        <v>PASS</v>
      </c>
      <c r="O616" s="20" t="str">
        <f aca="false">IF(I616="","FAIL - No Title",IF(LEN(I616)&lt;=126,"PASS","FAIL - Title &gt;"&amp;126&amp;" chars"))</f>
        <v>PASS</v>
      </c>
      <c r="P616" s="20" t="str">
        <f aca="false">IF(J616&gt;0,IF(J616&lt;5000,"PASS","FLAG - Review Price"),"FAIL - Zero Price")</f>
        <v>PASS</v>
      </c>
      <c r="Q616" s="20" t="str">
        <f aca="false">IF('Raw Catalog'!P614&lt;&gt;"","PASS","FAIL - No Image")</f>
        <v>PASS</v>
      </c>
      <c r="R616" s="20" t="str">
        <f aca="false">IF(F616&lt;&gt;"","PASS","FAIL - No Brand")</f>
        <v>PASS</v>
      </c>
      <c r="S616" s="20" t="str">
        <f aca="true">IF(K616="","FAIL - No Date",IF(TODAY()-DATEVALUE(K616)&lt;=180,"PASS","FLAG - Stale &gt;180d"))</f>
        <v>FLAG - Stale &gt;180d</v>
      </c>
      <c r="T616" s="20" t="n">
        <f aca="false">COUNTIF(M616:S616,"FAIL*")+COUNTIF(M616:S616,"FLAG*")</f>
        <v>1</v>
      </c>
      <c r="U616" s="20" t="str">
        <f aca="false">IF(T616=0,"CLEAN",IF(T616=1,"MINOR",IF(T616&lt;=3,"MODERATE","CRITICAL")))</f>
        <v>MINOR</v>
      </c>
      <c r="V616" s="20" t="str">
        <f aca="false">IF(U616="CLEAN","None",IF(U616="MINOR","Seller Notify",IF(U616="MODERATE","Listing Suspended","Immediate Removal")))</f>
        <v>Seller Notify</v>
      </c>
    </row>
    <row r="617" customFormat="false" ht="18" hidden="false" customHeight="true" outlineLevel="0" collapsed="false">
      <c r="A617" s="19" t="s">
        <v>6694</v>
      </c>
      <c r="B617" s="19" t="s">
        <v>4065</v>
      </c>
      <c r="C617" s="19" t="s">
        <v>173</v>
      </c>
      <c r="D617" s="19" t="s">
        <v>174</v>
      </c>
      <c r="E617" s="19" t="s">
        <v>65</v>
      </c>
      <c r="F617" s="19" t="s">
        <v>371</v>
      </c>
      <c r="G617" s="19" t="s">
        <v>4067</v>
      </c>
      <c r="H617" s="19" t="s">
        <v>4068</v>
      </c>
      <c r="I617" s="19" t="s">
        <v>2147</v>
      </c>
      <c r="J617" s="19" t="n">
        <v>447.16</v>
      </c>
      <c r="K617" s="19" t="s">
        <v>399</v>
      </c>
      <c r="L617" s="19"/>
      <c r="M617" s="20" t="str">
        <f aca="false">IF(G617&lt;&gt;"","PASS","FAIL - Missing UPC")</f>
        <v>PASS</v>
      </c>
      <c r="N617" s="20" t="str">
        <f aca="false">IF(AND(G617&lt;&gt;"",H617&lt;&gt;""),IF("0"&amp;G617=H617,"PASS","FAIL - GTIN Mismatch"),"SKIP")</f>
        <v>PASS</v>
      </c>
      <c r="O617" s="20" t="str">
        <f aca="false">IF(I617="","FAIL - No Title",IF(LEN(I617)&lt;=126,"PASS","FAIL - Title &gt;"&amp;126&amp;" chars"))</f>
        <v>PASS</v>
      </c>
      <c r="P617" s="20" t="str">
        <f aca="false">IF(J617&gt;0,IF(J617&lt;5000,"PASS","FLAG - Review Price"),"FAIL - Zero Price")</f>
        <v>PASS</v>
      </c>
      <c r="Q617" s="20" t="str">
        <f aca="false">IF('Raw Catalog'!P615&lt;&gt;"","PASS","FAIL - No Image")</f>
        <v>PASS</v>
      </c>
      <c r="R617" s="20" t="str">
        <f aca="false">IF(F617&lt;&gt;"","PASS","FAIL - No Brand")</f>
        <v>PASS</v>
      </c>
      <c r="S617" s="20" t="str">
        <f aca="true">IF(K617="","FAIL - No Date",IF(TODAY()-DATEVALUE(K617)&lt;=180,"PASS","FLAG - Stale &gt;180d"))</f>
        <v>FLAG - Stale &gt;180d</v>
      </c>
      <c r="T617" s="20" t="n">
        <f aca="false">COUNTIF(M617:S617,"FAIL*")+COUNTIF(M617:S617,"FLAG*")</f>
        <v>1</v>
      </c>
      <c r="U617" s="20" t="str">
        <f aca="false">IF(T617=0,"CLEAN",IF(T617=1,"MINOR",IF(T617&lt;=3,"MODERATE","CRITICAL")))</f>
        <v>MINOR</v>
      </c>
      <c r="V617" s="20" t="str">
        <f aca="false">IF(U617="CLEAN","None",IF(U617="MINOR","Seller Notify",IF(U617="MODERATE","Listing Suspended","Immediate Removal")))</f>
        <v>Seller Notify</v>
      </c>
    </row>
    <row r="618" customFormat="false" ht="18" hidden="false" customHeight="true" outlineLevel="0" collapsed="false">
      <c r="A618" s="19" t="s">
        <v>6695</v>
      </c>
      <c r="B618" s="19" t="s">
        <v>4069</v>
      </c>
      <c r="C618" s="19" t="s">
        <v>255</v>
      </c>
      <c r="D618" s="19" t="s">
        <v>256</v>
      </c>
      <c r="E618" s="19" t="s">
        <v>50</v>
      </c>
      <c r="F618" s="19" t="s">
        <v>138</v>
      </c>
      <c r="G618" s="19" t="s">
        <v>4071</v>
      </c>
      <c r="H618" s="19" t="s">
        <v>4072</v>
      </c>
      <c r="I618" s="19" t="s">
        <v>4073</v>
      </c>
      <c r="J618" s="19" t="n">
        <v>919.66</v>
      </c>
      <c r="K618" s="19" t="s">
        <v>1611</v>
      </c>
      <c r="L618" s="19"/>
      <c r="M618" s="20" t="str">
        <f aca="false">IF(G618&lt;&gt;"","PASS","FAIL - Missing UPC")</f>
        <v>PASS</v>
      </c>
      <c r="N618" s="20" t="str">
        <f aca="false">IF(AND(G618&lt;&gt;"",H618&lt;&gt;""),IF("0"&amp;G618=H618,"PASS","FAIL - GTIN Mismatch"),"SKIP")</f>
        <v>PASS</v>
      </c>
      <c r="O618" s="20" t="str">
        <f aca="false">IF(I618="","FAIL - No Title",IF(LEN(I618)&lt;=126,"PASS","FAIL - Title &gt;"&amp;126&amp;" chars"))</f>
        <v>PASS</v>
      </c>
      <c r="P618" s="20" t="str">
        <f aca="false">IF(J618&gt;0,IF(J618&lt;5000,"PASS","FLAG - Review Price"),"FAIL - Zero Price")</f>
        <v>PASS</v>
      </c>
      <c r="Q618" s="20" t="str">
        <f aca="false">IF('Raw Catalog'!P616&lt;&gt;"","PASS","FAIL - No Image")</f>
        <v>PASS</v>
      </c>
      <c r="R618" s="20" t="str">
        <f aca="false">IF(F618&lt;&gt;"","PASS","FAIL - No Brand")</f>
        <v>PASS</v>
      </c>
      <c r="S618" s="20" t="str">
        <f aca="true">IF(K618="","FAIL - No Date",IF(TODAY()-DATEVALUE(K618)&lt;=180,"PASS","FLAG - Stale &gt;180d"))</f>
        <v>FLAG - Stale &gt;180d</v>
      </c>
      <c r="T618" s="20" t="n">
        <f aca="false">COUNTIF(M618:S618,"FAIL*")+COUNTIF(M618:S618,"FLAG*")</f>
        <v>1</v>
      </c>
      <c r="U618" s="20" t="str">
        <f aca="false">IF(T618=0,"CLEAN",IF(T618=1,"MINOR",IF(T618&lt;=3,"MODERATE","CRITICAL")))</f>
        <v>MINOR</v>
      </c>
      <c r="V618" s="20" t="str">
        <f aca="false">IF(U618="CLEAN","None",IF(U618="MINOR","Seller Notify",IF(U618="MODERATE","Listing Suspended","Immediate Removal")))</f>
        <v>Seller Notify</v>
      </c>
    </row>
    <row r="619" customFormat="false" ht="18" hidden="false" customHeight="true" outlineLevel="0" collapsed="false">
      <c r="A619" s="19" t="s">
        <v>6696</v>
      </c>
      <c r="B619" s="19" t="s">
        <v>4075</v>
      </c>
      <c r="C619" s="19" t="s">
        <v>63</v>
      </c>
      <c r="D619" s="19" t="s">
        <v>64</v>
      </c>
      <c r="E619" s="19" t="s">
        <v>50</v>
      </c>
      <c r="F619" s="19" t="s">
        <v>127</v>
      </c>
      <c r="G619" s="19" t="s">
        <v>4077</v>
      </c>
      <c r="H619" s="19" t="s">
        <v>4078</v>
      </c>
      <c r="I619" s="19" t="s">
        <v>4079</v>
      </c>
      <c r="J619" s="19" t="n">
        <v>1025.81</v>
      </c>
      <c r="K619" s="19" t="s">
        <v>3734</v>
      </c>
      <c r="L619" s="19"/>
      <c r="M619" s="20" t="str">
        <f aca="false">IF(G619&lt;&gt;"","PASS","FAIL - Missing UPC")</f>
        <v>PASS</v>
      </c>
      <c r="N619" s="20" t="str">
        <f aca="false">IF(AND(G619&lt;&gt;"",H619&lt;&gt;""),IF("0"&amp;G619=H619,"PASS","FAIL - GTIN Mismatch"),"SKIP")</f>
        <v>PASS</v>
      </c>
      <c r="O619" s="20" t="str">
        <f aca="false">IF(I619="","FAIL - No Title",IF(LEN(I619)&lt;=126,"PASS","FAIL - Title &gt;"&amp;126&amp;" chars"))</f>
        <v>PASS</v>
      </c>
      <c r="P619" s="20" t="str">
        <f aca="false">IF(J619&gt;0,IF(J619&lt;5000,"PASS","FLAG - Review Price"),"FAIL - Zero Price")</f>
        <v>PASS</v>
      </c>
      <c r="Q619" s="20" t="str">
        <f aca="false">IF('Raw Catalog'!P617&lt;&gt;"","PASS","FAIL - No Image")</f>
        <v>PASS</v>
      </c>
      <c r="R619" s="20" t="str">
        <f aca="false">IF(F619&lt;&gt;"","PASS","FAIL - No Brand")</f>
        <v>PASS</v>
      </c>
      <c r="S619" s="20" t="str">
        <f aca="true">IF(K619="","FAIL - No Date",IF(TODAY()-DATEVALUE(K619)&lt;=180,"PASS","FLAG - Stale &gt;180d"))</f>
        <v>FLAG - Stale &gt;180d</v>
      </c>
      <c r="T619" s="20" t="n">
        <f aca="false">COUNTIF(M619:S619,"FAIL*")+COUNTIF(M619:S619,"FLAG*")</f>
        <v>1</v>
      </c>
      <c r="U619" s="20" t="str">
        <f aca="false">IF(T619=0,"CLEAN",IF(T619=1,"MINOR",IF(T619&lt;=3,"MODERATE","CRITICAL")))</f>
        <v>MINOR</v>
      </c>
      <c r="V619" s="20" t="str">
        <f aca="false">IF(U619="CLEAN","None",IF(U619="MINOR","Seller Notify",IF(U619="MODERATE","Listing Suspended","Immediate Removal")))</f>
        <v>Seller Notify</v>
      </c>
    </row>
    <row r="620" customFormat="false" ht="18" hidden="false" customHeight="true" outlineLevel="0" collapsed="false">
      <c r="A620" s="19" t="s">
        <v>6697</v>
      </c>
      <c r="B620" s="19" t="s">
        <v>4081</v>
      </c>
      <c r="C620" s="19" t="s">
        <v>255</v>
      </c>
      <c r="D620" s="19" t="s">
        <v>256</v>
      </c>
      <c r="E620" s="19" t="s">
        <v>79</v>
      </c>
      <c r="F620" s="19" t="s">
        <v>1531</v>
      </c>
      <c r="G620" s="19" t="s">
        <v>4083</v>
      </c>
      <c r="H620" s="19" t="s">
        <v>4084</v>
      </c>
      <c r="I620" s="19" t="s">
        <v>4085</v>
      </c>
      <c r="J620" s="19" t="n">
        <v>524.54</v>
      </c>
      <c r="K620" s="19" t="s">
        <v>3708</v>
      </c>
      <c r="L620" s="21" t="s">
        <v>283</v>
      </c>
      <c r="M620" s="20" t="str">
        <f aca="false">IF(G620&lt;&gt;"","PASS","FAIL - Missing UPC")</f>
        <v>PASS</v>
      </c>
      <c r="N620" s="20" t="str">
        <f aca="false">IF(AND(G620&lt;&gt;"",H620&lt;&gt;""),IF("0"&amp;G620=H620,"PASS","FAIL - GTIN Mismatch"),"SKIP")</f>
        <v>PASS</v>
      </c>
      <c r="O620" s="20" t="str">
        <f aca="false">IF(I620="","FAIL - No Title",IF(LEN(I620)&lt;=126,"PASS","FAIL - Title &gt;"&amp;126&amp;" chars"))</f>
        <v>PASS</v>
      </c>
      <c r="P620" s="20" t="str">
        <f aca="false">IF(J620&gt;0,IF(J620&lt;5000,"PASS","FLAG - Review Price"),"FAIL - Zero Price")</f>
        <v>PASS</v>
      </c>
      <c r="Q620" s="20" t="str">
        <f aca="false">IF('Raw Catalog'!P618&lt;&gt;"","PASS","FAIL - No Image")</f>
        <v>PASS</v>
      </c>
      <c r="R620" s="20" t="str">
        <f aca="false">IF(F620&lt;&gt;"","PASS","FAIL - No Brand")</f>
        <v>PASS</v>
      </c>
      <c r="S620" s="20" t="str">
        <f aca="true">IF(K620="","FAIL - No Date",IF(TODAY()-DATEVALUE(K620)&lt;=180,"PASS","FLAG - Stale &gt;180d"))</f>
        <v>FLAG - Stale &gt;180d</v>
      </c>
      <c r="T620" s="20" t="n">
        <f aca="false">COUNTIF(M620:S620,"FAIL*")+COUNTIF(M620:S620,"FLAG*")</f>
        <v>1</v>
      </c>
      <c r="U620" s="20" t="str">
        <f aca="false">IF(T620=0,"CLEAN",IF(T620=1,"MINOR",IF(T620&lt;=3,"MODERATE","CRITICAL")))</f>
        <v>MINOR</v>
      </c>
      <c r="V620" s="20" t="str">
        <f aca="false">IF(U620="CLEAN","None",IF(U620="MINOR","Seller Notify",IF(U620="MODERATE","Listing Suspended","Immediate Removal")))</f>
        <v>Seller Notify</v>
      </c>
    </row>
    <row r="621" customFormat="false" ht="18" hidden="false" customHeight="true" outlineLevel="0" collapsed="false">
      <c r="A621" s="19" t="s">
        <v>6698</v>
      </c>
      <c r="B621" s="19" t="s">
        <v>4086</v>
      </c>
      <c r="C621" s="19" t="s">
        <v>77</v>
      </c>
      <c r="D621" s="19" t="s">
        <v>78</v>
      </c>
      <c r="E621" s="19" t="s">
        <v>91</v>
      </c>
      <c r="F621" s="19" t="s">
        <v>780</v>
      </c>
      <c r="G621" s="19" t="s">
        <v>4088</v>
      </c>
      <c r="H621" s="19" t="s">
        <v>4089</v>
      </c>
      <c r="I621" s="19" t="s">
        <v>4090</v>
      </c>
      <c r="J621" s="19" t="n">
        <v>2886.39</v>
      </c>
      <c r="K621" s="19" t="s">
        <v>2899</v>
      </c>
      <c r="L621" s="19"/>
      <c r="M621" s="20" t="str">
        <f aca="false">IF(G621&lt;&gt;"","PASS","FAIL - Missing UPC")</f>
        <v>PASS</v>
      </c>
      <c r="N621" s="20" t="str">
        <f aca="false">IF(AND(G621&lt;&gt;"",H621&lt;&gt;""),IF("0"&amp;G621=H621,"PASS","FAIL - GTIN Mismatch"),"SKIP")</f>
        <v>PASS</v>
      </c>
      <c r="O621" s="20" t="str">
        <f aca="false">IF(I621="","FAIL - No Title",IF(LEN(I621)&lt;=126,"PASS","FAIL - Title &gt;"&amp;126&amp;" chars"))</f>
        <v>PASS</v>
      </c>
      <c r="P621" s="20" t="str">
        <f aca="false">IF(J621&gt;0,IF(J621&lt;5000,"PASS","FLAG - Review Price"),"FAIL - Zero Price")</f>
        <v>PASS</v>
      </c>
      <c r="Q621" s="20" t="str">
        <f aca="false">IF('Raw Catalog'!P619&lt;&gt;"","PASS","FAIL - No Image")</f>
        <v>PASS</v>
      </c>
      <c r="R621" s="20" t="str">
        <f aca="false">IF(F621&lt;&gt;"","PASS","FAIL - No Brand")</f>
        <v>PASS</v>
      </c>
      <c r="S621" s="20" t="str">
        <f aca="true">IF(K621="","FAIL - No Date",IF(TODAY()-DATEVALUE(K621)&lt;=180,"PASS","FLAG - Stale &gt;180d"))</f>
        <v>FLAG - Stale &gt;180d</v>
      </c>
      <c r="T621" s="20" t="n">
        <f aca="false">COUNTIF(M621:S621,"FAIL*")+COUNTIF(M621:S621,"FLAG*")</f>
        <v>1</v>
      </c>
      <c r="U621" s="20" t="str">
        <f aca="false">IF(T621=0,"CLEAN",IF(T621=1,"MINOR",IF(T621&lt;=3,"MODERATE","CRITICAL")))</f>
        <v>MINOR</v>
      </c>
      <c r="V621" s="20" t="str">
        <f aca="false">IF(U621="CLEAN","None",IF(U621="MINOR","Seller Notify",IF(U621="MODERATE","Listing Suspended","Immediate Removal")))</f>
        <v>Seller Notify</v>
      </c>
    </row>
    <row r="622" customFormat="false" ht="18" hidden="false" customHeight="true" outlineLevel="0" collapsed="false">
      <c r="A622" s="19" t="s">
        <v>6699</v>
      </c>
      <c r="B622" s="19" t="s">
        <v>4091</v>
      </c>
      <c r="C622" s="19" t="s">
        <v>255</v>
      </c>
      <c r="D622" s="19" t="s">
        <v>256</v>
      </c>
      <c r="E622" s="19" t="s">
        <v>65</v>
      </c>
      <c r="F622" s="19" t="s">
        <v>66</v>
      </c>
      <c r="G622" s="19" t="s">
        <v>4093</v>
      </c>
      <c r="H622" s="19" t="s">
        <v>4094</v>
      </c>
      <c r="I622" s="19" t="s">
        <v>1696</v>
      </c>
      <c r="J622" s="19" t="n">
        <v>259.61</v>
      </c>
      <c r="K622" s="19" t="s">
        <v>2151</v>
      </c>
      <c r="L622" s="19"/>
      <c r="M622" s="20" t="str">
        <f aca="false">IF(G622&lt;&gt;"","PASS","FAIL - Missing UPC")</f>
        <v>PASS</v>
      </c>
      <c r="N622" s="20" t="str">
        <f aca="false">IF(AND(G622&lt;&gt;"",H622&lt;&gt;""),IF("0"&amp;G622=H622,"PASS","FAIL - GTIN Mismatch"),"SKIP")</f>
        <v>PASS</v>
      </c>
      <c r="O622" s="20" t="str">
        <f aca="false">IF(I622="","FAIL - No Title",IF(LEN(I622)&lt;=126,"PASS","FAIL - Title &gt;"&amp;126&amp;" chars"))</f>
        <v>PASS</v>
      </c>
      <c r="P622" s="20" t="str">
        <f aca="false">IF(J622&gt;0,IF(J622&lt;5000,"PASS","FLAG - Review Price"),"FAIL - Zero Price")</f>
        <v>PASS</v>
      </c>
      <c r="Q622" s="20" t="str">
        <f aca="false">IF('Raw Catalog'!P620&lt;&gt;"","PASS","FAIL - No Image")</f>
        <v>PASS</v>
      </c>
      <c r="R622" s="20" t="str">
        <f aca="false">IF(F622&lt;&gt;"","PASS","FAIL - No Brand")</f>
        <v>PASS</v>
      </c>
      <c r="S622" s="20" t="str">
        <f aca="true">IF(K622="","FAIL - No Date",IF(TODAY()-DATEVALUE(K622)&lt;=180,"PASS","FLAG - Stale &gt;180d"))</f>
        <v>FLAG - Stale &gt;180d</v>
      </c>
      <c r="T622" s="20" t="n">
        <f aca="false">COUNTIF(M622:S622,"FAIL*")+COUNTIF(M622:S622,"FLAG*")</f>
        <v>1</v>
      </c>
      <c r="U622" s="20" t="str">
        <f aca="false">IF(T622=0,"CLEAN",IF(T622=1,"MINOR",IF(T622&lt;=3,"MODERATE","CRITICAL")))</f>
        <v>MINOR</v>
      </c>
      <c r="V622" s="20" t="str">
        <f aca="false">IF(U622="CLEAN","None",IF(U622="MINOR","Seller Notify",IF(U622="MODERATE","Listing Suspended","Immediate Removal")))</f>
        <v>Seller Notify</v>
      </c>
    </row>
    <row r="623" customFormat="false" ht="18" hidden="false" customHeight="true" outlineLevel="0" collapsed="false">
      <c r="A623" s="19" t="s">
        <v>6700</v>
      </c>
      <c r="B623" s="19" t="s">
        <v>4095</v>
      </c>
      <c r="C623" s="19" t="s">
        <v>77</v>
      </c>
      <c r="D623" s="19" t="s">
        <v>78</v>
      </c>
      <c r="E623" s="19" t="s">
        <v>79</v>
      </c>
      <c r="F623" s="19" t="s">
        <v>1531</v>
      </c>
      <c r="G623" s="19" t="s">
        <v>4097</v>
      </c>
      <c r="H623" s="19" t="s">
        <v>4098</v>
      </c>
      <c r="I623" s="19" t="s">
        <v>4099</v>
      </c>
      <c r="J623" s="19" t="n">
        <v>393.78</v>
      </c>
      <c r="K623" s="19" t="s">
        <v>4100</v>
      </c>
      <c r="L623" s="21" t="s">
        <v>283</v>
      </c>
      <c r="M623" s="20" t="str">
        <f aca="false">IF(G623&lt;&gt;"","PASS","FAIL - Missing UPC")</f>
        <v>PASS</v>
      </c>
      <c r="N623" s="20" t="str">
        <f aca="false">IF(AND(G623&lt;&gt;"",H623&lt;&gt;""),IF("0"&amp;G623=H623,"PASS","FAIL - GTIN Mismatch"),"SKIP")</f>
        <v>PASS</v>
      </c>
      <c r="O623" s="20" t="str">
        <f aca="false">IF(I623="","FAIL - No Title",IF(LEN(I623)&lt;=126,"PASS","FAIL - Title &gt;"&amp;126&amp;" chars"))</f>
        <v>PASS</v>
      </c>
      <c r="P623" s="20" t="str">
        <f aca="false">IF(J623&gt;0,IF(J623&lt;5000,"PASS","FLAG - Review Price"),"FAIL - Zero Price")</f>
        <v>PASS</v>
      </c>
      <c r="Q623" s="20" t="str">
        <f aca="false">IF('Raw Catalog'!P621&lt;&gt;"","PASS","FAIL - No Image")</f>
        <v>PASS</v>
      </c>
      <c r="R623" s="20" t="str">
        <f aca="false">IF(F623&lt;&gt;"","PASS","FAIL - No Brand")</f>
        <v>PASS</v>
      </c>
      <c r="S623" s="20" t="str">
        <f aca="true">IF(K623="","FAIL - No Date",IF(TODAY()-DATEVALUE(K623)&lt;=180,"PASS","FLAG - Stale &gt;180d"))</f>
        <v>FLAG - Stale &gt;180d</v>
      </c>
      <c r="T623" s="20" t="n">
        <f aca="false">COUNTIF(M623:S623,"FAIL*")+COUNTIF(M623:S623,"FLAG*")</f>
        <v>1</v>
      </c>
      <c r="U623" s="20" t="str">
        <f aca="false">IF(T623=0,"CLEAN",IF(T623=1,"MINOR",IF(T623&lt;=3,"MODERATE","CRITICAL")))</f>
        <v>MINOR</v>
      </c>
      <c r="V623" s="20" t="str">
        <f aca="false">IF(U623="CLEAN","None",IF(U623="MINOR","Seller Notify",IF(U623="MODERATE","Listing Suspended","Immediate Removal")))</f>
        <v>Seller Notify</v>
      </c>
    </row>
    <row r="624" customFormat="false" ht="18" hidden="false" customHeight="true" outlineLevel="0" collapsed="false">
      <c r="A624" s="19" t="s">
        <v>6701</v>
      </c>
      <c r="B624" s="19" t="s">
        <v>4101</v>
      </c>
      <c r="C624" s="19" t="s">
        <v>48</v>
      </c>
      <c r="D624" s="19" t="s">
        <v>49</v>
      </c>
      <c r="E624" s="19" t="s">
        <v>91</v>
      </c>
      <c r="F624" s="19" t="s">
        <v>185</v>
      </c>
      <c r="G624" s="19" t="s">
        <v>4103</v>
      </c>
      <c r="H624" s="19" t="s">
        <v>4104</v>
      </c>
      <c r="I624" s="19" t="s">
        <v>4105</v>
      </c>
      <c r="J624" s="19" t="n">
        <v>13570.8</v>
      </c>
      <c r="K624" s="19" t="s">
        <v>4106</v>
      </c>
      <c r="L624" s="21" t="s">
        <v>343</v>
      </c>
      <c r="M624" s="20" t="str">
        <f aca="false">IF(G624&lt;&gt;"","PASS","FAIL - Missing UPC")</f>
        <v>PASS</v>
      </c>
      <c r="N624" s="20" t="str">
        <f aca="false">IF(AND(G624&lt;&gt;"",H624&lt;&gt;""),IF("0"&amp;G624=H624,"PASS","FAIL - GTIN Mismatch"),"SKIP")</f>
        <v>PASS</v>
      </c>
      <c r="O624" s="20" t="str">
        <f aca="false">IF(I624="","FAIL - No Title",IF(LEN(I624)&lt;=126,"PASS","FAIL - Title &gt;"&amp;126&amp;" chars"))</f>
        <v>PASS</v>
      </c>
      <c r="P624" s="20" t="str">
        <f aca="false">IF(J624&gt;0,IF(J624&lt;5000,"PASS","FLAG - Review Price"),"FAIL - Zero Price")</f>
        <v>FLAG - Review Price</v>
      </c>
      <c r="Q624" s="20" t="str">
        <f aca="false">IF('Raw Catalog'!P622&lt;&gt;"","PASS","FAIL - No Image")</f>
        <v>PASS</v>
      </c>
      <c r="R624" s="20" t="str">
        <f aca="false">IF(F624&lt;&gt;"","PASS","FAIL - No Brand")</f>
        <v>PASS</v>
      </c>
      <c r="S624" s="20" t="str">
        <f aca="true">IF(K624="","FAIL - No Date",IF(TODAY()-DATEVALUE(K624)&lt;=180,"PASS","FLAG - Stale &gt;180d"))</f>
        <v>FLAG - Stale &gt;180d</v>
      </c>
      <c r="T624" s="20" t="n">
        <f aca="false">COUNTIF(M624:S624,"FAIL*")+COUNTIF(M624:S624,"FLAG*")</f>
        <v>2</v>
      </c>
      <c r="U624" s="20" t="str">
        <f aca="false">IF(T624=0,"CLEAN",IF(T624=1,"MINOR",IF(T624&lt;=3,"MODERATE","CRITICAL")))</f>
        <v>MODERATE</v>
      </c>
      <c r="V624" s="20" t="str">
        <f aca="false">IF(U624="CLEAN","None",IF(U624="MINOR","Seller Notify",IF(U624="MODERATE","Listing Suspended","Immediate Removal")))</f>
        <v>Listing Suspended</v>
      </c>
    </row>
    <row r="625" customFormat="false" ht="18" hidden="false" customHeight="true" outlineLevel="0" collapsed="false">
      <c r="A625" s="19" t="s">
        <v>6702</v>
      </c>
      <c r="B625" s="19" t="s">
        <v>4107</v>
      </c>
      <c r="C625" s="19" t="s">
        <v>63</v>
      </c>
      <c r="D625" s="19" t="s">
        <v>64</v>
      </c>
      <c r="E625" s="19" t="s">
        <v>65</v>
      </c>
      <c r="F625" s="19" t="s">
        <v>371</v>
      </c>
      <c r="G625" s="19" t="s">
        <v>4109</v>
      </c>
      <c r="H625" s="19" t="s">
        <v>4110</v>
      </c>
      <c r="I625" s="19" t="s">
        <v>1153</v>
      </c>
      <c r="J625" s="19" t="n">
        <v>345.69</v>
      </c>
      <c r="K625" s="19" t="s">
        <v>2189</v>
      </c>
      <c r="L625" s="19"/>
      <c r="M625" s="20" t="str">
        <f aca="false">IF(G625&lt;&gt;"","PASS","FAIL - Missing UPC")</f>
        <v>PASS</v>
      </c>
      <c r="N625" s="20" t="str">
        <f aca="false">IF(AND(G625&lt;&gt;"",H625&lt;&gt;""),IF("0"&amp;G625=H625,"PASS","FAIL - GTIN Mismatch"),"SKIP")</f>
        <v>PASS</v>
      </c>
      <c r="O625" s="20" t="str">
        <f aca="false">IF(I625="","FAIL - No Title",IF(LEN(I625)&lt;=126,"PASS","FAIL - Title &gt;"&amp;126&amp;" chars"))</f>
        <v>PASS</v>
      </c>
      <c r="P625" s="20" t="str">
        <f aca="false">IF(J625&gt;0,IF(J625&lt;5000,"PASS","FLAG - Review Price"),"FAIL - Zero Price")</f>
        <v>PASS</v>
      </c>
      <c r="Q625" s="20" t="str">
        <f aca="false">IF('Raw Catalog'!P623&lt;&gt;"","PASS","FAIL - No Image")</f>
        <v>PASS</v>
      </c>
      <c r="R625" s="20" t="str">
        <f aca="false">IF(F625&lt;&gt;"","PASS","FAIL - No Brand")</f>
        <v>PASS</v>
      </c>
      <c r="S625" s="20" t="str">
        <f aca="true">IF(K625="","FAIL - No Date",IF(TODAY()-DATEVALUE(K625)&lt;=180,"PASS","FLAG - Stale &gt;180d"))</f>
        <v>FLAG - Stale &gt;180d</v>
      </c>
      <c r="T625" s="20" t="n">
        <f aca="false">COUNTIF(M625:S625,"FAIL*")+COUNTIF(M625:S625,"FLAG*")</f>
        <v>1</v>
      </c>
      <c r="U625" s="20" t="str">
        <f aca="false">IF(T625=0,"CLEAN",IF(T625=1,"MINOR",IF(T625&lt;=3,"MODERATE","CRITICAL")))</f>
        <v>MINOR</v>
      </c>
      <c r="V625" s="20" t="str">
        <f aca="false">IF(U625="CLEAN","None",IF(U625="MINOR","Seller Notify",IF(U625="MODERATE","Listing Suspended","Immediate Removal")))</f>
        <v>Seller Notify</v>
      </c>
    </row>
    <row r="626" customFormat="false" ht="18" hidden="false" customHeight="true" outlineLevel="0" collapsed="false">
      <c r="A626" s="19" t="s">
        <v>6703</v>
      </c>
      <c r="B626" s="19" t="s">
        <v>4111</v>
      </c>
      <c r="C626" s="19" t="s">
        <v>63</v>
      </c>
      <c r="D626" s="19" t="s">
        <v>64</v>
      </c>
      <c r="E626" s="19" t="s">
        <v>161</v>
      </c>
      <c r="F626" s="19" t="s">
        <v>295</v>
      </c>
      <c r="G626" s="19"/>
      <c r="H626" s="19" t="s">
        <v>4113</v>
      </c>
      <c r="I626" s="19" t="s">
        <v>1566</v>
      </c>
      <c r="J626" s="19" t="n">
        <v>281.46</v>
      </c>
      <c r="K626" s="19" t="s">
        <v>4114</v>
      </c>
      <c r="L626" s="21" t="s">
        <v>272</v>
      </c>
      <c r="M626" s="20" t="str">
        <f aca="false">IF(G626&lt;&gt;"","PASS","FAIL - Missing UPC")</f>
        <v>FAIL - Missing UPC</v>
      </c>
      <c r="N626" s="20" t="str">
        <f aca="false">IF(AND(G626&lt;&gt;"",H626&lt;&gt;""),IF("0"&amp;G626=H626,"PASS","FAIL - GTIN Mismatch"),"SKIP")</f>
        <v>SKIP</v>
      </c>
      <c r="O626" s="20" t="str">
        <f aca="false">IF(I626="","FAIL - No Title",IF(LEN(I626)&lt;=126,"PASS","FAIL - Title &gt;"&amp;126&amp;" chars"))</f>
        <v>PASS</v>
      </c>
      <c r="P626" s="20" t="str">
        <f aca="false">IF(J626&gt;0,IF(J626&lt;5000,"PASS","FLAG - Review Price"),"FAIL - Zero Price")</f>
        <v>PASS</v>
      </c>
      <c r="Q626" s="20" t="str">
        <f aca="false">IF('Raw Catalog'!P624&lt;&gt;"","PASS","FAIL - No Image")</f>
        <v>PASS</v>
      </c>
      <c r="R626" s="20" t="str">
        <f aca="false">IF(F626&lt;&gt;"","PASS","FAIL - No Brand")</f>
        <v>PASS</v>
      </c>
      <c r="S626" s="20" t="str">
        <f aca="true">IF(K626="","FAIL - No Date",IF(TODAY()-DATEVALUE(K626)&lt;=180,"PASS","FLAG - Stale &gt;180d"))</f>
        <v>FLAG - Stale &gt;180d</v>
      </c>
      <c r="T626" s="20" t="n">
        <f aca="false">COUNTIF(M626:S626,"FAIL*")+COUNTIF(M626:S626,"FLAG*")</f>
        <v>2</v>
      </c>
      <c r="U626" s="20" t="str">
        <f aca="false">IF(T626=0,"CLEAN",IF(T626=1,"MINOR",IF(T626&lt;=3,"MODERATE","CRITICAL")))</f>
        <v>MODERATE</v>
      </c>
      <c r="V626" s="20" t="str">
        <f aca="false">IF(U626="CLEAN","None",IF(U626="MINOR","Seller Notify",IF(U626="MODERATE","Listing Suspended","Immediate Removal")))</f>
        <v>Listing Suspended</v>
      </c>
    </row>
    <row r="627" customFormat="false" ht="18" hidden="false" customHeight="true" outlineLevel="0" collapsed="false">
      <c r="A627" s="19" t="s">
        <v>6704</v>
      </c>
      <c r="B627" s="19" t="s">
        <v>4115</v>
      </c>
      <c r="C627" s="19" t="s">
        <v>77</v>
      </c>
      <c r="D627" s="19" t="s">
        <v>78</v>
      </c>
      <c r="E627" s="19" t="s">
        <v>65</v>
      </c>
      <c r="F627" s="19" t="s">
        <v>438</v>
      </c>
      <c r="G627" s="19" t="s">
        <v>4117</v>
      </c>
      <c r="H627" s="19" t="s">
        <v>4118</v>
      </c>
      <c r="I627" s="19" t="s">
        <v>2046</v>
      </c>
      <c r="J627" s="19" t="n">
        <v>155.52</v>
      </c>
      <c r="K627" s="19" t="s">
        <v>1867</v>
      </c>
      <c r="L627" s="19"/>
      <c r="M627" s="20" t="str">
        <f aca="false">IF(G627&lt;&gt;"","PASS","FAIL - Missing UPC")</f>
        <v>PASS</v>
      </c>
      <c r="N627" s="20" t="str">
        <f aca="false">IF(AND(G627&lt;&gt;"",H627&lt;&gt;""),IF("0"&amp;G627=H627,"PASS","FAIL - GTIN Mismatch"),"SKIP")</f>
        <v>PASS</v>
      </c>
      <c r="O627" s="20" t="str">
        <f aca="false">IF(I627="","FAIL - No Title",IF(LEN(I627)&lt;=126,"PASS","FAIL - Title &gt;"&amp;126&amp;" chars"))</f>
        <v>PASS</v>
      </c>
      <c r="P627" s="20" t="str">
        <f aca="false">IF(J627&gt;0,IF(J627&lt;5000,"PASS","FLAG - Review Price"),"FAIL - Zero Price")</f>
        <v>PASS</v>
      </c>
      <c r="Q627" s="20" t="str">
        <f aca="false">IF('Raw Catalog'!P625&lt;&gt;"","PASS","FAIL - No Image")</f>
        <v>PASS</v>
      </c>
      <c r="R627" s="20" t="str">
        <f aca="false">IF(F627&lt;&gt;"","PASS","FAIL - No Brand")</f>
        <v>PASS</v>
      </c>
      <c r="S627" s="20" t="str">
        <f aca="true">IF(K627="","FAIL - No Date",IF(TODAY()-DATEVALUE(K627)&lt;=180,"PASS","FLAG - Stale &gt;180d"))</f>
        <v>FLAG - Stale &gt;180d</v>
      </c>
      <c r="T627" s="20" t="n">
        <f aca="false">COUNTIF(M627:S627,"FAIL*")+COUNTIF(M627:S627,"FLAG*")</f>
        <v>1</v>
      </c>
      <c r="U627" s="20" t="str">
        <f aca="false">IF(T627=0,"CLEAN",IF(T627=1,"MINOR",IF(T627&lt;=3,"MODERATE","CRITICAL")))</f>
        <v>MINOR</v>
      </c>
      <c r="V627" s="20" t="str">
        <f aca="false">IF(U627="CLEAN","None",IF(U627="MINOR","Seller Notify",IF(U627="MODERATE","Listing Suspended","Immediate Removal")))</f>
        <v>Seller Notify</v>
      </c>
    </row>
    <row r="628" customFormat="false" ht="18" hidden="false" customHeight="true" outlineLevel="0" collapsed="false">
      <c r="A628" s="19" t="s">
        <v>6705</v>
      </c>
      <c r="B628" s="19" t="s">
        <v>4119</v>
      </c>
      <c r="C628" s="19" t="s">
        <v>63</v>
      </c>
      <c r="D628" s="19" t="s">
        <v>64</v>
      </c>
      <c r="E628" s="19" t="s">
        <v>161</v>
      </c>
      <c r="F628" s="19" t="s">
        <v>162</v>
      </c>
      <c r="G628" s="19" t="s">
        <v>4121</v>
      </c>
      <c r="H628" s="19" t="s">
        <v>4122</v>
      </c>
      <c r="I628" s="19" t="s">
        <v>4123</v>
      </c>
      <c r="J628" s="19" t="n">
        <v>182.81</v>
      </c>
      <c r="K628" s="19" t="s">
        <v>1906</v>
      </c>
      <c r="L628" s="19"/>
      <c r="M628" s="20" t="str">
        <f aca="false">IF(G628&lt;&gt;"","PASS","FAIL - Missing UPC")</f>
        <v>PASS</v>
      </c>
      <c r="N628" s="20" t="str">
        <f aca="false">IF(AND(G628&lt;&gt;"",H628&lt;&gt;""),IF("0"&amp;G628=H628,"PASS","FAIL - GTIN Mismatch"),"SKIP")</f>
        <v>PASS</v>
      </c>
      <c r="O628" s="20" t="str">
        <f aca="false">IF(I628="","FAIL - No Title",IF(LEN(I628)&lt;=126,"PASS","FAIL - Title &gt;"&amp;126&amp;" chars"))</f>
        <v>PASS</v>
      </c>
      <c r="P628" s="20" t="str">
        <f aca="false">IF(J628&gt;0,IF(J628&lt;5000,"PASS","FLAG - Review Price"),"FAIL - Zero Price")</f>
        <v>PASS</v>
      </c>
      <c r="Q628" s="20" t="str">
        <f aca="false">IF('Raw Catalog'!P626&lt;&gt;"","PASS","FAIL - No Image")</f>
        <v>PASS</v>
      </c>
      <c r="R628" s="20" t="str">
        <f aca="false">IF(F628&lt;&gt;"","PASS","FAIL - No Brand")</f>
        <v>PASS</v>
      </c>
      <c r="S628" s="20" t="str">
        <f aca="true">IF(K628="","FAIL - No Date",IF(TODAY()-DATEVALUE(K628)&lt;=180,"PASS","FLAG - Stale &gt;180d"))</f>
        <v>FLAG - Stale &gt;180d</v>
      </c>
      <c r="T628" s="20" t="n">
        <f aca="false">COUNTIF(M628:S628,"FAIL*")+COUNTIF(M628:S628,"FLAG*")</f>
        <v>1</v>
      </c>
      <c r="U628" s="20" t="str">
        <f aca="false">IF(T628=0,"CLEAN",IF(T628=1,"MINOR",IF(T628&lt;=3,"MODERATE","CRITICAL")))</f>
        <v>MINOR</v>
      </c>
      <c r="V628" s="20" t="str">
        <f aca="false">IF(U628="CLEAN","None",IF(U628="MINOR","Seller Notify",IF(U628="MODERATE","Listing Suspended","Immediate Removal")))</f>
        <v>Seller Notify</v>
      </c>
    </row>
    <row r="629" customFormat="false" ht="18" hidden="false" customHeight="true" outlineLevel="0" collapsed="false">
      <c r="A629" s="19" t="s">
        <v>6706</v>
      </c>
      <c r="B629" s="19" t="s">
        <v>4124</v>
      </c>
      <c r="C629" s="19" t="s">
        <v>113</v>
      </c>
      <c r="D629" s="19" t="s">
        <v>114</v>
      </c>
      <c r="E629" s="19" t="s">
        <v>50</v>
      </c>
      <c r="F629" s="19" t="s">
        <v>503</v>
      </c>
      <c r="G629" s="19" t="s">
        <v>4126</v>
      </c>
      <c r="H629" s="19" t="s">
        <v>4127</v>
      </c>
      <c r="I629" s="19" t="s">
        <v>2069</v>
      </c>
      <c r="J629" s="19" t="n">
        <v>294.16</v>
      </c>
      <c r="K629" s="19" t="s">
        <v>4130</v>
      </c>
      <c r="L629" s="21" t="s">
        <v>325</v>
      </c>
      <c r="M629" s="20" t="str">
        <f aca="false">IF(G629&lt;&gt;"","PASS","FAIL - Missing UPC")</f>
        <v>PASS</v>
      </c>
      <c r="N629" s="20" t="str">
        <f aca="false">IF(AND(G629&lt;&gt;"",H629&lt;&gt;""),IF("0"&amp;G629=H629,"PASS","FAIL - GTIN Mismatch"),"SKIP")</f>
        <v>PASS</v>
      </c>
      <c r="O629" s="20" t="str">
        <f aca="false">IF(I629="","FAIL - No Title",IF(LEN(I629)&lt;=126,"PASS","FAIL - Title &gt;"&amp;126&amp;" chars"))</f>
        <v>PASS</v>
      </c>
      <c r="P629" s="20" t="str">
        <f aca="false">IF(J629&gt;0,IF(J629&lt;5000,"PASS","FLAG - Review Price"),"FAIL - Zero Price")</f>
        <v>PASS</v>
      </c>
      <c r="Q629" s="20" t="str">
        <f aca="false">IF('Raw Catalog'!P627&lt;&gt;"","PASS","FAIL - No Image")</f>
        <v>PASS</v>
      </c>
      <c r="R629" s="20" t="str">
        <f aca="false">IF(F629&lt;&gt;"","PASS","FAIL - No Brand")</f>
        <v>PASS</v>
      </c>
      <c r="S629" s="20" t="str">
        <f aca="true">IF(K629="","FAIL - No Date",IF(TODAY()-DATEVALUE(K629)&lt;=180,"PASS","FLAG - Stale &gt;180d"))</f>
        <v>FLAG - Stale &gt;180d</v>
      </c>
      <c r="T629" s="20" t="n">
        <f aca="false">COUNTIF(M629:S629,"FAIL*")+COUNTIF(M629:S629,"FLAG*")</f>
        <v>1</v>
      </c>
      <c r="U629" s="20" t="str">
        <f aca="false">IF(T629=0,"CLEAN",IF(T629=1,"MINOR",IF(T629&lt;=3,"MODERATE","CRITICAL")))</f>
        <v>MINOR</v>
      </c>
      <c r="V629" s="20" t="str">
        <f aca="false">IF(U629="CLEAN","None",IF(U629="MINOR","Seller Notify",IF(U629="MODERATE","Listing Suspended","Immediate Removal")))</f>
        <v>Seller Notify</v>
      </c>
    </row>
    <row r="630" customFormat="false" ht="18" hidden="false" customHeight="true" outlineLevel="0" collapsed="false">
      <c r="A630" s="19" t="s">
        <v>6707</v>
      </c>
      <c r="B630" s="19" t="s">
        <v>4131</v>
      </c>
      <c r="C630" s="19" t="s">
        <v>173</v>
      </c>
      <c r="D630" s="19" t="s">
        <v>174</v>
      </c>
      <c r="E630" s="19" t="s">
        <v>161</v>
      </c>
      <c r="F630" s="19" t="s">
        <v>429</v>
      </c>
      <c r="G630" s="19" t="s">
        <v>4133</v>
      </c>
      <c r="H630" s="19" t="s">
        <v>4134</v>
      </c>
      <c r="I630" s="19" t="s">
        <v>4135</v>
      </c>
      <c r="J630" s="19" t="n">
        <v>96.94</v>
      </c>
      <c r="K630" s="19" t="s">
        <v>4137</v>
      </c>
      <c r="L630" s="19"/>
      <c r="M630" s="20" t="str">
        <f aca="false">IF(G630&lt;&gt;"","PASS","FAIL - Missing UPC")</f>
        <v>PASS</v>
      </c>
      <c r="N630" s="20" t="str">
        <f aca="false">IF(AND(G630&lt;&gt;"",H630&lt;&gt;""),IF("0"&amp;G630=H630,"PASS","FAIL - GTIN Mismatch"),"SKIP")</f>
        <v>PASS</v>
      </c>
      <c r="O630" s="20" t="str">
        <f aca="false">IF(I630="","FAIL - No Title",IF(LEN(I630)&lt;=126,"PASS","FAIL - Title &gt;"&amp;126&amp;" chars"))</f>
        <v>PASS</v>
      </c>
      <c r="P630" s="20" t="str">
        <f aca="false">IF(J630&gt;0,IF(J630&lt;5000,"PASS","FLAG - Review Price"),"FAIL - Zero Price")</f>
        <v>PASS</v>
      </c>
      <c r="Q630" s="20" t="str">
        <f aca="false">IF('Raw Catalog'!P628&lt;&gt;"","PASS","FAIL - No Image")</f>
        <v>PASS</v>
      </c>
      <c r="R630" s="20" t="str">
        <f aca="false">IF(F630&lt;&gt;"","PASS","FAIL - No Brand")</f>
        <v>PASS</v>
      </c>
      <c r="S630" s="20" t="str">
        <f aca="true">IF(K630="","FAIL - No Date",IF(TODAY()-DATEVALUE(K630)&lt;=180,"PASS","FLAG - Stale &gt;180d"))</f>
        <v>FLAG - Stale &gt;180d</v>
      </c>
      <c r="T630" s="20" t="n">
        <f aca="false">COUNTIF(M630:S630,"FAIL*")+COUNTIF(M630:S630,"FLAG*")</f>
        <v>1</v>
      </c>
      <c r="U630" s="20" t="str">
        <f aca="false">IF(T630=0,"CLEAN",IF(T630=1,"MINOR",IF(T630&lt;=3,"MODERATE","CRITICAL")))</f>
        <v>MINOR</v>
      </c>
      <c r="V630" s="20" t="str">
        <f aca="false">IF(U630="CLEAN","None",IF(U630="MINOR","Seller Notify",IF(U630="MODERATE","Listing Suspended","Immediate Removal")))</f>
        <v>Seller Notify</v>
      </c>
    </row>
    <row r="631" customFormat="false" ht="18" hidden="false" customHeight="true" outlineLevel="0" collapsed="false">
      <c r="A631" s="19" t="s">
        <v>6708</v>
      </c>
      <c r="B631" s="19" t="s">
        <v>4138</v>
      </c>
      <c r="C631" s="19" t="s">
        <v>113</v>
      </c>
      <c r="D631" s="19" t="s">
        <v>114</v>
      </c>
      <c r="E631" s="19" t="s">
        <v>161</v>
      </c>
      <c r="F631" s="19" t="s">
        <v>306</v>
      </c>
      <c r="G631" s="19" t="s">
        <v>4140</v>
      </c>
      <c r="H631" s="19" t="s">
        <v>4141</v>
      </c>
      <c r="I631" s="19" t="s">
        <v>2767</v>
      </c>
      <c r="J631" s="19" t="n">
        <v>110.69</v>
      </c>
      <c r="K631" s="19" t="s">
        <v>1957</v>
      </c>
      <c r="L631" s="19"/>
      <c r="M631" s="20" t="str">
        <f aca="false">IF(G631&lt;&gt;"","PASS","FAIL - Missing UPC")</f>
        <v>PASS</v>
      </c>
      <c r="N631" s="20" t="str">
        <f aca="false">IF(AND(G631&lt;&gt;"",H631&lt;&gt;""),IF("0"&amp;G631=H631,"PASS","FAIL - GTIN Mismatch"),"SKIP")</f>
        <v>PASS</v>
      </c>
      <c r="O631" s="20" t="str">
        <f aca="false">IF(I631="","FAIL - No Title",IF(LEN(I631)&lt;=126,"PASS","FAIL - Title &gt;"&amp;126&amp;" chars"))</f>
        <v>PASS</v>
      </c>
      <c r="P631" s="20" t="str">
        <f aca="false">IF(J631&gt;0,IF(J631&lt;5000,"PASS","FLAG - Review Price"),"FAIL - Zero Price")</f>
        <v>PASS</v>
      </c>
      <c r="Q631" s="20" t="str">
        <f aca="false">IF('Raw Catalog'!P629&lt;&gt;"","PASS","FAIL - No Image")</f>
        <v>PASS</v>
      </c>
      <c r="R631" s="20" t="str">
        <f aca="false">IF(F631&lt;&gt;"","PASS","FAIL - No Brand")</f>
        <v>PASS</v>
      </c>
      <c r="S631" s="20" t="str">
        <f aca="true">IF(K631="","FAIL - No Date",IF(TODAY()-DATEVALUE(K631)&lt;=180,"PASS","FLAG - Stale &gt;180d"))</f>
        <v>FLAG - Stale &gt;180d</v>
      </c>
      <c r="T631" s="20" t="n">
        <f aca="false">COUNTIF(M631:S631,"FAIL*")+COUNTIF(M631:S631,"FLAG*")</f>
        <v>1</v>
      </c>
      <c r="U631" s="20" t="str">
        <f aca="false">IF(T631=0,"CLEAN",IF(T631=1,"MINOR",IF(T631&lt;=3,"MODERATE","CRITICAL")))</f>
        <v>MINOR</v>
      </c>
      <c r="V631" s="20" t="str">
        <f aca="false">IF(U631="CLEAN","None",IF(U631="MINOR","Seller Notify",IF(U631="MODERATE","Listing Suspended","Immediate Removal")))</f>
        <v>Seller Notify</v>
      </c>
    </row>
    <row r="632" customFormat="false" ht="18" hidden="false" customHeight="true" outlineLevel="0" collapsed="false">
      <c r="A632" s="19" t="s">
        <v>6709</v>
      </c>
      <c r="B632" s="19" t="s">
        <v>4142</v>
      </c>
      <c r="C632" s="19" t="s">
        <v>48</v>
      </c>
      <c r="D632" s="19" t="s">
        <v>49</v>
      </c>
      <c r="E632" s="19" t="s">
        <v>91</v>
      </c>
      <c r="F632" s="19" t="s">
        <v>138</v>
      </c>
      <c r="G632" s="19" t="s">
        <v>4144</v>
      </c>
      <c r="H632" s="19" t="s">
        <v>4145</v>
      </c>
      <c r="I632" s="19" t="s">
        <v>4146</v>
      </c>
      <c r="J632" s="19" t="n">
        <v>1185.01</v>
      </c>
      <c r="K632" s="19" t="s">
        <v>2127</v>
      </c>
      <c r="L632" s="19"/>
      <c r="M632" s="20" t="str">
        <f aca="false">IF(G632&lt;&gt;"","PASS","FAIL - Missing UPC")</f>
        <v>PASS</v>
      </c>
      <c r="N632" s="20" t="str">
        <f aca="false">IF(AND(G632&lt;&gt;"",H632&lt;&gt;""),IF("0"&amp;G632=H632,"PASS","FAIL - GTIN Mismatch"),"SKIP")</f>
        <v>PASS</v>
      </c>
      <c r="O632" s="20" t="str">
        <f aca="false">IF(I632="","FAIL - No Title",IF(LEN(I632)&lt;=126,"PASS","FAIL - Title &gt;"&amp;126&amp;" chars"))</f>
        <v>PASS</v>
      </c>
      <c r="P632" s="20" t="str">
        <f aca="false">IF(J632&gt;0,IF(J632&lt;5000,"PASS","FLAG - Review Price"),"FAIL - Zero Price")</f>
        <v>PASS</v>
      </c>
      <c r="Q632" s="20" t="str">
        <f aca="false">IF('Raw Catalog'!P630&lt;&gt;"","PASS","FAIL - No Image")</f>
        <v>PASS</v>
      </c>
      <c r="R632" s="20" t="str">
        <f aca="false">IF(F632&lt;&gt;"","PASS","FAIL - No Brand")</f>
        <v>PASS</v>
      </c>
      <c r="S632" s="20" t="str">
        <f aca="true">IF(K632="","FAIL - No Date",IF(TODAY()-DATEVALUE(K632)&lt;=180,"PASS","FLAG - Stale &gt;180d"))</f>
        <v>FLAG - Stale &gt;180d</v>
      </c>
      <c r="T632" s="20" t="n">
        <f aca="false">COUNTIF(M632:S632,"FAIL*")+COUNTIF(M632:S632,"FLAG*")</f>
        <v>1</v>
      </c>
      <c r="U632" s="20" t="str">
        <f aca="false">IF(T632=0,"CLEAN",IF(T632=1,"MINOR",IF(T632&lt;=3,"MODERATE","CRITICAL")))</f>
        <v>MINOR</v>
      </c>
      <c r="V632" s="20" t="str">
        <f aca="false">IF(U632="CLEAN","None",IF(U632="MINOR","Seller Notify",IF(U632="MODERATE","Listing Suspended","Immediate Removal")))</f>
        <v>Seller Notify</v>
      </c>
    </row>
    <row r="633" customFormat="false" ht="18" hidden="false" customHeight="true" outlineLevel="0" collapsed="false">
      <c r="A633" s="19" t="s">
        <v>6710</v>
      </c>
      <c r="B633" s="19" t="s">
        <v>4148</v>
      </c>
      <c r="C633" s="19" t="s">
        <v>77</v>
      </c>
      <c r="D633" s="19" t="s">
        <v>78</v>
      </c>
      <c r="E633" s="19" t="s">
        <v>50</v>
      </c>
      <c r="F633" s="19" t="s">
        <v>138</v>
      </c>
      <c r="G633" s="19" t="s">
        <v>4150</v>
      </c>
      <c r="H633" s="19" t="s">
        <v>4151</v>
      </c>
      <c r="I633" s="19" t="s">
        <v>3584</v>
      </c>
      <c r="J633" s="19" t="n">
        <v>883.85</v>
      </c>
      <c r="K633" s="19" t="s">
        <v>1450</v>
      </c>
      <c r="L633" s="19"/>
      <c r="M633" s="20" t="str">
        <f aca="false">IF(G633&lt;&gt;"","PASS","FAIL - Missing UPC")</f>
        <v>PASS</v>
      </c>
      <c r="N633" s="20" t="str">
        <f aca="false">IF(AND(G633&lt;&gt;"",H633&lt;&gt;""),IF("0"&amp;G633=H633,"PASS","FAIL - GTIN Mismatch"),"SKIP")</f>
        <v>PASS</v>
      </c>
      <c r="O633" s="20" t="str">
        <f aca="false">IF(I633="","FAIL - No Title",IF(LEN(I633)&lt;=126,"PASS","FAIL - Title &gt;"&amp;126&amp;" chars"))</f>
        <v>PASS</v>
      </c>
      <c r="P633" s="20" t="str">
        <f aca="false">IF(J633&gt;0,IF(J633&lt;5000,"PASS","FLAG - Review Price"),"FAIL - Zero Price")</f>
        <v>PASS</v>
      </c>
      <c r="Q633" s="20" t="str">
        <f aca="false">IF('Raw Catalog'!P631&lt;&gt;"","PASS","FAIL - No Image")</f>
        <v>PASS</v>
      </c>
      <c r="R633" s="20" t="str">
        <f aca="false">IF(F633&lt;&gt;"","PASS","FAIL - No Brand")</f>
        <v>PASS</v>
      </c>
      <c r="S633" s="20" t="str">
        <f aca="true">IF(K633="","FAIL - No Date",IF(TODAY()-DATEVALUE(K633)&lt;=180,"PASS","FLAG - Stale &gt;180d"))</f>
        <v>FLAG - Stale &gt;180d</v>
      </c>
      <c r="T633" s="20" t="n">
        <f aca="false">COUNTIF(M633:S633,"FAIL*")+COUNTIF(M633:S633,"FLAG*")</f>
        <v>1</v>
      </c>
      <c r="U633" s="20" t="str">
        <f aca="false">IF(T633=0,"CLEAN",IF(T633=1,"MINOR",IF(T633&lt;=3,"MODERATE","CRITICAL")))</f>
        <v>MINOR</v>
      </c>
      <c r="V633" s="20" t="str">
        <f aca="false">IF(U633="CLEAN","None",IF(U633="MINOR","Seller Notify",IF(U633="MODERATE","Listing Suspended","Immediate Removal")))</f>
        <v>Seller Notify</v>
      </c>
    </row>
    <row r="634" customFormat="false" ht="18" hidden="false" customHeight="true" outlineLevel="0" collapsed="false">
      <c r="A634" s="19" t="s">
        <v>6711</v>
      </c>
      <c r="B634" s="19" t="s">
        <v>4152</v>
      </c>
      <c r="C634" s="19" t="s">
        <v>113</v>
      </c>
      <c r="D634" s="19" t="s">
        <v>114</v>
      </c>
      <c r="E634" s="19" t="s">
        <v>91</v>
      </c>
      <c r="F634" s="19" t="s">
        <v>419</v>
      </c>
      <c r="G634" s="19" t="s">
        <v>4154</v>
      </c>
      <c r="H634" s="19" t="s">
        <v>4155</v>
      </c>
      <c r="I634" s="19" t="s">
        <v>4156</v>
      </c>
      <c r="J634" s="19" t="n">
        <v>1592.13</v>
      </c>
      <c r="K634" s="19" t="s">
        <v>1899</v>
      </c>
      <c r="L634" s="19"/>
      <c r="M634" s="20" t="str">
        <f aca="false">IF(G634&lt;&gt;"","PASS","FAIL - Missing UPC")</f>
        <v>PASS</v>
      </c>
      <c r="N634" s="20" t="str">
        <f aca="false">IF(AND(G634&lt;&gt;"",H634&lt;&gt;""),IF("0"&amp;G634=H634,"PASS","FAIL - GTIN Mismatch"),"SKIP")</f>
        <v>PASS</v>
      </c>
      <c r="O634" s="20" t="str">
        <f aca="false">IF(I634="","FAIL - No Title",IF(LEN(I634)&lt;=126,"PASS","FAIL - Title &gt;"&amp;126&amp;" chars"))</f>
        <v>PASS</v>
      </c>
      <c r="P634" s="20" t="str">
        <f aca="false">IF(J634&gt;0,IF(J634&lt;5000,"PASS","FLAG - Review Price"),"FAIL - Zero Price")</f>
        <v>PASS</v>
      </c>
      <c r="Q634" s="20" t="str">
        <f aca="false">IF('Raw Catalog'!P632&lt;&gt;"","PASS","FAIL - No Image")</f>
        <v>PASS</v>
      </c>
      <c r="R634" s="20" t="str">
        <f aca="false">IF(F634&lt;&gt;"","PASS","FAIL - No Brand")</f>
        <v>PASS</v>
      </c>
      <c r="S634" s="20" t="str">
        <f aca="true">IF(K634="","FAIL - No Date",IF(TODAY()-DATEVALUE(K634)&lt;=180,"PASS","FLAG - Stale &gt;180d"))</f>
        <v>FLAG - Stale &gt;180d</v>
      </c>
      <c r="T634" s="20" t="n">
        <f aca="false">COUNTIF(M634:S634,"FAIL*")+COUNTIF(M634:S634,"FLAG*")</f>
        <v>1</v>
      </c>
      <c r="U634" s="20" t="str">
        <f aca="false">IF(T634=0,"CLEAN",IF(T634=1,"MINOR",IF(T634&lt;=3,"MODERATE","CRITICAL")))</f>
        <v>MINOR</v>
      </c>
      <c r="V634" s="20" t="str">
        <f aca="false">IF(U634="CLEAN","None",IF(U634="MINOR","Seller Notify",IF(U634="MODERATE","Listing Suspended","Immediate Removal")))</f>
        <v>Seller Notify</v>
      </c>
    </row>
    <row r="635" customFormat="false" ht="18" hidden="false" customHeight="true" outlineLevel="0" collapsed="false">
      <c r="A635" s="19" t="s">
        <v>6712</v>
      </c>
      <c r="B635" s="19" t="s">
        <v>4157</v>
      </c>
      <c r="C635" s="19" t="s">
        <v>63</v>
      </c>
      <c r="D635" s="19" t="s">
        <v>64</v>
      </c>
      <c r="E635" s="19" t="s">
        <v>91</v>
      </c>
      <c r="F635" s="19" t="s">
        <v>185</v>
      </c>
      <c r="G635" s="19" t="s">
        <v>4159</v>
      </c>
      <c r="H635" s="19" t="s">
        <v>4160</v>
      </c>
      <c r="I635" s="19" t="s">
        <v>2645</v>
      </c>
      <c r="J635" s="19" t="n">
        <v>1649.97</v>
      </c>
      <c r="K635" s="19" t="s">
        <v>1845</v>
      </c>
      <c r="L635" s="19"/>
      <c r="M635" s="20" t="str">
        <f aca="false">IF(G635&lt;&gt;"","PASS","FAIL - Missing UPC")</f>
        <v>PASS</v>
      </c>
      <c r="N635" s="20" t="str">
        <f aca="false">IF(AND(G635&lt;&gt;"",H635&lt;&gt;""),IF("0"&amp;G635=H635,"PASS","FAIL - GTIN Mismatch"),"SKIP")</f>
        <v>PASS</v>
      </c>
      <c r="O635" s="20" t="str">
        <f aca="false">IF(I635="","FAIL - No Title",IF(LEN(I635)&lt;=126,"PASS","FAIL - Title &gt;"&amp;126&amp;" chars"))</f>
        <v>PASS</v>
      </c>
      <c r="P635" s="20" t="str">
        <f aca="false">IF(J635&gt;0,IF(J635&lt;5000,"PASS","FLAG - Review Price"),"FAIL - Zero Price")</f>
        <v>PASS</v>
      </c>
      <c r="Q635" s="20" t="str">
        <f aca="false">IF('Raw Catalog'!P633&lt;&gt;"","PASS","FAIL - No Image")</f>
        <v>PASS</v>
      </c>
      <c r="R635" s="20" t="str">
        <f aca="false">IF(F635&lt;&gt;"","PASS","FAIL - No Brand")</f>
        <v>PASS</v>
      </c>
      <c r="S635" s="20" t="str">
        <f aca="true">IF(K635="","FAIL - No Date",IF(TODAY()-DATEVALUE(K635)&lt;=180,"PASS","FLAG - Stale &gt;180d"))</f>
        <v>FLAG - Stale &gt;180d</v>
      </c>
      <c r="T635" s="20" t="n">
        <f aca="false">COUNTIF(M635:S635,"FAIL*")+COUNTIF(M635:S635,"FLAG*")</f>
        <v>1</v>
      </c>
      <c r="U635" s="20" t="str">
        <f aca="false">IF(T635=0,"CLEAN",IF(T635=1,"MINOR",IF(T635&lt;=3,"MODERATE","CRITICAL")))</f>
        <v>MINOR</v>
      </c>
      <c r="V635" s="20" t="str">
        <f aca="false">IF(U635="CLEAN","None",IF(U635="MINOR","Seller Notify",IF(U635="MODERATE","Listing Suspended","Immediate Removal")))</f>
        <v>Seller Notify</v>
      </c>
    </row>
    <row r="636" customFormat="false" ht="18" hidden="false" customHeight="true" outlineLevel="0" collapsed="false">
      <c r="A636" s="19" t="s">
        <v>6713</v>
      </c>
      <c r="B636" s="19" t="s">
        <v>4162</v>
      </c>
      <c r="C636" s="19" t="s">
        <v>63</v>
      </c>
      <c r="D636" s="19" t="s">
        <v>64</v>
      </c>
      <c r="E636" s="19" t="s">
        <v>161</v>
      </c>
      <c r="F636" s="19" t="s">
        <v>822</v>
      </c>
      <c r="G636" s="19" t="s">
        <v>4164</v>
      </c>
      <c r="H636" s="19" t="s">
        <v>4165</v>
      </c>
      <c r="I636" s="19" t="s">
        <v>4166</v>
      </c>
      <c r="J636" s="19" t="n">
        <v>90.29</v>
      </c>
      <c r="K636" s="19" t="s">
        <v>806</v>
      </c>
      <c r="L636" s="19"/>
      <c r="M636" s="20" t="str">
        <f aca="false">IF(G636&lt;&gt;"","PASS","FAIL - Missing UPC")</f>
        <v>PASS</v>
      </c>
      <c r="N636" s="20" t="str">
        <f aca="false">IF(AND(G636&lt;&gt;"",H636&lt;&gt;""),IF("0"&amp;G636=H636,"PASS","FAIL - GTIN Mismatch"),"SKIP")</f>
        <v>PASS</v>
      </c>
      <c r="O636" s="20" t="str">
        <f aca="false">IF(I636="","FAIL - No Title",IF(LEN(I636)&lt;=126,"PASS","FAIL - Title &gt;"&amp;126&amp;" chars"))</f>
        <v>PASS</v>
      </c>
      <c r="P636" s="20" t="str">
        <f aca="false">IF(J636&gt;0,IF(J636&lt;5000,"PASS","FLAG - Review Price"),"FAIL - Zero Price")</f>
        <v>PASS</v>
      </c>
      <c r="Q636" s="20" t="str">
        <f aca="false">IF('Raw Catalog'!P634&lt;&gt;"","PASS","FAIL - No Image")</f>
        <v>PASS</v>
      </c>
      <c r="R636" s="20" t="str">
        <f aca="false">IF(F636&lt;&gt;"","PASS","FAIL - No Brand")</f>
        <v>PASS</v>
      </c>
      <c r="S636" s="20" t="str">
        <f aca="true">IF(K636="","FAIL - No Date",IF(TODAY()-DATEVALUE(K636)&lt;=180,"PASS","FLAG - Stale &gt;180d"))</f>
        <v>FLAG - Stale &gt;180d</v>
      </c>
      <c r="T636" s="20" t="n">
        <f aca="false">COUNTIF(M636:S636,"FAIL*")+COUNTIF(M636:S636,"FLAG*")</f>
        <v>1</v>
      </c>
      <c r="U636" s="20" t="str">
        <f aca="false">IF(T636=0,"CLEAN",IF(T636=1,"MINOR",IF(T636&lt;=3,"MODERATE","CRITICAL")))</f>
        <v>MINOR</v>
      </c>
      <c r="V636" s="20" t="str">
        <f aca="false">IF(U636="CLEAN","None",IF(U636="MINOR","Seller Notify",IF(U636="MODERATE","Listing Suspended","Immediate Removal")))</f>
        <v>Seller Notify</v>
      </c>
    </row>
    <row r="637" customFormat="false" ht="18" hidden="false" customHeight="true" outlineLevel="0" collapsed="false">
      <c r="A637" s="19" t="s">
        <v>6714</v>
      </c>
      <c r="B637" s="19" t="s">
        <v>4167</v>
      </c>
      <c r="C637" s="19" t="s">
        <v>48</v>
      </c>
      <c r="D637" s="19" t="s">
        <v>49</v>
      </c>
      <c r="E637" s="19" t="s">
        <v>161</v>
      </c>
      <c r="F637" s="19" t="s">
        <v>306</v>
      </c>
      <c r="G637" s="19" t="s">
        <v>4169</v>
      </c>
      <c r="H637" s="19" t="s">
        <v>4170</v>
      </c>
      <c r="I637" s="19" t="s">
        <v>4171</v>
      </c>
      <c r="J637" s="19" t="n">
        <v>33.51</v>
      </c>
      <c r="K637" s="19" t="s">
        <v>123</v>
      </c>
      <c r="L637" s="19"/>
      <c r="M637" s="20" t="str">
        <f aca="false">IF(G637&lt;&gt;"","PASS","FAIL - Missing UPC")</f>
        <v>PASS</v>
      </c>
      <c r="N637" s="20" t="str">
        <f aca="false">IF(AND(G637&lt;&gt;"",H637&lt;&gt;""),IF("0"&amp;G637=H637,"PASS","FAIL - GTIN Mismatch"),"SKIP")</f>
        <v>PASS</v>
      </c>
      <c r="O637" s="20" t="str">
        <f aca="false">IF(I637="","FAIL - No Title",IF(LEN(I637)&lt;=126,"PASS","FAIL - Title &gt;"&amp;126&amp;" chars"))</f>
        <v>PASS</v>
      </c>
      <c r="P637" s="20" t="str">
        <f aca="false">IF(J637&gt;0,IF(J637&lt;5000,"PASS","FLAG - Review Price"),"FAIL - Zero Price")</f>
        <v>PASS</v>
      </c>
      <c r="Q637" s="20" t="str">
        <f aca="false">IF('Raw Catalog'!P635&lt;&gt;"","PASS","FAIL - No Image")</f>
        <v>PASS</v>
      </c>
      <c r="R637" s="20" t="str">
        <f aca="false">IF(F637&lt;&gt;"","PASS","FAIL - No Brand")</f>
        <v>PASS</v>
      </c>
      <c r="S637" s="20" t="str">
        <f aca="true">IF(K637="","FAIL - No Date",IF(TODAY()-DATEVALUE(K637)&lt;=180,"PASS","FLAG - Stale &gt;180d"))</f>
        <v>FLAG - Stale &gt;180d</v>
      </c>
      <c r="T637" s="20" t="n">
        <f aca="false">COUNTIF(M637:S637,"FAIL*")+COUNTIF(M637:S637,"FLAG*")</f>
        <v>1</v>
      </c>
      <c r="U637" s="20" t="str">
        <f aca="false">IF(T637=0,"CLEAN",IF(T637=1,"MINOR",IF(T637&lt;=3,"MODERATE","CRITICAL")))</f>
        <v>MINOR</v>
      </c>
      <c r="V637" s="20" t="str">
        <f aca="false">IF(U637="CLEAN","None",IF(U637="MINOR","Seller Notify",IF(U637="MODERATE","Listing Suspended","Immediate Removal")))</f>
        <v>Seller Notify</v>
      </c>
    </row>
    <row r="638" customFormat="false" ht="18" hidden="false" customHeight="true" outlineLevel="0" collapsed="false">
      <c r="A638" s="19" t="s">
        <v>6715</v>
      </c>
      <c r="B638" s="19" t="s">
        <v>4172</v>
      </c>
      <c r="C638" s="19" t="s">
        <v>48</v>
      </c>
      <c r="D638" s="19" t="s">
        <v>49</v>
      </c>
      <c r="E638" s="19" t="s">
        <v>79</v>
      </c>
      <c r="F638" s="19" t="s">
        <v>956</v>
      </c>
      <c r="G638" s="19" t="s">
        <v>4174</v>
      </c>
      <c r="H638" s="19" t="s">
        <v>4175</v>
      </c>
      <c r="I638" s="19" t="s">
        <v>4176</v>
      </c>
      <c r="J638" s="19" t="n">
        <v>1692.42</v>
      </c>
      <c r="K638" s="19" t="s">
        <v>722</v>
      </c>
      <c r="L638" s="19"/>
      <c r="M638" s="20" t="str">
        <f aca="false">IF(G638&lt;&gt;"","PASS","FAIL - Missing UPC")</f>
        <v>PASS</v>
      </c>
      <c r="N638" s="20" t="str">
        <f aca="false">IF(AND(G638&lt;&gt;"",H638&lt;&gt;""),IF("0"&amp;G638=H638,"PASS","FAIL - GTIN Mismatch"),"SKIP")</f>
        <v>PASS</v>
      </c>
      <c r="O638" s="20" t="str">
        <f aca="false">IF(I638="","FAIL - No Title",IF(LEN(I638)&lt;=126,"PASS","FAIL - Title &gt;"&amp;126&amp;" chars"))</f>
        <v>PASS</v>
      </c>
      <c r="P638" s="20" t="str">
        <f aca="false">IF(J638&gt;0,IF(J638&lt;5000,"PASS","FLAG - Review Price"),"FAIL - Zero Price")</f>
        <v>PASS</v>
      </c>
      <c r="Q638" s="20" t="str">
        <f aca="false">IF('Raw Catalog'!P636&lt;&gt;"","PASS","FAIL - No Image")</f>
        <v>PASS</v>
      </c>
      <c r="R638" s="20" t="str">
        <f aca="false">IF(F638&lt;&gt;"","PASS","FAIL - No Brand")</f>
        <v>PASS</v>
      </c>
      <c r="S638" s="20" t="str">
        <f aca="true">IF(K638="","FAIL - No Date",IF(TODAY()-DATEVALUE(K638)&lt;=180,"PASS","FLAG - Stale &gt;180d"))</f>
        <v>FLAG - Stale &gt;180d</v>
      </c>
      <c r="T638" s="20" t="n">
        <f aca="false">COUNTIF(M638:S638,"FAIL*")+COUNTIF(M638:S638,"FLAG*")</f>
        <v>1</v>
      </c>
      <c r="U638" s="20" t="str">
        <f aca="false">IF(T638=0,"CLEAN",IF(T638=1,"MINOR",IF(T638&lt;=3,"MODERATE","CRITICAL")))</f>
        <v>MINOR</v>
      </c>
      <c r="V638" s="20" t="str">
        <f aca="false">IF(U638="CLEAN","None",IF(U638="MINOR","Seller Notify",IF(U638="MODERATE","Listing Suspended","Immediate Removal")))</f>
        <v>Seller Notify</v>
      </c>
    </row>
    <row r="639" customFormat="false" ht="18" hidden="false" customHeight="true" outlineLevel="0" collapsed="false">
      <c r="A639" s="19" t="s">
        <v>6716</v>
      </c>
      <c r="B639" s="19" t="s">
        <v>4177</v>
      </c>
      <c r="C639" s="19" t="s">
        <v>48</v>
      </c>
      <c r="D639" s="19" t="s">
        <v>49</v>
      </c>
      <c r="E639" s="19" t="s">
        <v>65</v>
      </c>
      <c r="F639" s="19" t="s">
        <v>371</v>
      </c>
      <c r="G639" s="19" t="s">
        <v>4179</v>
      </c>
      <c r="H639" s="19" t="s">
        <v>4180</v>
      </c>
      <c r="I639" s="19" t="s">
        <v>2106</v>
      </c>
      <c r="J639" s="19" t="n">
        <v>221.77</v>
      </c>
      <c r="K639" s="19" t="s">
        <v>1652</v>
      </c>
      <c r="L639" s="19"/>
      <c r="M639" s="20" t="str">
        <f aca="false">IF(G639&lt;&gt;"","PASS","FAIL - Missing UPC")</f>
        <v>PASS</v>
      </c>
      <c r="N639" s="20" t="str">
        <f aca="false">IF(AND(G639&lt;&gt;"",H639&lt;&gt;""),IF("0"&amp;G639=H639,"PASS","FAIL - GTIN Mismatch"),"SKIP")</f>
        <v>PASS</v>
      </c>
      <c r="O639" s="20" t="str">
        <f aca="false">IF(I639="","FAIL - No Title",IF(LEN(I639)&lt;=126,"PASS","FAIL - Title &gt;"&amp;126&amp;" chars"))</f>
        <v>PASS</v>
      </c>
      <c r="P639" s="20" t="str">
        <f aca="false">IF(J639&gt;0,IF(J639&lt;5000,"PASS","FLAG - Review Price"),"FAIL - Zero Price")</f>
        <v>PASS</v>
      </c>
      <c r="Q639" s="20" t="str">
        <f aca="false">IF('Raw Catalog'!P637&lt;&gt;"","PASS","FAIL - No Image")</f>
        <v>PASS</v>
      </c>
      <c r="R639" s="20" t="str">
        <f aca="false">IF(F639&lt;&gt;"","PASS","FAIL - No Brand")</f>
        <v>PASS</v>
      </c>
      <c r="S639" s="20" t="str">
        <f aca="true">IF(K639="","FAIL - No Date",IF(TODAY()-DATEVALUE(K639)&lt;=180,"PASS","FLAG - Stale &gt;180d"))</f>
        <v>FLAG - Stale &gt;180d</v>
      </c>
      <c r="T639" s="20" t="n">
        <f aca="false">COUNTIF(M639:S639,"FAIL*")+COUNTIF(M639:S639,"FLAG*")</f>
        <v>1</v>
      </c>
      <c r="U639" s="20" t="str">
        <f aca="false">IF(T639=0,"CLEAN",IF(T639=1,"MINOR",IF(T639&lt;=3,"MODERATE","CRITICAL")))</f>
        <v>MINOR</v>
      </c>
      <c r="V639" s="20" t="str">
        <f aca="false">IF(U639="CLEAN","None",IF(U639="MINOR","Seller Notify",IF(U639="MODERATE","Listing Suspended","Immediate Removal")))</f>
        <v>Seller Notify</v>
      </c>
    </row>
    <row r="640" customFormat="false" ht="18" hidden="false" customHeight="true" outlineLevel="0" collapsed="false">
      <c r="A640" s="19" t="s">
        <v>6717</v>
      </c>
      <c r="B640" s="19" t="s">
        <v>4181</v>
      </c>
      <c r="C640" s="19" t="s">
        <v>77</v>
      </c>
      <c r="D640" s="19" t="s">
        <v>78</v>
      </c>
      <c r="E640" s="19" t="s">
        <v>65</v>
      </c>
      <c r="F640" s="19" t="s">
        <v>66</v>
      </c>
      <c r="G640" s="19" t="s">
        <v>4183</v>
      </c>
      <c r="H640" s="19" t="s">
        <v>4184</v>
      </c>
      <c r="I640" s="19" t="s">
        <v>1175</v>
      </c>
      <c r="J640" s="19" t="n">
        <v>390.41</v>
      </c>
      <c r="K640" s="19" t="s">
        <v>1026</v>
      </c>
      <c r="L640" s="19"/>
      <c r="M640" s="20" t="str">
        <f aca="false">IF(G640&lt;&gt;"","PASS","FAIL - Missing UPC")</f>
        <v>PASS</v>
      </c>
      <c r="N640" s="20" t="str">
        <f aca="false">IF(AND(G640&lt;&gt;"",H640&lt;&gt;""),IF("0"&amp;G640=H640,"PASS","FAIL - GTIN Mismatch"),"SKIP")</f>
        <v>PASS</v>
      </c>
      <c r="O640" s="20" t="str">
        <f aca="false">IF(I640="","FAIL - No Title",IF(LEN(I640)&lt;=126,"PASS","FAIL - Title &gt;"&amp;126&amp;" chars"))</f>
        <v>PASS</v>
      </c>
      <c r="P640" s="20" t="str">
        <f aca="false">IF(J640&gt;0,IF(J640&lt;5000,"PASS","FLAG - Review Price"),"FAIL - Zero Price")</f>
        <v>PASS</v>
      </c>
      <c r="Q640" s="20" t="str">
        <f aca="false">IF('Raw Catalog'!P638&lt;&gt;"","PASS","FAIL - No Image")</f>
        <v>PASS</v>
      </c>
      <c r="R640" s="20" t="str">
        <f aca="false">IF(F640&lt;&gt;"","PASS","FAIL - No Brand")</f>
        <v>PASS</v>
      </c>
      <c r="S640" s="20" t="str">
        <f aca="true">IF(K640="","FAIL - No Date",IF(TODAY()-DATEVALUE(K640)&lt;=180,"PASS","FLAG - Stale &gt;180d"))</f>
        <v>FLAG - Stale &gt;180d</v>
      </c>
      <c r="T640" s="20" t="n">
        <f aca="false">COUNTIF(M640:S640,"FAIL*")+COUNTIF(M640:S640,"FLAG*")</f>
        <v>1</v>
      </c>
      <c r="U640" s="20" t="str">
        <f aca="false">IF(T640=0,"CLEAN",IF(T640=1,"MINOR",IF(T640&lt;=3,"MODERATE","CRITICAL")))</f>
        <v>MINOR</v>
      </c>
      <c r="V640" s="20" t="str">
        <f aca="false">IF(U640="CLEAN","None",IF(U640="MINOR","Seller Notify",IF(U640="MODERATE","Listing Suspended","Immediate Removal")))</f>
        <v>Seller Notify</v>
      </c>
    </row>
    <row r="641" customFormat="false" ht="18" hidden="false" customHeight="true" outlineLevel="0" collapsed="false">
      <c r="A641" s="19" t="s">
        <v>6718</v>
      </c>
      <c r="B641" s="19" t="s">
        <v>4185</v>
      </c>
      <c r="C641" s="19" t="s">
        <v>159</v>
      </c>
      <c r="D641" s="19" t="s">
        <v>160</v>
      </c>
      <c r="E641" s="19" t="s">
        <v>79</v>
      </c>
      <c r="F641" s="19" t="s">
        <v>127</v>
      </c>
      <c r="G641" s="19" t="s">
        <v>4187</v>
      </c>
      <c r="H641" s="19" t="s">
        <v>4188</v>
      </c>
      <c r="I641" s="19" t="s">
        <v>4189</v>
      </c>
      <c r="J641" s="19" t="n">
        <v>798.44</v>
      </c>
      <c r="K641" s="19" t="s">
        <v>4191</v>
      </c>
      <c r="L641" s="21" t="s">
        <v>325</v>
      </c>
      <c r="M641" s="20" t="str">
        <f aca="false">IF(G641&lt;&gt;"","PASS","FAIL - Missing UPC")</f>
        <v>PASS</v>
      </c>
      <c r="N641" s="20" t="str">
        <f aca="false">IF(AND(G641&lt;&gt;"",H641&lt;&gt;""),IF("0"&amp;G641=H641,"PASS","FAIL - GTIN Mismatch"),"SKIP")</f>
        <v>PASS</v>
      </c>
      <c r="O641" s="20" t="str">
        <f aca="false">IF(I641="","FAIL - No Title",IF(LEN(I641)&lt;=126,"PASS","FAIL - Title &gt;"&amp;126&amp;" chars"))</f>
        <v>PASS</v>
      </c>
      <c r="P641" s="20" t="str">
        <f aca="false">IF(J641&gt;0,IF(J641&lt;5000,"PASS","FLAG - Review Price"),"FAIL - Zero Price")</f>
        <v>PASS</v>
      </c>
      <c r="Q641" s="20" t="str">
        <f aca="false">IF('Raw Catalog'!P639&lt;&gt;"","PASS","FAIL - No Image")</f>
        <v>PASS</v>
      </c>
      <c r="R641" s="20" t="str">
        <f aca="false">IF(F641&lt;&gt;"","PASS","FAIL - No Brand")</f>
        <v>PASS</v>
      </c>
      <c r="S641" s="20" t="str">
        <f aca="true">IF(K641="","FAIL - No Date",IF(TODAY()-DATEVALUE(K641)&lt;=180,"PASS","FLAG - Stale &gt;180d"))</f>
        <v>FLAG - Stale &gt;180d</v>
      </c>
      <c r="T641" s="20" t="n">
        <f aca="false">COUNTIF(M641:S641,"FAIL*")+COUNTIF(M641:S641,"FLAG*")</f>
        <v>1</v>
      </c>
      <c r="U641" s="20" t="str">
        <f aca="false">IF(T641=0,"CLEAN",IF(T641=1,"MINOR",IF(T641&lt;=3,"MODERATE","CRITICAL")))</f>
        <v>MINOR</v>
      </c>
      <c r="V641" s="20" t="str">
        <f aca="false">IF(U641="CLEAN","None",IF(U641="MINOR","Seller Notify",IF(U641="MODERATE","Listing Suspended","Immediate Removal")))</f>
        <v>Seller Notify</v>
      </c>
    </row>
    <row r="642" customFormat="false" ht="18" hidden="false" customHeight="true" outlineLevel="0" collapsed="false">
      <c r="A642" s="19" t="s">
        <v>6719</v>
      </c>
      <c r="B642" s="19" t="s">
        <v>4192</v>
      </c>
      <c r="C642" s="19" t="s">
        <v>159</v>
      </c>
      <c r="D642" s="19" t="s">
        <v>160</v>
      </c>
      <c r="E642" s="19" t="s">
        <v>50</v>
      </c>
      <c r="F642" s="19" t="s">
        <v>127</v>
      </c>
      <c r="G642" s="19" t="s">
        <v>4194</v>
      </c>
      <c r="H642" s="19" t="s">
        <v>4195</v>
      </c>
      <c r="I642" s="19" t="s">
        <v>4196</v>
      </c>
      <c r="J642" s="19" t="n">
        <v>456.9</v>
      </c>
      <c r="K642" s="19" t="s">
        <v>3734</v>
      </c>
      <c r="L642" s="19"/>
      <c r="M642" s="20" t="str">
        <f aca="false">IF(G642&lt;&gt;"","PASS","FAIL - Missing UPC")</f>
        <v>PASS</v>
      </c>
      <c r="N642" s="20" t="str">
        <f aca="false">IF(AND(G642&lt;&gt;"",H642&lt;&gt;""),IF("0"&amp;G642=H642,"PASS","FAIL - GTIN Mismatch"),"SKIP")</f>
        <v>PASS</v>
      </c>
      <c r="O642" s="20" t="str">
        <f aca="false">IF(I642="","FAIL - No Title",IF(LEN(I642)&lt;=126,"PASS","FAIL - Title &gt;"&amp;126&amp;" chars"))</f>
        <v>PASS</v>
      </c>
      <c r="P642" s="20" t="str">
        <f aca="false">IF(J642&gt;0,IF(J642&lt;5000,"PASS","FLAG - Review Price"),"FAIL - Zero Price")</f>
        <v>PASS</v>
      </c>
      <c r="Q642" s="20" t="str">
        <f aca="false">IF('Raw Catalog'!P640&lt;&gt;"","PASS","FAIL - No Image")</f>
        <v>PASS</v>
      </c>
      <c r="R642" s="20" t="str">
        <f aca="false">IF(F642&lt;&gt;"","PASS","FAIL - No Brand")</f>
        <v>PASS</v>
      </c>
      <c r="S642" s="20" t="str">
        <f aca="true">IF(K642="","FAIL - No Date",IF(TODAY()-DATEVALUE(K642)&lt;=180,"PASS","FLAG - Stale &gt;180d"))</f>
        <v>FLAG - Stale &gt;180d</v>
      </c>
      <c r="T642" s="20" t="n">
        <f aca="false">COUNTIF(M642:S642,"FAIL*")+COUNTIF(M642:S642,"FLAG*")</f>
        <v>1</v>
      </c>
      <c r="U642" s="20" t="str">
        <f aca="false">IF(T642=0,"CLEAN",IF(T642=1,"MINOR",IF(T642&lt;=3,"MODERATE","CRITICAL")))</f>
        <v>MINOR</v>
      </c>
      <c r="V642" s="20" t="str">
        <f aca="false">IF(U642="CLEAN","None",IF(U642="MINOR","Seller Notify",IF(U642="MODERATE","Listing Suspended","Immediate Removal")))</f>
        <v>Seller Notify</v>
      </c>
    </row>
    <row r="643" customFormat="false" ht="18" hidden="false" customHeight="true" outlineLevel="0" collapsed="false">
      <c r="A643" s="19" t="s">
        <v>6720</v>
      </c>
      <c r="B643" s="19" t="s">
        <v>4198</v>
      </c>
      <c r="C643" s="19" t="s">
        <v>63</v>
      </c>
      <c r="D643" s="19" t="s">
        <v>64</v>
      </c>
      <c r="E643" s="19" t="s">
        <v>161</v>
      </c>
      <c r="F643" s="19" t="s">
        <v>51</v>
      </c>
      <c r="G643" s="19" t="s">
        <v>4200</v>
      </c>
      <c r="H643" s="19" t="s">
        <v>4201</v>
      </c>
      <c r="I643" s="19" t="s">
        <v>4202</v>
      </c>
      <c r="J643" s="19" t="n">
        <v>491.5</v>
      </c>
      <c r="K643" s="19" t="s">
        <v>2224</v>
      </c>
      <c r="L643" s="19"/>
      <c r="M643" s="20" t="str">
        <f aca="false">IF(G643&lt;&gt;"","PASS","FAIL - Missing UPC")</f>
        <v>PASS</v>
      </c>
      <c r="N643" s="20" t="str">
        <f aca="false">IF(AND(G643&lt;&gt;"",H643&lt;&gt;""),IF("0"&amp;G643=H643,"PASS","FAIL - GTIN Mismatch"),"SKIP")</f>
        <v>PASS</v>
      </c>
      <c r="O643" s="20" t="str">
        <f aca="false">IF(I643="","FAIL - No Title",IF(LEN(I643)&lt;=126,"PASS","FAIL - Title &gt;"&amp;126&amp;" chars"))</f>
        <v>PASS</v>
      </c>
      <c r="P643" s="20" t="str">
        <f aca="false">IF(J643&gt;0,IF(J643&lt;5000,"PASS","FLAG - Review Price"),"FAIL - Zero Price")</f>
        <v>PASS</v>
      </c>
      <c r="Q643" s="20" t="str">
        <f aca="false">IF('Raw Catalog'!P641&lt;&gt;"","PASS","FAIL - No Image")</f>
        <v>PASS</v>
      </c>
      <c r="R643" s="20" t="str">
        <f aca="false">IF(F643&lt;&gt;"","PASS","FAIL - No Brand")</f>
        <v>PASS</v>
      </c>
      <c r="S643" s="20" t="str">
        <f aca="true">IF(K643="","FAIL - No Date",IF(TODAY()-DATEVALUE(K643)&lt;=180,"PASS","FLAG - Stale &gt;180d"))</f>
        <v>FLAG - Stale &gt;180d</v>
      </c>
      <c r="T643" s="20" t="n">
        <f aca="false">COUNTIF(M643:S643,"FAIL*")+COUNTIF(M643:S643,"FLAG*")</f>
        <v>1</v>
      </c>
      <c r="U643" s="20" t="str">
        <f aca="false">IF(T643=0,"CLEAN",IF(T643=1,"MINOR",IF(T643&lt;=3,"MODERATE","CRITICAL")))</f>
        <v>MINOR</v>
      </c>
      <c r="V643" s="20" t="str">
        <f aca="false">IF(U643="CLEAN","None",IF(U643="MINOR","Seller Notify",IF(U643="MODERATE","Listing Suspended","Immediate Removal")))</f>
        <v>Seller Notify</v>
      </c>
    </row>
    <row r="644" customFormat="false" ht="18" hidden="false" customHeight="true" outlineLevel="0" collapsed="false">
      <c r="A644" s="19" t="s">
        <v>6721</v>
      </c>
      <c r="B644" s="19" t="s">
        <v>4203</v>
      </c>
      <c r="C644" s="19" t="s">
        <v>48</v>
      </c>
      <c r="D644" s="19" t="s">
        <v>49</v>
      </c>
      <c r="E644" s="19" t="s">
        <v>65</v>
      </c>
      <c r="F644" s="19" t="s">
        <v>227</v>
      </c>
      <c r="G644" s="19" t="s">
        <v>4205</v>
      </c>
      <c r="H644" s="19" t="s">
        <v>4206</v>
      </c>
      <c r="I644" s="19" t="s">
        <v>231</v>
      </c>
      <c r="J644" s="19" t="n">
        <v>400.14</v>
      </c>
      <c r="K644" s="19" t="s">
        <v>595</v>
      </c>
      <c r="L644" s="19"/>
      <c r="M644" s="20" t="str">
        <f aca="false">IF(G644&lt;&gt;"","PASS","FAIL - Missing UPC")</f>
        <v>PASS</v>
      </c>
      <c r="N644" s="20" t="str">
        <f aca="false">IF(AND(G644&lt;&gt;"",H644&lt;&gt;""),IF("0"&amp;G644=H644,"PASS","FAIL - GTIN Mismatch"),"SKIP")</f>
        <v>PASS</v>
      </c>
      <c r="O644" s="20" t="str">
        <f aca="false">IF(I644="","FAIL - No Title",IF(LEN(I644)&lt;=126,"PASS","FAIL - Title &gt;"&amp;126&amp;" chars"))</f>
        <v>PASS</v>
      </c>
      <c r="P644" s="20" t="str">
        <f aca="false">IF(J644&gt;0,IF(J644&lt;5000,"PASS","FLAG - Review Price"),"FAIL - Zero Price")</f>
        <v>PASS</v>
      </c>
      <c r="Q644" s="20" t="str">
        <f aca="false">IF('Raw Catalog'!P642&lt;&gt;"","PASS","FAIL - No Image")</f>
        <v>PASS</v>
      </c>
      <c r="R644" s="20" t="str">
        <f aca="false">IF(F644&lt;&gt;"","PASS","FAIL - No Brand")</f>
        <v>PASS</v>
      </c>
      <c r="S644" s="20" t="str">
        <f aca="true">IF(K644="","FAIL - No Date",IF(TODAY()-DATEVALUE(K644)&lt;=180,"PASS","FLAG - Stale &gt;180d"))</f>
        <v>FLAG - Stale &gt;180d</v>
      </c>
      <c r="T644" s="20" t="n">
        <f aca="false">COUNTIF(M644:S644,"FAIL*")+COUNTIF(M644:S644,"FLAG*")</f>
        <v>1</v>
      </c>
      <c r="U644" s="20" t="str">
        <f aca="false">IF(T644=0,"CLEAN",IF(T644=1,"MINOR",IF(T644&lt;=3,"MODERATE","CRITICAL")))</f>
        <v>MINOR</v>
      </c>
      <c r="V644" s="20" t="str">
        <f aca="false">IF(U644="CLEAN","None",IF(U644="MINOR","Seller Notify",IF(U644="MODERATE","Listing Suspended","Immediate Removal")))</f>
        <v>Seller Notify</v>
      </c>
    </row>
    <row r="645" customFormat="false" ht="18" hidden="false" customHeight="true" outlineLevel="0" collapsed="false">
      <c r="A645" s="19" t="s">
        <v>6722</v>
      </c>
      <c r="B645" s="19" t="s">
        <v>4207</v>
      </c>
      <c r="C645" s="19" t="s">
        <v>48</v>
      </c>
      <c r="D645" s="19" t="s">
        <v>49</v>
      </c>
      <c r="E645" s="19" t="s">
        <v>50</v>
      </c>
      <c r="F645" s="19" t="s">
        <v>138</v>
      </c>
      <c r="G645" s="19" t="s">
        <v>4209</v>
      </c>
      <c r="H645" s="19" t="s">
        <v>4210</v>
      </c>
      <c r="I645" s="19" t="s">
        <v>4211</v>
      </c>
      <c r="J645" s="19" t="n">
        <v>625.46</v>
      </c>
      <c r="K645" s="19" t="s">
        <v>576</v>
      </c>
      <c r="L645" s="19"/>
      <c r="M645" s="20" t="str">
        <f aca="false">IF(G645&lt;&gt;"","PASS","FAIL - Missing UPC")</f>
        <v>PASS</v>
      </c>
      <c r="N645" s="20" t="str">
        <f aca="false">IF(AND(G645&lt;&gt;"",H645&lt;&gt;""),IF("0"&amp;G645=H645,"PASS","FAIL - GTIN Mismatch"),"SKIP")</f>
        <v>PASS</v>
      </c>
      <c r="O645" s="20" t="str">
        <f aca="false">IF(I645="","FAIL - No Title",IF(LEN(I645)&lt;=126,"PASS","FAIL - Title &gt;"&amp;126&amp;" chars"))</f>
        <v>PASS</v>
      </c>
      <c r="P645" s="20" t="str">
        <f aca="false">IF(J645&gt;0,IF(J645&lt;5000,"PASS","FLAG - Review Price"),"FAIL - Zero Price")</f>
        <v>PASS</v>
      </c>
      <c r="Q645" s="20" t="str">
        <f aca="false">IF('Raw Catalog'!P643&lt;&gt;"","PASS","FAIL - No Image")</f>
        <v>PASS</v>
      </c>
      <c r="R645" s="20" t="str">
        <f aca="false">IF(F645&lt;&gt;"","PASS","FAIL - No Brand")</f>
        <v>PASS</v>
      </c>
      <c r="S645" s="20" t="str">
        <f aca="true">IF(K645="","FAIL - No Date",IF(TODAY()-DATEVALUE(K645)&lt;=180,"PASS","FLAG - Stale &gt;180d"))</f>
        <v>FLAG - Stale &gt;180d</v>
      </c>
      <c r="T645" s="20" t="n">
        <f aca="false">COUNTIF(M645:S645,"FAIL*")+COUNTIF(M645:S645,"FLAG*")</f>
        <v>1</v>
      </c>
      <c r="U645" s="20" t="str">
        <f aca="false">IF(T645=0,"CLEAN",IF(T645=1,"MINOR",IF(T645&lt;=3,"MODERATE","CRITICAL")))</f>
        <v>MINOR</v>
      </c>
      <c r="V645" s="20" t="str">
        <f aca="false">IF(U645="CLEAN","None",IF(U645="MINOR","Seller Notify",IF(U645="MODERATE","Listing Suspended","Immediate Removal")))</f>
        <v>Seller Notify</v>
      </c>
    </row>
    <row r="646" customFormat="false" ht="18" hidden="false" customHeight="true" outlineLevel="0" collapsed="false">
      <c r="A646" s="19" t="s">
        <v>6723</v>
      </c>
      <c r="B646" s="19" t="s">
        <v>4213</v>
      </c>
      <c r="C646" s="19" t="s">
        <v>255</v>
      </c>
      <c r="D646" s="19" t="s">
        <v>256</v>
      </c>
      <c r="E646" s="19" t="s">
        <v>161</v>
      </c>
      <c r="F646" s="19" t="s">
        <v>295</v>
      </c>
      <c r="G646" s="19" t="s">
        <v>4215</v>
      </c>
      <c r="H646" s="19" t="s">
        <v>4216</v>
      </c>
      <c r="I646" s="19" t="s">
        <v>4217</v>
      </c>
      <c r="J646" s="19" t="n">
        <v>417.88</v>
      </c>
      <c r="K646" s="19" t="s">
        <v>1669</v>
      </c>
      <c r="L646" s="19"/>
      <c r="M646" s="20" t="str">
        <f aca="false">IF(G646&lt;&gt;"","PASS","FAIL - Missing UPC")</f>
        <v>PASS</v>
      </c>
      <c r="N646" s="20" t="str">
        <f aca="false">IF(AND(G646&lt;&gt;"",H646&lt;&gt;""),IF("0"&amp;G646=H646,"PASS","FAIL - GTIN Mismatch"),"SKIP")</f>
        <v>PASS</v>
      </c>
      <c r="O646" s="20" t="str">
        <f aca="false">IF(I646="","FAIL - No Title",IF(LEN(I646)&lt;=126,"PASS","FAIL - Title &gt;"&amp;126&amp;" chars"))</f>
        <v>PASS</v>
      </c>
      <c r="P646" s="20" t="str">
        <f aca="false">IF(J646&gt;0,IF(J646&lt;5000,"PASS","FLAG - Review Price"),"FAIL - Zero Price")</f>
        <v>PASS</v>
      </c>
      <c r="Q646" s="20" t="str">
        <f aca="false">IF('Raw Catalog'!P644&lt;&gt;"","PASS","FAIL - No Image")</f>
        <v>PASS</v>
      </c>
      <c r="R646" s="20" t="str">
        <f aca="false">IF(F646&lt;&gt;"","PASS","FAIL - No Brand")</f>
        <v>PASS</v>
      </c>
      <c r="S646" s="20" t="str">
        <f aca="true">IF(K646="","FAIL - No Date",IF(TODAY()-DATEVALUE(K646)&lt;=180,"PASS","FLAG - Stale &gt;180d"))</f>
        <v>FLAG - Stale &gt;180d</v>
      </c>
      <c r="T646" s="20" t="n">
        <f aca="false">COUNTIF(M646:S646,"FAIL*")+COUNTIF(M646:S646,"FLAG*")</f>
        <v>1</v>
      </c>
      <c r="U646" s="20" t="str">
        <f aca="false">IF(T646=0,"CLEAN",IF(T646=1,"MINOR",IF(T646&lt;=3,"MODERATE","CRITICAL")))</f>
        <v>MINOR</v>
      </c>
      <c r="V646" s="20" t="str">
        <f aca="false">IF(U646="CLEAN","None",IF(U646="MINOR","Seller Notify",IF(U646="MODERATE","Listing Suspended","Immediate Removal")))</f>
        <v>Seller Notify</v>
      </c>
    </row>
    <row r="647" customFormat="false" ht="18" hidden="false" customHeight="true" outlineLevel="0" collapsed="false">
      <c r="A647" s="19" t="s">
        <v>6724</v>
      </c>
      <c r="B647" s="19" t="s">
        <v>4218</v>
      </c>
      <c r="C647" s="19" t="s">
        <v>113</v>
      </c>
      <c r="D647" s="19" t="s">
        <v>114</v>
      </c>
      <c r="E647" s="19" t="s">
        <v>50</v>
      </c>
      <c r="F647" s="19" t="s">
        <v>115</v>
      </c>
      <c r="G647" s="19" t="s">
        <v>4220</v>
      </c>
      <c r="H647" s="19" t="s">
        <v>4221</v>
      </c>
      <c r="I647" s="19" t="s">
        <v>2497</v>
      </c>
      <c r="J647" s="19" t="n">
        <v>263.26</v>
      </c>
      <c r="K647" s="19" t="s">
        <v>1260</v>
      </c>
      <c r="L647" s="19"/>
      <c r="M647" s="20" t="str">
        <f aca="false">IF(G647&lt;&gt;"","PASS","FAIL - Missing UPC")</f>
        <v>PASS</v>
      </c>
      <c r="N647" s="20" t="str">
        <f aca="false">IF(AND(G647&lt;&gt;"",H647&lt;&gt;""),IF("0"&amp;G647=H647,"PASS","FAIL - GTIN Mismatch"),"SKIP")</f>
        <v>PASS</v>
      </c>
      <c r="O647" s="20" t="str">
        <f aca="false">IF(I647="","FAIL - No Title",IF(LEN(I647)&lt;=126,"PASS","FAIL - Title &gt;"&amp;126&amp;" chars"))</f>
        <v>PASS</v>
      </c>
      <c r="P647" s="20" t="str">
        <f aca="false">IF(J647&gt;0,IF(J647&lt;5000,"PASS","FLAG - Review Price"),"FAIL - Zero Price")</f>
        <v>PASS</v>
      </c>
      <c r="Q647" s="20" t="str">
        <f aca="false">IF('Raw Catalog'!P645&lt;&gt;"","PASS","FAIL - No Image")</f>
        <v>PASS</v>
      </c>
      <c r="R647" s="20" t="str">
        <f aca="false">IF(F647&lt;&gt;"","PASS","FAIL - No Brand")</f>
        <v>PASS</v>
      </c>
      <c r="S647" s="20" t="str">
        <f aca="true">IF(K647="","FAIL - No Date",IF(TODAY()-DATEVALUE(K647)&lt;=180,"PASS","FLAG - Stale &gt;180d"))</f>
        <v>FLAG - Stale &gt;180d</v>
      </c>
      <c r="T647" s="20" t="n">
        <f aca="false">COUNTIF(M647:S647,"FAIL*")+COUNTIF(M647:S647,"FLAG*")</f>
        <v>1</v>
      </c>
      <c r="U647" s="20" t="str">
        <f aca="false">IF(T647=0,"CLEAN",IF(T647=1,"MINOR",IF(T647&lt;=3,"MODERATE","CRITICAL")))</f>
        <v>MINOR</v>
      </c>
      <c r="V647" s="20" t="str">
        <f aca="false">IF(U647="CLEAN","None",IF(U647="MINOR","Seller Notify",IF(U647="MODERATE","Listing Suspended","Immediate Removal")))</f>
        <v>Seller Notify</v>
      </c>
    </row>
    <row r="648" customFormat="false" ht="18" hidden="false" customHeight="true" outlineLevel="0" collapsed="false">
      <c r="A648" s="19" t="s">
        <v>6725</v>
      </c>
      <c r="B648" s="19" t="s">
        <v>4222</v>
      </c>
      <c r="C648" s="19" t="s">
        <v>63</v>
      </c>
      <c r="D648" s="19" t="s">
        <v>64</v>
      </c>
      <c r="E648" s="19" t="s">
        <v>50</v>
      </c>
      <c r="F648" s="19" t="s">
        <v>127</v>
      </c>
      <c r="G648" s="19" t="s">
        <v>4224</v>
      </c>
      <c r="H648" s="19" t="s">
        <v>4225</v>
      </c>
      <c r="I648" s="19" t="s">
        <v>4226</v>
      </c>
      <c r="J648" s="19" t="n">
        <v>1135.17</v>
      </c>
      <c r="K648" s="19" t="s">
        <v>697</v>
      </c>
      <c r="L648" s="19"/>
      <c r="M648" s="20" t="str">
        <f aca="false">IF(G648&lt;&gt;"","PASS","FAIL - Missing UPC")</f>
        <v>PASS</v>
      </c>
      <c r="N648" s="20" t="str">
        <f aca="false">IF(AND(G648&lt;&gt;"",H648&lt;&gt;""),IF("0"&amp;G648=H648,"PASS","FAIL - GTIN Mismatch"),"SKIP")</f>
        <v>PASS</v>
      </c>
      <c r="O648" s="20" t="str">
        <f aca="false">IF(I648="","FAIL - No Title",IF(LEN(I648)&lt;=126,"PASS","FAIL - Title &gt;"&amp;126&amp;" chars"))</f>
        <v>PASS</v>
      </c>
      <c r="P648" s="20" t="str">
        <f aca="false">IF(J648&gt;0,IF(J648&lt;5000,"PASS","FLAG - Review Price"),"FAIL - Zero Price")</f>
        <v>PASS</v>
      </c>
      <c r="Q648" s="20" t="str">
        <f aca="false">IF('Raw Catalog'!P646&lt;&gt;"","PASS","FAIL - No Image")</f>
        <v>PASS</v>
      </c>
      <c r="R648" s="20" t="str">
        <f aca="false">IF(F648&lt;&gt;"","PASS","FAIL - No Brand")</f>
        <v>PASS</v>
      </c>
      <c r="S648" s="20" t="str">
        <f aca="true">IF(K648="","FAIL - No Date",IF(TODAY()-DATEVALUE(K648)&lt;=180,"PASS","FLAG - Stale &gt;180d"))</f>
        <v>FLAG - Stale &gt;180d</v>
      </c>
      <c r="T648" s="20" t="n">
        <f aca="false">COUNTIF(M648:S648,"FAIL*")+COUNTIF(M648:S648,"FLAG*")</f>
        <v>1</v>
      </c>
      <c r="U648" s="20" t="str">
        <f aca="false">IF(T648=0,"CLEAN",IF(T648=1,"MINOR",IF(T648&lt;=3,"MODERATE","CRITICAL")))</f>
        <v>MINOR</v>
      </c>
      <c r="V648" s="20" t="str">
        <f aca="false">IF(U648="CLEAN","None",IF(U648="MINOR","Seller Notify",IF(U648="MODERATE","Listing Suspended","Immediate Removal")))</f>
        <v>Seller Notify</v>
      </c>
    </row>
    <row r="649" customFormat="false" ht="18" hidden="false" customHeight="true" outlineLevel="0" collapsed="false">
      <c r="A649" s="19" t="s">
        <v>6726</v>
      </c>
      <c r="B649" s="19" t="s">
        <v>4228</v>
      </c>
      <c r="C649" s="19" t="s">
        <v>63</v>
      </c>
      <c r="D649" s="19" t="s">
        <v>64</v>
      </c>
      <c r="E649" s="19" t="s">
        <v>79</v>
      </c>
      <c r="F649" s="19" t="s">
        <v>1531</v>
      </c>
      <c r="G649" s="19" t="s">
        <v>4230</v>
      </c>
      <c r="H649" s="19" t="s">
        <v>4231</v>
      </c>
      <c r="I649" s="19" t="s">
        <v>4232</v>
      </c>
      <c r="J649" s="19" t="n">
        <v>1968.36</v>
      </c>
      <c r="K649" s="19" t="s">
        <v>3166</v>
      </c>
      <c r="L649" s="19"/>
      <c r="M649" s="20" t="str">
        <f aca="false">IF(G649&lt;&gt;"","PASS","FAIL - Missing UPC")</f>
        <v>PASS</v>
      </c>
      <c r="N649" s="20" t="str">
        <f aca="false">IF(AND(G649&lt;&gt;"",H649&lt;&gt;""),IF("0"&amp;G649=H649,"PASS","FAIL - GTIN Mismatch"),"SKIP")</f>
        <v>PASS</v>
      </c>
      <c r="O649" s="20" t="str">
        <f aca="false">IF(I649="","FAIL - No Title",IF(LEN(I649)&lt;=126,"PASS","FAIL - Title &gt;"&amp;126&amp;" chars"))</f>
        <v>PASS</v>
      </c>
      <c r="P649" s="20" t="str">
        <f aca="false">IF(J649&gt;0,IF(J649&lt;5000,"PASS","FLAG - Review Price"),"FAIL - Zero Price")</f>
        <v>PASS</v>
      </c>
      <c r="Q649" s="20" t="str">
        <f aca="false">IF('Raw Catalog'!P647&lt;&gt;"","PASS","FAIL - No Image")</f>
        <v>PASS</v>
      </c>
      <c r="R649" s="20" t="str">
        <f aca="false">IF(F649&lt;&gt;"","PASS","FAIL - No Brand")</f>
        <v>PASS</v>
      </c>
      <c r="S649" s="20" t="str">
        <f aca="true">IF(K649="","FAIL - No Date",IF(TODAY()-DATEVALUE(K649)&lt;=180,"PASS","FLAG - Stale &gt;180d"))</f>
        <v>FLAG - Stale &gt;180d</v>
      </c>
      <c r="T649" s="20" t="n">
        <f aca="false">COUNTIF(M649:S649,"FAIL*")+COUNTIF(M649:S649,"FLAG*")</f>
        <v>1</v>
      </c>
      <c r="U649" s="20" t="str">
        <f aca="false">IF(T649=0,"CLEAN",IF(T649=1,"MINOR",IF(T649&lt;=3,"MODERATE","CRITICAL")))</f>
        <v>MINOR</v>
      </c>
      <c r="V649" s="20" t="str">
        <f aca="false">IF(U649="CLEAN","None",IF(U649="MINOR","Seller Notify",IF(U649="MODERATE","Listing Suspended","Immediate Removal")))</f>
        <v>Seller Notify</v>
      </c>
    </row>
    <row r="650" customFormat="false" ht="18" hidden="false" customHeight="true" outlineLevel="0" collapsed="false">
      <c r="A650" s="19" t="s">
        <v>6727</v>
      </c>
      <c r="B650" s="19" t="s">
        <v>2197</v>
      </c>
      <c r="C650" s="19" t="s">
        <v>63</v>
      </c>
      <c r="D650" s="19" t="s">
        <v>64</v>
      </c>
      <c r="E650" s="19" t="s">
        <v>79</v>
      </c>
      <c r="F650" s="19" t="s">
        <v>51</v>
      </c>
      <c r="G650" s="19" t="s">
        <v>2199</v>
      </c>
      <c r="H650" s="19" t="s">
        <v>2200</v>
      </c>
      <c r="I650" s="19" t="s">
        <v>2201</v>
      </c>
      <c r="J650" s="19" t="n">
        <v>652.57</v>
      </c>
      <c r="K650" s="19" t="s">
        <v>2203</v>
      </c>
      <c r="L650" s="19"/>
      <c r="M650" s="20" t="str">
        <f aca="false">IF(G650&lt;&gt;"","PASS","FAIL - Missing UPC")</f>
        <v>PASS</v>
      </c>
      <c r="N650" s="20" t="str">
        <f aca="false">IF(AND(G650&lt;&gt;"",H650&lt;&gt;""),IF("0"&amp;G650=H650,"PASS","FAIL - GTIN Mismatch"),"SKIP")</f>
        <v>PASS</v>
      </c>
      <c r="O650" s="20" t="str">
        <f aca="false">IF(I650="","FAIL - No Title",IF(LEN(I650)&lt;=126,"PASS","FAIL - Title &gt;"&amp;126&amp;" chars"))</f>
        <v>PASS</v>
      </c>
      <c r="P650" s="20" t="str">
        <f aca="false">IF(J650&gt;0,IF(J650&lt;5000,"PASS","FLAG - Review Price"),"FAIL - Zero Price")</f>
        <v>PASS</v>
      </c>
      <c r="Q650" s="20" t="str">
        <f aca="false">IF('Raw Catalog'!P648&lt;&gt;"","PASS","FAIL - No Image")</f>
        <v>PASS</v>
      </c>
      <c r="R650" s="20" t="str">
        <f aca="false">IF(F650&lt;&gt;"","PASS","FAIL - No Brand")</f>
        <v>PASS</v>
      </c>
      <c r="S650" s="20" t="str">
        <f aca="true">IF(K650="","FAIL - No Date",IF(TODAY()-DATEVALUE(K650)&lt;=180,"PASS","FLAG - Stale &gt;180d"))</f>
        <v>FLAG - Stale &gt;180d</v>
      </c>
      <c r="T650" s="20" t="n">
        <f aca="false">COUNTIF(M650:S650,"FAIL*")+COUNTIF(M650:S650,"FLAG*")</f>
        <v>1</v>
      </c>
      <c r="U650" s="20" t="str">
        <f aca="false">IF(T650=0,"CLEAN",IF(T650=1,"MINOR",IF(T650&lt;=3,"MODERATE","CRITICAL")))</f>
        <v>MINOR</v>
      </c>
      <c r="V650" s="20" t="str">
        <f aca="false">IF(U650="CLEAN","None",IF(U650="MINOR","Seller Notify",IF(U650="MODERATE","Listing Suspended","Immediate Removal")))</f>
        <v>Seller Notify</v>
      </c>
    </row>
    <row r="651" customFormat="false" ht="18" hidden="false" customHeight="true" outlineLevel="0" collapsed="false">
      <c r="A651" s="19" t="s">
        <v>6728</v>
      </c>
      <c r="B651" s="19" t="s">
        <v>4234</v>
      </c>
      <c r="C651" s="19" t="s">
        <v>48</v>
      </c>
      <c r="D651" s="19" t="s">
        <v>49</v>
      </c>
      <c r="E651" s="19" t="s">
        <v>161</v>
      </c>
      <c r="F651" s="19" t="s">
        <v>185</v>
      </c>
      <c r="G651" s="19" t="s">
        <v>4236</v>
      </c>
      <c r="H651" s="19" t="s">
        <v>4237</v>
      </c>
      <c r="I651" s="19" t="s">
        <v>4238</v>
      </c>
      <c r="J651" s="19" t="n">
        <v>487.72</v>
      </c>
      <c r="K651" s="19" t="s">
        <v>1964</v>
      </c>
      <c r="L651" s="19"/>
      <c r="M651" s="20" t="str">
        <f aca="false">IF(G651&lt;&gt;"","PASS","FAIL - Missing UPC")</f>
        <v>PASS</v>
      </c>
      <c r="N651" s="20" t="str">
        <f aca="false">IF(AND(G651&lt;&gt;"",H651&lt;&gt;""),IF("0"&amp;G651=H651,"PASS","FAIL - GTIN Mismatch"),"SKIP")</f>
        <v>PASS</v>
      </c>
      <c r="O651" s="20" t="str">
        <f aca="false">IF(I651="","FAIL - No Title",IF(LEN(I651)&lt;=126,"PASS","FAIL - Title &gt;"&amp;126&amp;" chars"))</f>
        <v>PASS</v>
      </c>
      <c r="P651" s="20" t="str">
        <f aca="false">IF(J651&gt;0,IF(J651&lt;5000,"PASS","FLAG - Review Price"),"FAIL - Zero Price")</f>
        <v>PASS</v>
      </c>
      <c r="Q651" s="20" t="str">
        <f aca="false">IF('Raw Catalog'!P649&lt;&gt;"","PASS","FAIL - No Image")</f>
        <v>PASS</v>
      </c>
      <c r="R651" s="20" t="str">
        <f aca="false">IF(F651&lt;&gt;"","PASS","FAIL - No Brand")</f>
        <v>PASS</v>
      </c>
      <c r="S651" s="20" t="str">
        <f aca="true">IF(K651="","FAIL - No Date",IF(TODAY()-DATEVALUE(K651)&lt;=180,"PASS","FLAG - Stale &gt;180d"))</f>
        <v>FLAG - Stale &gt;180d</v>
      </c>
      <c r="T651" s="20" t="n">
        <f aca="false">COUNTIF(M651:S651,"FAIL*")+COUNTIF(M651:S651,"FLAG*")</f>
        <v>1</v>
      </c>
      <c r="U651" s="20" t="str">
        <f aca="false">IF(T651=0,"CLEAN",IF(T651=1,"MINOR",IF(T651&lt;=3,"MODERATE","CRITICAL")))</f>
        <v>MINOR</v>
      </c>
      <c r="V651" s="20" t="str">
        <f aca="false">IF(U651="CLEAN","None",IF(U651="MINOR","Seller Notify",IF(U651="MODERATE","Listing Suspended","Immediate Removal")))</f>
        <v>Seller Notify</v>
      </c>
    </row>
    <row r="652" customFormat="false" ht="18" hidden="false" customHeight="true" outlineLevel="0" collapsed="false">
      <c r="A652" s="19" t="s">
        <v>6729</v>
      </c>
      <c r="B652" s="19" t="s">
        <v>4239</v>
      </c>
      <c r="C652" s="19" t="s">
        <v>159</v>
      </c>
      <c r="D652" s="19" t="s">
        <v>160</v>
      </c>
      <c r="E652" s="19" t="s">
        <v>50</v>
      </c>
      <c r="F652" s="19" t="s">
        <v>138</v>
      </c>
      <c r="G652" s="19" t="s">
        <v>4241</v>
      </c>
      <c r="H652" s="19" t="s">
        <v>4242</v>
      </c>
      <c r="I652" s="19" t="s">
        <v>4243</v>
      </c>
      <c r="J652" s="19" t="n">
        <v>748</v>
      </c>
      <c r="K652" s="19" t="s">
        <v>101</v>
      </c>
      <c r="L652" s="19"/>
      <c r="M652" s="20" t="str">
        <f aca="false">IF(G652&lt;&gt;"","PASS","FAIL - Missing UPC")</f>
        <v>PASS</v>
      </c>
      <c r="N652" s="20" t="str">
        <f aca="false">IF(AND(G652&lt;&gt;"",H652&lt;&gt;""),IF("0"&amp;G652=H652,"PASS","FAIL - GTIN Mismatch"),"SKIP")</f>
        <v>PASS</v>
      </c>
      <c r="O652" s="20" t="str">
        <f aca="false">IF(I652="","FAIL - No Title",IF(LEN(I652)&lt;=126,"PASS","FAIL - Title &gt;"&amp;126&amp;" chars"))</f>
        <v>PASS</v>
      </c>
      <c r="P652" s="20" t="str">
        <f aca="false">IF(J652&gt;0,IF(J652&lt;5000,"PASS","FLAG - Review Price"),"FAIL - Zero Price")</f>
        <v>PASS</v>
      </c>
      <c r="Q652" s="20" t="str">
        <f aca="false">IF('Raw Catalog'!P650&lt;&gt;"","PASS","FAIL - No Image")</f>
        <v>PASS</v>
      </c>
      <c r="R652" s="20" t="str">
        <f aca="false">IF(F652&lt;&gt;"","PASS","FAIL - No Brand")</f>
        <v>PASS</v>
      </c>
      <c r="S652" s="20" t="str">
        <f aca="true">IF(K652="","FAIL - No Date",IF(TODAY()-DATEVALUE(K652)&lt;=180,"PASS","FLAG - Stale &gt;180d"))</f>
        <v>FLAG - Stale &gt;180d</v>
      </c>
      <c r="T652" s="20" t="n">
        <f aca="false">COUNTIF(M652:S652,"FAIL*")+COUNTIF(M652:S652,"FLAG*")</f>
        <v>1</v>
      </c>
      <c r="U652" s="20" t="str">
        <f aca="false">IF(T652=0,"CLEAN",IF(T652=1,"MINOR",IF(T652&lt;=3,"MODERATE","CRITICAL")))</f>
        <v>MINOR</v>
      </c>
      <c r="V652" s="20" t="str">
        <f aca="false">IF(U652="CLEAN","None",IF(U652="MINOR","Seller Notify",IF(U652="MODERATE","Listing Suspended","Immediate Removal")))</f>
        <v>Seller Notify</v>
      </c>
    </row>
    <row r="653" customFormat="false" ht="18" hidden="false" customHeight="true" outlineLevel="0" collapsed="false">
      <c r="A653" s="19" t="s">
        <v>6730</v>
      </c>
      <c r="B653" s="19" t="s">
        <v>4245</v>
      </c>
      <c r="C653" s="19" t="s">
        <v>173</v>
      </c>
      <c r="D653" s="19" t="s">
        <v>174</v>
      </c>
      <c r="E653" s="19" t="s">
        <v>79</v>
      </c>
      <c r="F653" s="19" t="s">
        <v>465</v>
      </c>
      <c r="G653" s="19" t="s">
        <v>4247</v>
      </c>
      <c r="H653" s="19" t="s">
        <v>4248</v>
      </c>
      <c r="I653" s="19" t="s">
        <v>4249</v>
      </c>
      <c r="J653" s="19" t="n">
        <v>997.79</v>
      </c>
      <c r="K653" s="19" t="s">
        <v>2030</v>
      </c>
      <c r="L653" s="19"/>
      <c r="M653" s="20" t="str">
        <f aca="false">IF(G653&lt;&gt;"","PASS","FAIL - Missing UPC")</f>
        <v>PASS</v>
      </c>
      <c r="N653" s="20" t="str">
        <f aca="false">IF(AND(G653&lt;&gt;"",H653&lt;&gt;""),IF("0"&amp;G653=H653,"PASS","FAIL - GTIN Mismatch"),"SKIP")</f>
        <v>PASS</v>
      </c>
      <c r="O653" s="20" t="str">
        <f aca="false">IF(I653="","FAIL - No Title",IF(LEN(I653)&lt;=126,"PASS","FAIL - Title &gt;"&amp;126&amp;" chars"))</f>
        <v>PASS</v>
      </c>
      <c r="P653" s="20" t="str">
        <f aca="false">IF(J653&gt;0,IF(J653&lt;5000,"PASS","FLAG - Review Price"),"FAIL - Zero Price")</f>
        <v>PASS</v>
      </c>
      <c r="Q653" s="20" t="str">
        <f aca="false">IF('Raw Catalog'!P651&lt;&gt;"","PASS","FAIL - No Image")</f>
        <v>PASS</v>
      </c>
      <c r="R653" s="20" t="str">
        <f aca="false">IF(F653&lt;&gt;"","PASS","FAIL - No Brand")</f>
        <v>PASS</v>
      </c>
      <c r="S653" s="20" t="str">
        <f aca="true">IF(K653="","FAIL - No Date",IF(TODAY()-DATEVALUE(K653)&lt;=180,"PASS","FLAG - Stale &gt;180d"))</f>
        <v>FLAG - Stale &gt;180d</v>
      </c>
      <c r="T653" s="20" t="n">
        <f aca="false">COUNTIF(M653:S653,"FAIL*")+COUNTIF(M653:S653,"FLAG*")</f>
        <v>1</v>
      </c>
      <c r="U653" s="20" t="str">
        <f aca="false">IF(T653=0,"CLEAN",IF(T653=1,"MINOR",IF(T653&lt;=3,"MODERATE","CRITICAL")))</f>
        <v>MINOR</v>
      </c>
      <c r="V653" s="20" t="str">
        <f aca="false">IF(U653="CLEAN","None",IF(U653="MINOR","Seller Notify",IF(U653="MODERATE","Listing Suspended","Immediate Removal")))</f>
        <v>Seller Notify</v>
      </c>
    </row>
    <row r="654" customFormat="false" ht="18" hidden="false" customHeight="true" outlineLevel="0" collapsed="false">
      <c r="A654" s="19" t="s">
        <v>6731</v>
      </c>
      <c r="B654" s="19" t="s">
        <v>4250</v>
      </c>
      <c r="C654" s="19" t="s">
        <v>63</v>
      </c>
      <c r="D654" s="19" t="s">
        <v>64</v>
      </c>
      <c r="E654" s="19" t="s">
        <v>79</v>
      </c>
      <c r="F654" s="19" t="s">
        <v>503</v>
      </c>
      <c r="G654" s="19" t="s">
        <v>4252</v>
      </c>
      <c r="H654" s="19" t="s">
        <v>4253</v>
      </c>
      <c r="I654" s="19" t="s">
        <v>4254</v>
      </c>
      <c r="J654" s="19" t="n">
        <v>406.86</v>
      </c>
      <c r="K654" s="19" t="s">
        <v>1899</v>
      </c>
      <c r="L654" s="21" t="s">
        <v>453</v>
      </c>
      <c r="M654" s="20" t="str">
        <f aca="false">IF(G654&lt;&gt;"","PASS","FAIL - Missing UPC")</f>
        <v>PASS</v>
      </c>
      <c r="N654" s="20" t="str">
        <f aca="false">IF(AND(G654&lt;&gt;"",H654&lt;&gt;""),IF("0"&amp;G654=H654,"PASS","FAIL - GTIN Mismatch"),"SKIP")</f>
        <v>PASS</v>
      </c>
      <c r="O654" s="20" t="str">
        <f aca="false">IF(I654="","FAIL - No Title",IF(LEN(I654)&lt;=126,"PASS","FAIL - Title &gt;"&amp;126&amp;" chars"))</f>
        <v>PASS</v>
      </c>
      <c r="P654" s="20" t="str">
        <f aca="false">IF(J654&gt;0,IF(J654&lt;5000,"PASS","FLAG - Review Price"),"FAIL - Zero Price")</f>
        <v>PASS</v>
      </c>
      <c r="Q654" s="20" t="str">
        <f aca="false">IF('Raw Catalog'!P652&lt;&gt;"","PASS","FAIL - No Image")</f>
        <v>PASS</v>
      </c>
      <c r="R654" s="20" t="str">
        <f aca="false">IF(F654&lt;&gt;"","PASS","FAIL - No Brand")</f>
        <v>PASS</v>
      </c>
      <c r="S654" s="20" t="str">
        <f aca="true">IF(K654="","FAIL - No Date",IF(TODAY()-DATEVALUE(K654)&lt;=180,"PASS","FLAG - Stale &gt;180d"))</f>
        <v>FLAG - Stale &gt;180d</v>
      </c>
      <c r="T654" s="20" t="n">
        <f aca="false">COUNTIF(M654:S654,"FAIL*")+COUNTIF(M654:S654,"FLAG*")</f>
        <v>1</v>
      </c>
      <c r="U654" s="20" t="str">
        <f aca="false">IF(T654=0,"CLEAN",IF(T654=1,"MINOR",IF(T654&lt;=3,"MODERATE","CRITICAL")))</f>
        <v>MINOR</v>
      </c>
      <c r="V654" s="20" t="str">
        <f aca="false">IF(U654="CLEAN","None",IF(U654="MINOR","Seller Notify",IF(U654="MODERATE","Listing Suspended","Immediate Removal")))</f>
        <v>Seller Notify</v>
      </c>
    </row>
    <row r="655" customFormat="false" ht="18" hidden="false" customHeight="true" outlineLevel="0" collapsed="false">
      <c r="A655" s="19" t="s">
        <v>6732</v>
      </c>
      <c r="B655" s="19" t="s">
        <v>4095</v>
      </c>
      <c r="C655" s="19" t="s">
        <v>63</v>
      </c>
      <c r="D655" s="19" t="s">
        <v>64</v>
      </c>
      <c r="E655" s="19" t="s">
        <v>79</v>
      </c>
      <c r="F655" s="19" t="s">
        <v>1531</v>
      </c>
      <c r="G655" s="19" t="s">
        <v>4097</v>
      </c>
      <c r="H655" s="19" t="s">
        <v>4098</v>
      </c>
      <c r="I655" s="19" t="s">
        <v>4099</v>
      </c>
      <c r="J655" s="19" t="n">
        <v>434.12</v>
      </c>
      <c r="K655" s="19" t="s">
        <v>4100</v>
      </c>
      <c r="L655" s="19"/>
      <c r="M655" s="20" t="str">
        <f aca="false">IF(G655&lt;&gt;"","PASS","FAIL - Missing UPC")</f>
        <v>PASS</v>
      </c>
      <c r="N655" s="20" t="str">
        <f aca="false">IF(AND(G655&lt;&gt;"",H655&lt;&gt;""),IF("0"&amp;G655=H655,"PASS","FAIL - GTIN Mismatch"),"SKIP")</f>
        <v>PASS</v>
      </c>
      <c r="O655" s="20" t="str">
        <f aca="false">IF(I655="","FAIL - No Title",IF(LEN(I655)&lt;=126,"PASS","FAIL - Title &gt;"&amp;126&amp;" chars"))</f>
        <v>PASS</v>
      </c>
      <c r="P655" s="20" t="str">
        <f aca="false">IF(J655&gt;0,IF(J655&lt;5000,"PASS","FLAG - Review Price"),"FAIL - Zero Price")</f>
        <v>PASS</v>
      </c>
      <c r="Q655" s="20" t="str">
        <f aca="false">IF('Raw Catalog'!P653&lt;&gt;"","PASS","FAIL - No Image")</f>
        <v>PASS</v>
      </c>
      <c r="R655" s="20" t="str">
        <f aca="false">IF(F655&lt;&gt;"","PASS","FAIL - No Brand")</f>
        <v>PASS</v>
      </c>
      <c r="S655" s="20" t="str">
        <f aca="true">IF(K655="","FAIL - No Date",IF(TODAY()-DATEVALUE(K655)&lt;=180,"PASS","FLAG - Stale &gt;180d"))</f>
        <v>FLAG - Stale &gt;180d</v>
      </c>
      <c r="T655" s="20" t="n">
        <f aca="false">COUNTIF(M655:S655,"FAIL*")+COUNTIF(M655:S655,"FLAG*")</f>
        <v>1</v>
      </c>
      <c r="U655" s="20" t="str">
        <f aca="false">IF(T655=0,"CLEAN",IF(T655=1,"MINOR",IF(T655&lt;=3,"MODERATE","CRITICAL")))</f>
        <v>MINOR</v>
      </c>
      <c r="V655" s="20" t="str">
        <f aca="false">IF(U655="CLEAN","None",IF(U655="MINOR","Seller Notify",IF(U655="MODERATE","Listing Suspended","Immediate Removal")))</f>
        <v>Seller Notify</v>
      </c>
    </row>
    <row r="656" customFormat="false" ht="18" hidden="false" customHeight="true" outlineLevel="0" collapsed="false">
      <c r="A656" s="19" t="s">
        <v>6733</v>
      </c>
      <c r="B656" s="19" t="s">
        <v>4255</v>
      </c>
      <c r="C656" s="19" t="s">
        <v>173</v>
      </c>
      <c r="D656" s="19" t="s">
        <v>174</v>
      </c>
      <c r="E656" s="19" t="s">
        <v>91</v>
      </c>
      <c r="F656" s="19" t="s">
        <v>92</v>
      </c>
      <c r="G656" s="19" t="s">
        <v>4257</v>
      </c>
      <c r="H656" s="19" t="s">
        <v>4258</v>
      </c>
      <c r="I656" s="19" t="s">
        <v>4259</v>
      </c>
      <c r="J656" s="19" t="n">
        <v>3133.5</v>
      </c>
      <c r="K656" s="19" t="s">
        <v>4260</v>
      </c>
      <c r="L656" s="19"/>
      <c r="M656" s="20" t="str">
        <f aca="false">IF(G656&lt;&gt;"","PASS","FAIL - Missing UPC")</f>
        <v>PASS</v>
      </c>
      <c r="N656" s="20" t="str">
        <f aca="false">IF(AND(G656&lt;&gt;"",H656&lt;&gt;""),IF("0"&amp;G656=H656,"PASS","FAIL - GTIN Mismatch"),"SKIP")</f>
        <v>PASS</v>
      </c>
      <c r="O656" s="20" t="str">
        <f aca="false">IF(I656="","FAIL - No Title",IF(LEN(I656)&lt;=126,"PASS","FAIL - Title &gt;"&amp;126&amp;" chars"))</f>
        <v>PASS</v>
      </c>
      <c r="P656" s="20" t="str">
        <f aca="false">IF(J656&gt;0,IF(J656&lt;5000,"PASS","FLAG - Review Price"),"FAIL - Zero Price")</f>
        <v>PASS</v>
      </c>
      <c r="Q656" s="20" t="str">
        <f aca="false">IF('Raw Catalog'!P654&lt;&gt;"","PASS","FAIL - No Image")</f>
        <v>PASS</v>
      </c>
      <c r="R656" s="20" t="str">
        <f aca="false">IF(F656&lt;&gt;"","PASS","FAIL - No Brand")</f>
        <v>PASS</v>
      </c>
      <c r="S656" s="20" t="str">
        <f aca="true">IF(K656="","FAIL - No Date",IF(TODAY()-DATEVALUE(K656)&lt;=180,"PASS","FLAG - Stale &gt;180d"))</f>
        <v>FLAG - Stale &gt;180d</v>
      </c>
      <c r="T656" s="20" t="n">
        <f aca="false">COUNTIF(M656:S656,"FAIL*")+COUNTIF(M656:S656,"FLAG*")</f>
        <v>1</v>
      </c>
      <c r="U656" s="20" t="str">
        <f aca="false">IF(T656=0,"CLEAN",IF(T656=1,"MINOR",IF(T656&lt;=3,"MODERATE","CRITICAL")))</f>
        <v>MINOR</v>
      </c>
      <c r="V656" s="20" t="str">
        <f aca="false">IF(U656="CLEAN","None",IF(U656="MINOR","Seller Notify",IF(U656="MODERATE","Listing Suspended","Immediate Removal")))</f>
        <v>Seller Notify</v>
      </c>
    </row>
    <row r="657" customFormat="false" ht="18" hidden="false" customHeight="true" outlineLevel="0" collapsed="false">
      <c r="A657" s="19" t="s">
        <v>6734</v>
      </c>
      <c r="B657" s="19" t="s">
        <v>4261</v>
      </c>
      <c r="C657" s="19" t="s">
        <v>113</v>
      </c>
      <c r="D657" s="19" t="s">
        <v>114</v>
      </c>
      <c r="E657" s="19" t="s">
        <v>91</v>
      </c>
      <c r="F657" s="19" t="s">
        <v>419</v>
      </c>
      <c r="G657" s="19" t="s">
        <v>4263</v>
      </c>
      <c r="H657" s="19" t="s">
        <v>4264</v>
      </c>
      <c r="I657" s="19" t="s">
        <v>4265</v>
      </c>
      <c r="J657" s="19" t="n">
        <v>262.5</v>
      </c>
      <c r="K657" s="19" t="s">
        <v>946</v>
      </c>
      <c r="L657" s="19"/>
      <c r="M657" s="20" t="str">
        <f aca="false">IF(G657&lt;&gt;"","PASS","FAIL - Missing UPC")</f>
        <v>PASS</v>
      </c>
      <c r="N657" s="20" t="str">
        <f aca="false">IF(AND(G657&lt;&gt;"",H657&lt;&gt;""),IF("0"&amp;G657=H657,"PASS","FAIL - GTIN Mismatch"),"SKIP")</f>
        <v>PASS</v>
      </c>
      <c r="O657" s="20" t="str">
        <f aca="false">IF(I657="","FAIL - No Title",IF(LEN(I657)&lt;=126,"PASS","FAIL - Title &gt;"&amp;126&amp;" chars"))</f>
        <v>PASS</v>
      </c>
      <c r="P657" s="20" t="str">
        <f aca="false">IF(J657&gt;0,IF(J657&lt;5000,"PASS","FLAG - Review Price"),"FAIL - Zero Price")</f>
        <v>PASS</v>
      </c>
      <c r="Q657" s="20" t="str">
        <f aca="false">IF('Raw Catalog'!P655&lt;&gt;"","PASS","FAIL - No Image")</f>
        <v>PASS</v>
      </c>
      <c r="R657" s="20" t="str">
        <f aca="false">IF(F657&lt;&gt;"","PASS","FAIL - No Brand")</f>
        <v>PASS</v>
      </c>
      <c r="S657" s="20" t="str">
        <f aca="true">IF(K657="","FAIL - No Date",IF(TODAY()-DATEVALUE(K657)&lt;=180,"PASS","FLAG - Stale &gt;180d"))</f>
        <v>FLAG - Stale &gt;180d</v>
      </c>
      <c r="T657" s="20" t="n">
        <f aca="false">COUNTIF(M657:S657,"FAIL*")+COUNTIF(M657:S657,"FLAG*")</f>
        <v>1</v>
      </c>
      <c r="U657" s="20" t="str">
        <f aca="false">IF(T657=0,"CLEAN",IF(T657=1,"MINOR",IF(T657&lt;=3,"MODERATE","CRITICAL")))</f>
        <v>MINOR</v>
      </c>
      <c r="V657" s="20" t="str">
        <f aca="false">IF(U657="CLEAN","None",IF(U657="MINOR","Seller Notify",IF(U657="MODERATE","Listing Suspended","Immediate Removal")))</f>
        <v>Seller Notify</v>
      </c>
    </row>
    <row r="658" customFormat="false" ht="18" hidden="false" customHeight="true" outlineLevel="0" collapsed="false">
      <c r="A658" s="19" t="s">
        <v>6735</v>
      </c>
      <c r="B658" s="19" t="s">
        <v>4267</v>
      </c>
      <c r="C658" s="19" t="s">
        <v>77</v>
      </c>
      <c r="D658" s="19" t="s">
        <v>78</v>
      </c>
      <c r="E658" s="19" t="s">
        <v>50</v>
      </c>
      <c r="F658" s="19" t="s">
        <v>51</v>
      </c>
      <c r="G658" s="19" t="s">
        <v>4269</v>
      </c>
      <c r="H658" s="19" t="s">
        <v>4270</v>
      </c>
      <c r="I658" s="19" t="s">
        <v>976</v>
      </c>
      <c r="J658" s="19" t="n">
        <v>726.37</v>
      </c>
      <c r="K658" s="19" t="s">
        <v>4272</v>
      </c>
      <c r="L658" s="19"/>
      <c r="M658" s="20" t="str">
        <f aca="false">IF(G658&lt;&gt;"","PASS","FAIL - Missing UPC")</f>
        <v>PASS</v>
      </c>
      <c r="N658" s="20" t="str">
        <f aca="false">IF(AND(G658&lt;&gt;"",H658&lt;&gt;""),IF("0"&amp;G658=H658,"PASS","FAIL - GTIN Mismatch"),"SKIP")</f>
        <v>PASS</v>
      </c>
      <c r="O658" s="20" t="str">
        <f aca="false">IF(I658="","FAIL - No Title",IF(LEN(I658)&lt;=126,"PASS","FAIL - Title &gt;"&amp;126&amp;" chars"))</f>
        <v>PASS</v>
      </c>
      <c r="P658" s="20" t="str">
        <f aca="false">IF(J658&gt;0,IF(J658&lt;5000,"PASS","FLAG - Review Price"),"FAIL - Zero Price")</f>
        <v>PASS</v>
      </c>
      <c r="Q658" s="20" t="str">
        <f aca="false">IF('Raw Catalog'!P656&lt;&gt;"","PASS","FAIL - No Image")</f>
        <v>PASS</v>
      </c>
      <c r="R658" s="20" t="str">
        <f aca="false">IF(F658&lt;&gt;"","PASS","FAIL - No Brand")</f>
        <v>PASS</v>
      </c>
      <c r="S658" s="20" t="str">
        <f aca="true">IF(K658="","FAIL - No Date",IF(TODAY()-DATEVALUE(K658)&lt;=180,"PASS","FLAG - Stale &gt;180d"))</f>
        <v>FLAG - Stale &gt;180d</v>
      </c>
      <c r="T658" s="20" t="n">
        <f aca="false">COUNTIF(M658:S658,"FAIL*")+COUNTIF(M658:S658,"FLAG*")</f>
        <v>1</v>
      </c>
      <c r="U658" s="20" t="str">
        <f aca="false">IF(T658=0,"CLEAN",IF(T658=1,"MINOR",IF(T658&lt;=3,"MODERATE","CRITICAL")))</f>
        <v>MINOR</v>
      </c>
      <c r="V658" s="20" t="str">
        <f aca="false">IF(U658="CLEAN","None",IF(U658="MINOR","Seller Notify",IF(U658="MODERATE","Listing Suspended","Immediate Removal")))</f>
        <v>Seller Notify</v>
      </c>
    </row>
    <row r="659" customFormat="false" ht="18" hidden="false" customHeight="true" outlineLevel="0" collapsed="false">
      <c r="A659" s="19" t="s">
        <v>6736</v>
      </c>
      <c r="B659" s="19" t="s">
        <v>4273</v>
      </c>
      <c r="C659" s="19" t="s">
        <v>173</v>
      </c>
      <c r="D659" s="19" t="s">
        <v>174</v>
      </c>
      <c r="E659" s="19" t="s">
        <v>79</v>
      </c>
      <c r="F659" s="19" t="s">
        <v>1531</v>
      </c>
      <c r="G659" s="19" t="s">
        <v>4275</v>
      </c>
      <c r="H659" s="19" t="s">
        <v>4276</v>
      </c>
      <c r="I659" s="19" t="s">
        <v>4277</v>
      </c>
      <c r="J659" s="19" t="n">
        <v>416.81</v>
      </c>
      <c r="K659" s="19" t="s">
        <v>3246</v>
      </c>
      <c r="L659" s="19"/>
      <c r="M659" s="20" t="str">
        <f aca="false">IF(G659&lt;&gt;"","PASS","FAIL - Missing UPC")</f>
        <v>PASS</v>
      </c>
      <c r="N659" s="20" t="str">
        <f aca="false">IF(AND(G659&lt;&gt;"",H659&lt;&gt;""),IF("0"&amp;G659=H659,"PASS","FAIL - GTIN Mismatch"),"SKIP")</f>
        <v>PASS</v>
      </c>
      <c r="O659" s="20" t="str">
        <f aca="false">IF(I659="","FAIL - No Title",IF(LEN(I659)&lt;=126,"PASS","FAIL - Title &gt;"&amp;126&amp;" chars"))</f>
        <v>PASS</v>
      </c>
      <c r="P659" s="20" t="str">
        <f aca="false">IF(J659&gt;0,IF(J659&lt;5000,"PASS","FLAG - Review Price"),"FAIL - Zero Price")</f>
        <v>PASS</v>
      </c>
      <c r="Q659" s="20" t="str">
        <f aca="false">IF('Raw Catalog'!P657&lt;&gt;"","PASS","FAIL - No Image")</f>
        <v>PASS</v>
      </c>
      <c r="R659" s="20" t="str">
        <f aca="false">IF(F659&lt;&gt;"","PASS","FAIL - No Brand")</f>
        <v>PASS</v>
      </c>
      <c r="S659" s="20" t="str">
        <f aca="true">IF(K659="","FAIL - No Date",IF(TODAY()-DATEVALUE(K659)&lt;=180,"PASS","FLAG - Stale &gt;180d"))</f>
        <v>FLAG - Stale &gt;180d</v>
      </c>
      <c r="T659" s="20" t="n">
        <f aca="false">COUNTIF(M659:S659,"FAIL*")+COUNTIF(M659:S659,"FLAG*")</f>
        <v>1</v>
      </c>
      <c r="U659" s="20" t="str">
        <f aca="false">IF(T659=0,"CLEAN",IF(T659=1,"MINOR",IF(T659&lt;=3,"MODERATE","CRITICAL")))</f>
        <v>MINOR</v>
      </c>
      <c r="V659" s="20" t="str">
        <f aca="false">IF(U659="CLEAN","None",IF(U659="MINOR","Seller Notify",IF(U659="MODERATE","Listing Suspended","Immediate Removal")))</f>
        <v>Seller Notify</v>
      </c>
    </row>
    <row r="660" customFormat="false" ht="18" hidden="false" customHeight="true" outlineLevel="0" collapsed="false">
      <c r="A660" s="19" t="s">
        <v>6737</v>
      </c>
      <c r="B660" s="19" t="s">
        <v>4279</v>
      </c>
      <c r="C660" s="19" t="s">
        <v>125</v>
      </c>
      <c r="D660" s="19" t="s">
        <v>126</v>
      </c>
      <c r="E660" s="19" t="s">
        <v>91</v>
      </c>
      <c r="F660" s="19" t="s">
        <v>419</v>
      </c>
      <c r="G660" s="19" t="s">
        <v>4281</v>
      </c>
      <c r="H660" s="19" t="s">
        <v>4282</v>
      </c>
      <c r="I660" s="19" t="s">
        <v>4283</v>
      </c>
      <c r="J660" s="19" t="n">
        <v>571.85</v>
      </c>
      <c r="K660" s="19" t="s">
        <v>522</v>
      </c>
      <c r="L660" s="19"/>
      <c r="M660" s="20" t="str">
        <f aca="false">IF(G660&lt;&gt;"","PASS","FAIL - Missing UPC")</f>
        <v>PASS</v>
      </c>
      <c r="N660" s="20" t="str">
        <f aca="false">IF(AND(G660&lt;&gt;"",H660&lt;&gt;""),IF("0"&amp;G660=H660,"PASS","FAIL - GTIN Mismatch"),"SKIP")</f>
        <v>PASS</v>
      </c>
      <c r="O660" s="20" t="str">
        <f aca="false">IF(I660="","FAIL - No Title",IF(LEN(I660)&lt;=126,"PASS","FAIL - Title &gt;"&amp;126&amp;" chars"))</f>
        <v>PASS</v>
      </c>
      <c r="P660" s="20" t="str">
        <f aca="false">IF(J660&gt;0,IF(J660&lt;5000,"PASS","FLAG - Review Price"),"FAIL - Zero Price")</f>
        <v>PASS</v>
      </c>
      <c r="Q660" s="20" t="str">
        <f aca="false">IF('Raw Catalog'!P658&lt;&gt;"","PASS","FAIL - No Image")</f>
        <v>PASS</v>
      </c>
      <c r="R660" s="20" t="str">
        <f aca="false">IF(F660&lt;&gt;"","PASS","FAIL - No Brand")</f>
        <v>PASS</v>
      </c>
      <c r="S660" s="20" t="str">
        <f aca="true">IF(K660="","FAIL - No Date",IF(TODAY()-DATEVALUE(K660)&lt;=180,"PASS","FLAG - Stale &gt;180d"))</f>
        <v>FLAG - Stale &gt;180d</v>
      </c>
      <c r="T660" s="20" t="n">
        <f aca="false">COUNTIF(M660:S660,"FAIL*")+COUNTIF(M660:S660,"FLAG*")</f>
        <v>1</v>
      </c>
      <c r="U660" s="20" t="str">
        <f aca="false">IF(T660=0,"CLEAN",IF(T660=1,"MINOR",IF(T660&lt;=3,"MODERATE","CRITICAL")))</f>
        <v>MINOR</v>
      </c>
      <c r="V660" s="20" t="str">
        <f aca="false">IF(U660="CLEAN","None",IF(U660="MINOR","Seller Notify",IF(U660="MODERATE","Listing Suspended","Immediate Removal")))</f>
        <v>Seller Notify</v>
      </c>
    </row>
    <row r="661" customFormat="false" ht="18" hidden="false" customHeight="true" outlineLevel="0" collapsed="false">
      <c r="A661" s="19" t="s">
        <v>6738</v>
      </c>
      <c r="B661" s="19" t="s">
        <v>4285</v>
      </c>
      <c r="C661" s="19" t="s">
        <v>255</v>
      </c>
      <c r="D661" s="19" t="s">
        <v>256</v>
      </c>
      <c r="E661" s="19" t="s">
        <v>79</v>
      </c>
      <c r="F661" s="19" t="s">
        <v>196</v>
      </c>
      <c r="G661" s="19" t="s">
        <v>4287</v>
      </c>
      <c r="H661" s="19" t="s">
        <v>4288</v>
      </c>
      <c r="I661" s="19" t="s">
        <v>2355</v>
      </c>
      <c r="J661" s="19" t="n">
        <v>849.6</v>
      </c>
      <c r="K661" s="19" t="s">
        <v>3080</v>
      </c>
      <c r="L661" s="19"/>
      <c r="M661" s="20" t="str">
        <f aca="false">IF(G661&lt;&gt;"","PASS","FAIL - Missing UPC")</f>
        <v>PASS</v>
      </c>
      <c r="N661" s="20" t="str">
        <f aca="false">IF(AND(G661&lt;&gt;"",H661&lt;&gt;""),IF("0"&amp;G661=H661,"PASS","FAIL - GTIN Mismatch"),"SKIP")</f>
        <v>PASS</v>
      </c>
      <c r="O661" s="20" t="str">
        <f aca="false">IF(I661="","FAIL - No Title",IF(LEN(I661)&lt;=126,"PASS","FAIL - Title &gt;"&amp;126&amp;" chars"))</f>
        <v>PASS</v>
      </c>
      <c r="P661" s="20" t="str">
        <f aca="false">IF(J661&gt;0,IF(J661&lt;5000,"PASS","FLAG - Review Price"),"FAIL - Zero Price")</f>
        <v>PASS</v>
      </c>
      <c r="Q661" s="20" t="str">
        <f aca="false">IF('Raw Catalog'!P659&lt;&gt;"","PASS","FAIL - No Image")</f>
        <v>PASS</v>
      </c>
      <c r="R661" s="20" t="str">
        <f aca="false">IF(F661&lt;&gt;"","PASS","FAIL - No Brand")</f>
        <v>PASS</v>
      </c>
      <c r="S661" s="20" t="str">
        <f aca="true">IF(K661="","FAIL - No Date",IF(TODAY()-DATEVALUE(K661)&lt;=180,"PASS","FLAG - Stale &gt;180d"))</f>
        <v>FLAG - Stale &gt;180d</v>
      </c>
      <c r="T661" s="20" t="n">
        <f aca="false">COUNTIF(M661:S661,"FAIL*")+COUNTIF(M661:S661,"FLAG*")</f>
        <v>1</v>
      </c>
      <c r="U661" s="20" t="str">
        <f aca="false">IF(T661=0,"CLEAN",IF(T661=1,"MINOR",IF(T661&lt;=3,"MODERATE","CRITICAL")))</f>
        <v>MINOR</v>
      </c>
      <c r="V661" s="20" t="str">
        <f aca="false">IF(U661="CLEAN","None",IF(U661="MINOR","Seller Notify",IF(U661="MODERATE","Listing Suspended","Immediate Removal")))</f>
        <v>Seller Notify</v>
      </c>
    </row>
    <row r="662" customFormat="false" ht="18" hidden="false" customHeight="true" outlineLevel="0" collapsed="false">
      <c r="A662" s="19" t="s">
        <v>6739</v>
      </c>
      <c r="B662" s="19" t="s">
        <v>4290</v>
      </c>
      <c r="C662" s="19" t="s">
        <v>125</v>
      </c>
      <c r="D662" s="19" t="s">
        <v>126</v>
      </c>
      <c r="E662" s="19" t="s">
        <v>161</v>
      </c>
      <c r="F662" s="19" t="s">
        <v>306</v>
      </c>
      <c r="G662" s="19" t="s">
        <v>4292</v>
      </c>
      <c r="H662" s="19" t="s">
        <v>4293</v>
      </c>
      <c r="I662" s="19" t="s">
        <v>4294</v>
      </c>
      <c r="J662" s="19" t="n">
        <v>277.69</v>
      </c>
      <c r="K662" s="19" t="s">
        <v>994</v>
      </c>
      <c r="L662" s="19"/>
      <c r="M662" s="20" t="str">
        <f aca="false">IF(G662&lt;&gt;"","PASS","FAIL - Missing UPC")</f>
        <v>PASS</v>
      </c>
      <c r="N662" s="20" t="str">
        <f aca="false">IF(AND(G662&lt;&gt;"",H662&lt;&gt;""),IF("0"&amp;G662=H662,"PASS","FAIL - GTIN Mismatch"),"SKIP")</f>
        <v>PASS</v>
      </c>
      <c r="O662" s="20" t="str">
        <f aca="false">IF(I662="","FAIL - No Title",IF(LEN(I662)&lt;=126,"PASS","FAIL - Title &gt;"&amp;126&amp;" chars"))</f>
        <v>PASS</v>
      </c>
      <c r="P662" s="20" t="str">
        <f aca="false">IF(J662&gt;0,IF(J662&lt;5000,"PASS","FLAG - Review Price"),"FAIL - Zero Price")</f>
        <v>PASS</v>
      </c>
      <c r="Q662" s="20" t="str">
        <f aca="false">IF('Raw Catalog'!P660&lt;&gt;"","PASS","FAIL - No Image")</f>
        <v>PASS</v>
      </c>
      <c r="R662" s="20" t="str">
        <f aca="false">IF(F662&lt;&gt;"","PASS","FAIL - No Brand")</f>
        <v>PASS</v>
      </c>
      <c r="S662" s="20" t="str">
        <f aca="true">IF(K662="","FAIL - No Date",IF(TODAY()-DATEVALUE(K662)&lt;=180,"PASS","FLAG - Stale &gt;180d"))</f>
        <v>FLAG - Stale &gt;180d</v>
      </c>
      <c r="T662" s="20" t="n">
        <f aca="false">COUNTIF(M662:S662,"FAIL*")+COUNTIF(M662:S662,"FLAG*")</f>
        <v>1</v>
      </c>
      <c r="U662" s="20" t="str">
        <f aca="false">IF(T662=0,"CLEAN",IF(T662=1,"MINOR",IF(T662&lt;=3,"MODERATE","CRITICAL")))</f>
        <v>MINOR</v>
      </c>
      <c r="V662" s="20" t="str">
        <f aca="false">IF(U662="CLEAN","None",IF(U662="MINOR","Seller Notify",IF(U662="MODERATE","Listing Suspended","Immediate Removal")))</f>
        <v>Seller Notify</v>
      </c>
    </row>
    <row r="663" customFormat="false" ht="18" hidden="false" customHeight="true" outlineLevel="0" collapsed="false">
      <c r="A663" s="19" t="s">
        <v>6740</v>
      </c>
      <c r="B663" s="19" t="s">
        <v>4295</v>
      </c>
      <c r="C663" s="19" t="s">
        <v>63</v>
      </c>
      <c r="D663" s="19" t="s">
        <v>64</v>
      </c>
      <c r="E663" s="19" t="s">
        <v>50</v>
      </c>
      <c r="F663" s="19" t="s">
        <v>138</v>
      </c>
      <c r="G663" s="19" t="s">
        <v>4297</v>
      </c>
      <c r="H663" s="19" t="s">
        <v>4298</v>
      </c>
      <c r="I663" s="19" t="s">
        <v>4299</v>
      </c>
      <c r="J663" s="19" t="n">
        <v>235.42</v>
      </c>
      <c r="K663" s="19" t="s">
        <v>369</v>
      </c>
      <c r="L663" s="19"/>
      <c r="M663" s="20" t="str">
        <f aca="false">IF(G663&lt;&gt;"","PASS","FAIL - Missing UPC")</f>
        <v>PASS</v>
      </c>
      <c r="N663" s="20" t="str">
        <f aca="false">IF(AND(G663&lt;&gt;"",H663&lt;&gt;""),IF("0"&amp;G663=H663,"PASS","FAIL - GTIN Mismatch"),"SKIP")</f>
        <v>PASS</v>
      </c>
      <c r="O663" s="20" t="str">
        <f aca="false">IF(I663="","FAIL - No Title",IF(LEN(I663)&lt;=126,"PASS","FAIL - Title &gt;"&amp;126&amp;" chars"))</f>
        <v>PASS</v>
      </c>
      <c r="P663" s="20" t="str">
        <f aca="false">IF(J663&gt;0,IF(J663&lt;5000,"PASS","FLAG - Review Price"),"FAIL - Zero Price")</f>
        <v>PASS</v>
      </c>
      <c r="Q663" s="20" t="str">
        <f aca="false">IF('Raw Catalog'!P661&lt;&gt;"","PASS","FAIL - No Image")</f>
        <v>PASS</v>
      </c>
      <c r="R663" s="20" t="str">
        <f aca="false">IF(F663&lt;&gt;"","PASS","FAIL - No Brand")</f>
        <v>PASS</v>
      </c>
      <c r="S663" s="20" t="str">
        <f aca="true">IF(K663="","FAIL - No Date",IF(TODAY()-DATEVALUE(K663)&lt;=180,"PASS","FLAG - Stale &gt;180d"))</f>
        <v>FLAG - Stale &gt;180d</v>
      </c>
      <c r="T663" s="20" t="n">
        <f aca="false">COUNTIF(M663:S663,"FAIL*")+COUNTIF(M663:S663,"FLAG*")</f>
        <v>1</v>
      </c>
      <c r="U663" s="20" t="str">
        <f aca="false">IF(T663=0,"CLEAN",IF(T663=1,"MINOR",IF(T663&lt;=3,"MODERATE","CRITICAL")))</f>
        <v>MINOR</v>
      </c>
      <c r="V663" s="20" t="str">
        <f aca="false">IF(U663="CLEAN","None",IF(U663="MINOR","Seller Notify",IF(U663="MODERATE","Listing Suspended","Immediate Removal")))</f>
        <v>Seller Notify</v>
      </c>
    </row>
    <row r="664" customFormat="false" ht="18" hidden="false" customHeight="true" outlineLevel="0" collapsed="false">
      <c r="A664" s="19" t="s">
        <v>6741</v>
      </c>
      <c r="B664" s="19" t="s">
        <v>4301</v>
      </c>
      <c r="C664" s="19" t="s">
        <v>113</v>
      </c>
      <c r="D664" s="19" t="s">
        <v>114</v>
      </c>
      <c r="E664" s="19" t="s">
        <v>65</v>
      </c>
      <c r="F664" s="19" t="s">
        <v>371</v>
      </c>
      <c r="G664" s="19" t="s">
        <v>4303</v>
      </c>
      <c r="H664" s="19" t="s">
        <v>4304</v>
      </c>
      <c r="I664" s="19" t="s">
        <v>2147</v>
      </c>
      <c r="J664" s="19" t="n">
        <v>489.84</v>
      </c>
      <c r="K664" s="19" t="s">
        <v>2622</v>
      </c>
      <c r="L664" s="19"/>
      <c r="M664" s="20" t="str">
        <f aca="false">IF(G664&lt;&gt;"","PASS","FAIL - Missing UPC")</f>
        <v>PASS</v>
      </c>
      <c r="N664" s="20" t="str">
        <f aca="false">IF(AND(G664&lt;&gt;"",H664&lt;&gt;""),IF("0"&amp;G664=H664,"PASS","FAIL - GTIN Mismatch"),"SKIP")</f>
        <v>PASS</v>
      </c>
      <c r="O664" s="20" t="str">
        <f aca="false">IF(I664="","FAIL - No Title",IF(LEN(I664)&lt;=126,"PASS","FAIL - Title &gt;"&amp;126&amp;" chars"))</f>
        <v>PASS</v>
      </c>
      <c r="P664" s="20" t="str">
        <f aca="false">IF(J664&gt;0,IF(J664&lt;5000,"PASS","FLAG - Review Price"),"FAIL - Zero Price")</f>
        <v>PASS</v>
      </c>
      <c r="Q664" s="20" t="str">
        <f aca="false">IF('Raw Catalog'!P662&lt;&gt;"","PASS","FAIL - No Image")</f>
        <v>PASS</v>
      </c>
      <c r="R664" s="20" t="str">
        <f aca="false">IF(F664&lt;&gt;"","PASS","FAIL - No Brand")</f>
        <v>PASS</v>
      </c>
      <c r="S664" s="20" t="str">
        <f aca="true">IF(K664="","FAIL - No Date",IF(TODAY()-DATEVALUE(K664)&lt;=180,"PASS","FLAG - Stale &gt;180d"))</f>
        <v>FLAG - Stale &gt;180d</v>
      </c>
      <c r="T664" s="20" t="n">
        <f aca="false">COUNTIF(M664:S664,"FAIL*")+COUNTIF(M664:S664,"FLAG*")</f>
        <v>1</v>
      </c>
      <c r="U664" s="20" t="str">
        <f aca="false">IF(T664=0,"CLEAN",IF(T664=1,"MINOR",IF(T664&lt;=3,"MODERATE","CRITICAL")))</f>
        <v>MINOR</v>
      </c>
      <c r="V664" s="20" t="str">
        <f aca="false">IF(U664="CLEAN","None",IF(U664="MINOR","Seller Notify",IF(U664="MODERATE","Listing Suspended","Immediate Removal")))</f>
        <v>Seller Notify</v>
      </c>
    </row>
    <row r="665" customFormat="false" ht="18" hidden="false" customHeight="true" outlineLevel="0" collapsed="false">
      <c r="A665" s="19" t="s">
        <v>6742</v>
      </c>
      <c r="B665" s="19" t="s">
        <v>4305</v>
      </c>
      <c r="C665" s="19" t="s">
        <v>48</v>
      </c>
      <c r="D665" s="19" t="s">
        <v>49</v>
      </c>
      <c r="E665" s="19" t="s">
        <v>79</v>
      </c>
      <c r="F665" s="19" t="s">
        <v>465</v>
      </c>
      <c r="G665" s="19" t="s">
        <v>4307</v>
      </c>
      <c r="H665" s="19" t="s">
        <v>4308</v>
      </c>
      <c r="I665" s="19" t="s">
        <v>4309</v>
      </c>
      <c r="J665" s="19" t="n">
        <v>850.05</v>
      </c>
      <c r="K665" s="19" t="s">
        <v>4311</v>
      </c>
      <c r="L665" s="19"/>
      <c r="M665" s="20" t="str">
        <f aca="false">IF(G665&lt;&gt;"","PASS","FAIL - Missing UPC")</f>
        <v>PASS</v>
      </c>
      <c r="N665" s="20" t="str">
        <f aca="false">IF(AND(G665&lt;&gt;"",H665&lt;&gt;""),IF("0"&amp;G665=H665,"PASS","FAIL - GTIN Mismatch"),"SKIP")</f>
        <v>PASS</v>
      </c>
      <c r="O665" s="20" t="str">
        <f aca="false">IF(I665="","FAIL - No Title",IF(LEN(I665)&lt;=126,"PASS","FAIL - Title &gt;"&amp;126&amp;" chars"))</f>
        <v>PASS</v>
      </c>
      <c r="P665" s="20" t="str">
        <f aca="false">IF(J665&gt;0,IF(J665&lt;5000,"PASS","FLAG - Review Price"),"FAIL - Zero Price")</f>
        <v>PASS</v>
      </c>
      <c r="Q665" s="20" t="str">
        <f aca="false">IF('Raw Catalog'!P663&lt;&gt;"","PASS","FAIL - No Image")</f>
        <v>PASS</v>
      </c>
      <c r="R665" s="20" t="str">
        <f aca="false">IF(F665&lt;&gt;"","PASS","FAIL - No Brand")</f>
        <v>PASS</v>
      </c>
      <c r="S665" s="20" t="str">
        <f aca="true">IF(K665="","FAIL - No Date",IF(TODAY()-DATEVALUE(K665)&lt;=180,"PASS","FLAG - Stale &gt;180d"))</f>
        <v>FLAG - Stale &gt;180d</v>
      </c>
      <c r="T665" s="20" t="n">
        <f aca="false">COUNTIF(M665:S665,"FAIL*")+COUNTIF(M665:S665,"FLAG*")</f>
        <v>1</v>
      </c>
      <c r="U665" s="20" t="str">
        <f aca="false">IF(T665=0,"CLEAN",IF(T665=1,"MINOR",IF(T665&lt;=3,"MODERATE","CRITICAL")))</f>
        <v>MINOR</v>
      </c>
      <c r="V665" s="20" t="str">
        <f aca="false">IF(U665="CLEAN","None",IF(U665="MINOR","Seller Notify",IF(U665="MODERATE","Listing Suspended","Immediate Removal")))</f>
        <v>Seller Notify</v>
      </c>
    </row>
    <row r="666" customFormat="false" ht="18" hidden="false" customHeight="true" outlineLevel="0" collapsed="false">
      <c r="A666" s="19" t="s">
        <v>6743</v>
      </c>
      <c r="B666" s="19" t="s">
        <v>4312</v>
      </c>
      <c r="C666" s="19" t="s">
        <v>48</v>
      </c>
      <c r="D666" s="19" t="s">
        <v>49</v>
      </c>
      <c r="E666" s="19" t="s">
        <v>161</v>
      </c>
      <c r="F666" s="19" t="s">
        <v>295</v>
      </c>
      <c r="G666" s="19" t="s">
        <v>4314</v>
      </c>
      <c r="H666" s="19" t="s">
        <v>4315</v>
      </c>
      <c r="I666" s="19" t="s">
        <v>1566</v>
      </c>
      <c r="J666" s="19" t="n">
        <v>43.54</v>
      </c>
      <c r="K666" s="19" t="s">
        <v>531</v>
      </c>
      <c r="L666" s="21" t="s">
        <v>243</v>
      </c>
      <c r="M666" s="20" t="str">
        <f aca="false">IF(G666&lt;&gt;"","PASS","FAIL - Missing UPC")</f>
        <v>PASS</v>
      </c>
      <c r="N666" s="20" t="str">
        <f aca="false">IF(AND(G666&lt;&gt;"",H666&lt;&gt;""),IF("0"&amp;G666=H666,"PASS","FAIL - GTIN Mismatch"),"SKIP")</f>
        <v>FAIL - GTIN Mismatch</v>
      </c>
      <c r="O666" s="20" t="str">
        <f aca="false">IF(I666="","FAIL - No Title",IF(LEN(I666)&lt;=126,"PASS","FAIL - Title &gt;"&amp;126&amp;" chars"))</f>
        <v>PASS</v>
      </c>
      <c r="P666" s="20" t="str">
        <f aca="false">IF(J666&gt;0,IF(J666&lt;5000,"PASS","FLAG - Review Price"),"FAIL - Zero Price")</f>
        <v>PASS</v>
      </c>
      <c r="Q666" s="20" t="str">
        <f aca="false">IF('Raw Catalog'!P664&lt;&gt;"","PASS","FAIL - No Image")</f>
        <v>PASS</v>
      </c>
      <c r="R666" s="20" t="str">
        <f aca="false">IF(F666&lt;&gt;"","PASS","FAIL - No Brand")</f>
        <v>PASS</v>
      </c>
      <c r="S666" s="20" t="str">
        <f aca="true">IF(K666="","FAIL - No Date",IF(TODAY()-DATEVALUE(K666)&lt;=180,"PASS","FLAG - Stale &gt;180d"))</f>
        <v>FLAG - Stale &gt;180d</v>
      </c>
      <c r="T666" s="20" t="n">
        <f aca="false">COUNTIF(M666:S666,"FAIL*")+COUNTIF(M666:S666,"FLAG*")</f>
        <v>2</v>
      </c>
      <c r="U666" s="20" t="str">
        <f aca="false">IF(T666=0,"CLEAN",IF(T666=1,"MINOR",IF(T666&lt;=3,"MODERATE","CRITICAL")))</f>
        <v>MODERATE</v>
      </c>
      <c r="V666" s="20" t="str">
        <f aca="false">IF(U666="CLEAN","None",IF(U666="MINOR","Seller Notify",IF(U666="MODERATE","Listing Suspended","Immediate Removal")))</f>
        <v>Listing Suspended</v>
      </c>
    </row>
    <row r="667" customFormat="false" ht="18" hidden="false" customHeight="true" outlineLevel="0" collapsed="false">
      <c r="A667" s="19" t="s">
        <v>6744</v>
      </c>
      <c r="B667" s="19" t="s">
        <v>4316</v>
      </c>
      <c r="C667" s="19" t="s">
        <v>63</v>
      </c>
      <c r="D667" s="19" t="s">
        <v>64</v>
      </c>
      <c r="E667" s="19" t="s">
        <v>50</v>
      </c>
      <c r="F667" s="19" t="s">
        <v>127</v>
      </c>
      <c r="G667" s="19" t="s">
        <v>4318</v>
      </c>
      <c r="H667" s="19" t="s">
        <v>4319</v>
      </c>
      <c r="I667" s="19" t="s">
        <v>4320</v>
      </c>
      <c r="J667" s="19" t="n">
        <v>507.42</v>
      </c>
      <c r="K667" s="19" t="s">
        <v>1260</v>
      </c>
      <c r="L667" s="19"/>
      <c r="M667" s="20" t="str">
        <f aca="false">IF(G667&lt;&gt;"","PASS","FAIL - Missing UPC")</f>
        <v>PASS</v>
      </c>
      <c r="N667" s="20" t="str">
        <f aca="false">IF(AND(G667&lt;&gt;"",H667&lt;&gt;""),IF("0"&amp;G667=H667,"PASS","FAIL - GTIN Mismatch"),"SKIP")</f>
        <v>PASS</v>
      </c>
      <c r="O667" s="20" t="str">
        <f aca="false">IF(I667="","FAIL - No Title",IF(LEN(I667)&lt;=126,"PASS","FAIL - Title &gt;"&amp;126&amp;" chars"))</f>
        <v>PASS</v>
      </c>
      <c r="P667" s="20" t="str">
        <f aca="false">IF(J667&gt;0,IF(J667&lt;5000,"PASS","FLAG - Review Price"),"FAIL - Zero Price")</f>
        <v>PASS</v>
      </c>
      <c r="Q667" s="20" t="str">
        <f aca="false">IF('Raw Catalog'!P665&lt;&gt;"","PASS","FAIL - No Image")</f>
        <v>PASS</v>
      </c>
      <c r="R667" s="20" t="str">
        <f aca="false">IF(F667&lt;&gt;"","PASS","FAIL - No Brand")</f>
        <v>PASS</v>
      </c>
      <c r="S667" s="20" t="str">
        <f aca="true">IF(K667="","FAIL - No Date",IF(TODAY()-DATEVALUE(K667)&lt;=180,"PASS","FLAG - Stale &gt;180d"))</f>
        <v>FLAG - Stale &gt;180d</v>
      </c>
      <c r="T667" s="20" t="n">
        <f aca="false">COUNTIF(M667:S667,"FAIL*")+COUNTIF(M667:S667,"FLAG*")</f>
        <v>1</v>
      </c>
      <c r="U667" s="20" t="str">
        <f aca="false">IF(T667=0,"CLEAN",IF(T667=1,"MINOR",IF(T667&lt;=3,"MODERATE","CRITICAL")))</f>
        <v>MINOR</v>
      </c>
      <c r="V667" s="20" t="str">
        <f aca="false">IF(U667="CLEAN","None",IF(U667="MINOR","Seller Notify",IF(U667="MODERATE","Listing Suspended","Immediate Removal")))</f>
        <v>Seller Notify</v>
      </c>
    </row>
    <row r="668" customFormat="false" ht="18" hidden="false" customHeight="true" outlineLevel="0" collapsed="false">
      <c r="A668" s="19" t="s">
        <v>6745</v>
      </c>
      <c r="B668" s="19" t="s">
        <v>4322</v>
      </c>
      <c r="C668" s="19" t="s">
        <v>173</v>
      </c>
      <c r="D668" s="19" t="s">
        <v>174</v>
      </c>
      <c r="E668" s="19" t="s">
        <v>50</v>
      </c>
      <c r="F668" s="19" t="s">
        <v>51</v>
      </c>
      <c r="G668" s="19" t="s">
        <v>4324</v>
      </c>
      <c r="H668" s="19" t="s">
        <v>4325</v>
      </c>
      <c r="I668" s="19" t="s">
        <v>4326</v>
      </c>
      <c r="J668" s="19" t="n">
        <v>456.03</v>
      </c>
      <c r="K668" s="19" t="s">
        <v>491</v>
      </c>
      <c r="L668" s="19"/>
      <c r="M668" s="20" t="str">
        <f aca="false">IF(G668&lt;&gt;"","PASS","FAIL - Missing UPC")</f>
        <v>PASS</v>
      </c>
      <c r="N668" s="20" t="str">
        <f aca="false">IF(AND(G668&lt;&gt;"",H668&lt;&gt;""),IF("0"&amp;G668=H668,"PASS","FAIL - GTIN Mismatch"),"SKIP")</f>
        <v>PASS</v>
      </c>
      <c r="O668" s="20" t="str">
        <f aca="false">IF(I668="","FAIL - No Title",IF(LEN(I668)&lt;=126,"PASS","FAIL - Title &gt;"&amp;126&amp;" chars"))</f>
        <v>PASS</v>
      </c>
      <c r="P668" s="20" t="str">
        <f aca="false">IF(J668&gt;0,IF(J668&lt;5000,"PASS","FLAG - Review Price"),"FAIL - Zero Price")</f>
        <v>PASS</v>
      </c>
      <c r="Q668" s="20" t="str">
        <f aca="false">IF('Raw Catalog'!P666&lt;&gt;"","PASS","FAIL - No Image")</f>
        <v>PASS</v>
      </c>
      <c r="R668" s="20" t="str">
        <f aca="false">IF(F668&lt;&gt;"","PASS","FAIL - No Brand")</f>
        <v>PASS</v>
      </c>
      <c r="S668" s="20" t="str">
        <f aca="true">IF(K668="","FAIL - No Date",IF(TODAY()-DATEVALUE(K668)&lt;=180,"PASS","FLAG - Stale &gt;180d"))</f>
        <v>FLAG - Stale &gt;180d</v>
      </c>
      <c r="T668" s="20" t="n">
        <f aca="false">COUNTIF(M668:S668,"FAIL*")+COUNTIF(M668:S668,"FLAG*")</f>
        <v>1</v>
      </c>
      <c r="U668" s="20" t="str">
        <f aca="false">IF(T668=0,"CLEAN",IF(T668=1,"MINOR",IF(T668&lt;=3,"MODERATE","CRITICAL")))</f>
        <v>MINOR</v>
      </c>
      <c r="V668" s="20" t="str">
        <f aca="false">IF(U668="CLEAN","None",IF(U668="MINOR","Seller Notify",IF(U668="MODERATE","Listing Suspended","Immediate Removal")))</f>
        <v>Seller Notify</v>
      </c>
    </row>
    <row r="669" customFormat="false" ht="18" hidden="false" customHeight="true" outlineLevel="0" collapsed="false">
      <c r="A669" s="19" t="s">
        <v>6746</v>
      </c>
      <c r="B669" s="19" t="s">
        <v>4328</v>
      </c>
      <c r="C669" s="19" t="s">
        <v>173</v>
      </c>
      <c r="D669" s="19" t="s">
        <v>174</v>
      </c>
      <c r="E669" s="19" t="s">
        <v>91</v>
      </c>
      <c r="F669" s="19" t="s">
        <v>780</v>
      </c>
      <c r="G669" s="19" t="s">
        <v>4330</v>
      </c>
      <c r="H669" s="19" t="s">
        <v>4331</v>
      </c>
      <c r="I669" s="19" t="s">
        <v>4332</v>
      </c>
      <c r="J669" s="19" t="n">
        <v>408.44</v>
      </c>
      <c r="K669" s="19" t="s">
        <v>4333</v>
      </c>
      <c r="L669" s="19"/>
      <c r="M669" s="20" t="str">
        <f aca="false">IF(G669&lt;&gt;"","PASS","FAIL - Missing UPC")</f>
        <v>PASS</v>
      </c>
      <c r="N669" s="20" t="str">
        <f aca="false">IF(AND(G669&lt;&gt;"",H669&lt;&gt;""),IF("0"&amp;G669=H669,"PASS","FAIL - GTIN Mismatch"),"SKIP")</f>
        <v>PASS</v>
      </c>
      <c r="O669" s="20" t="str">
        <f aca="false">IF(I669="","FAIL - No Title",IF(LEN(I669)&lt;=126,"PASS","FAIL - Title &gt;"&amp;126&amp;" chars"))</f>
        <v>PASS</v>
      </c>
      <c r="P669" s="20" t="str">
        <f aca="false">IF(J669&gt;0,IF(J669&lt;5000,"PASS","FLAG - Review Price"),"FAIL - Zero Price")</f>
        <v>PASS</v>
      </c>
      <c r="Q669" s="20" t="str">
        <f aca="false">IF('Raw Catalog'!P667&lt;&gt;"","PASS","FAIL - No Image")</f>
        <v>PASS</v>
      </c>
      <c r="R669" s="20" t="str">
        <f aca="false">IF(F669&lt;&gt;"","PASS","FAIL - No Brand")</f>
        <v>PASS</v>
      </c>
      <c r="S669" s="20" t="str">
        <f aca="true">IF(K669="","FAIL - No Date",IF(TODAY()-DATEVALUE(K669)&lt;=180,"PASS","FLAG - Stale &gt;180d"))</f>
        <v>FLAG - Stale &gt;180d</v>
      </c>
      <c r="T669" s="20" t="n">
        <f aca="false">COUNTIF(M669:S669,"FAIL*")+COUNTIF(M669:S669,"FLAG*")</f>
        <v>1</v>
      </c>
      <c r="U669" s="20" t="str">
        <f aca="false">IF(T669=0,"CLEAN",IF(T669=1,"MINOR",IF(T669&lt;=3,"MODERATE","CRITICAL")))</f>
        <v>MINOR</v>
      </c>
      <c r="V669" s="20" t="str">
        <f aca="false">IF(U669="CLEAN","None",IF(U669="MINOR","Seller Notify",IF(U669="MODERATE","Listing Suspended","Immediate Removal")))</f>
        <v>Seller Notify</v>
      </c>
    </row>
    <row r="670" customFormat="false" ht="18" hidden="false" customHeight="true" outlineLevel="0" collapsed="false">
      <c r="A670" s="19" t="s">
        <v>6747</v>
      </c>
      <c r="B670" s="19" t="s">
        <v>4334</v>
      </c>
      <c r="C670" s="19" t="s">
        <v>159</v>
      </c>
      <c r="D670" s="19" t="s">
        <v>160</v>
      </c>
      <c r="E670" s="19" t="s">
        <v>91</v>
      </c>
      <c r="F670" s="19" t="s">
        <v>587</v>
      </c>
      <c r="G670" s="19" t="s">
        <v>4336</v>
      </c>
      <c r="H670" s="19" t="s">
        <v>4337</v>
      </c>
      <c r="I670" s="19" t="s">
        <v>4338</v>
      </c>
      <c r="J670" s="19" t="n">
        <v>265.69</v>
      </c>
      <c r="K670" s="19" t="s">
        <v>687</v>
      </c>
      <c r="L670" s="19"/>
      <c r="M670" s="20" t="str">
        <f aca="false">IF(G670&lt;&gt;"","PASS","FAIL - Missing UPC")</f>
        <v>PASS</v>
      </c>
      <c r="N670" s="20" t="str">
        <f aca="false">IF(AND(G670&lt;&gt;"",H670&lt;&gt;""),IF("0"&amp;G670=H670,"PASS","FAIL - GTIN Mismatch"),"SKIP")</f>
        <v>PASS</v>
      </c>
      <c r="O670" s="20" t="str">
        <f aca="false">IF(I670="","FAIL - No Title",IF(LEN(I670)&lt;=126,"PASS","FAIL - Title &gt;"&amp;126&amp;" chars"))</f>
        <v>PASS</v>
      </c>
      <c r="P670" s="20" t="str">
        <f aca="false">IF(J670&gt;0,IF(J670&lt;5000,"PASS","FLAG - Review Price"),"FAIL - Zero Price")</f>
        <v>PASS</v>
      </c>
      <c r="Q670" s="20" t="str">
        <f aca="false">IF('Raw Catalog'!P668&lt;&gt;"","PASS","FAIL - No Image")</f>
        <v>PASS</v>
      </c>
      <c r="R670" s="20" t="str">
        <f aca="false">IF(F670&lt;&gt;"","PASS","FAIL - No Brand")</f>
        <v>PASS</v>
      </c>
      <c r="S670" s="20" t="str">
        <f aca="true">IF(K670="","FAIL - No Date",IF(TODAY()-DATEVALUE(K670)&lt;=180,"PASS","FLAG - Stale &gt;180d"))</f>
        <v>FLAG - Stale &gt;180d</v>
      </c>
      <c r="T670" s="20" t="n">
        <f aca="false">COUNTIF(M670:S670,"FAIL*")+COUNTIF(M670:S670,"FLAG*")</f>
        <v>1</v>
      </c>
      <c r="U670" s="20" t="str">
        <f aca="false">IF(T670=0,"CLEAN",IF(T670=1,"MINOR",IF(T670&lt;=3,"MODERATE","CRITICAL")))</f>
        <v>MINOR</v>
      </c>
      <c r="V670" s="20" t="str">
        <f aca="false">IF(U670="CLEAN","None",IF(U670="MINOR","Seller Notify",IF(U670="MODERATE","Listing Suspended","Immediate Removal")))</f>
        <v>Seller Notify</v>
      </c>
    </row>
    <row r="671" customFormat="false" ht="18" hidden="false" customHeight="true" outlineLevel="0" collapsed="false">
      <c r="A671" s="19" t="s">
        <v>6748</v>
      </c>
      <c r="B671" s="19" t="s">
        <v>4339</v>
      </c>
      <c r="C671" s="19" t="s">
        <v>63</v>
      </c>
      <c r="D671" s="19" t="s">
        <v>64</v>
      </c>
      <c r="E671" s="19" t="s">
        <v>50</v>
      </c>
      <c r="F671" s="19" t="s">
        <v>503</v>
      </c>
      <c r="G671" s="19" t="s">
        <v>4341</v>
      </c>
      <c r="H671" s="19" t="s">
        <v>4342</v>
      </c>
      <c r="I671" s="19" t="s">
        <v>4343</v>
      </c>
      <c r="J671" s="19" t="n">
        <v>1027.23</v>
      </c>
      <c r="K671" s="19" t="s">
        <v>1880</v>
      </c>
      <c r="L671" s="19"/>
      <c r="M671" s="20" t="str">
        <f aca="false">IF(G671&lt;&gt;"","PASS","FAIL - Missing UPC")</f>
        <v>PASS</v>
      </c>
      <c r="N671" s="20" t="str">
        <f aca="false">IF(AND(G671&lt;&gt;"",H671&lt;&gt;""),IF("0"&amp;G671=H671,"PASS","FAIL - GTIN Mismatch"),"SKIP")</f>
        <v>PASS</v>
      </c>
      <c r="O671" s="20" t="str">
        <f aca="false">IF(I671="","FAIL - No Title",IF(LEN(I671)&lt;=126,"PASS","FAIL - Title &gt;"&amp;126&amp;" chars"))</f>
        <v>PASS</v>
      </c>
      <c r="P671" s="20" t="str">
        <f aca="false">IF(J671&gt;0,IF(J671&lt;5000,"PASS","FLAG - Review Price"),"FAIL - Zero Price")</f>
        <v>PASS</v>
      </c>
      <c r="Q671" s="20" t="str">
        <f aca="false">IF('Raw Catalog'!P669&lt;&gt;"","PASS","FAIL - No Image")</f>
        <v>PASS</v>
      </c>
      <c r="R671" s="20" t="str">
        <f aca="false">IF(F671&lt;&gt;"","PASS","FAIL - No Brand")</f>
        <v>PASS</v>
      </c>
      <c r="S671" s="20" t="str">
        <f aca="true">IF(K671="","FAIL - No Date",IF(TODAY()-DATEVALUE(K671)&lt;=180,"PASS","FLAG - Stale &gt;180d"))</f>
        <v>FLAG - Stale &gt;180d</v>
      </c>
      <c r="T671" s="20" t="n">
        <f aca="false">COUNTIF(M671:S671,"FAIL*")+COUNTIF(M671:S671,"FLAG*")</f>
        <v>1</v>
      </c>
      <c r="U671" s="20" t="str">
        <f aca="false">IF(T671=0,"CLEAN",IF(T671=1,"MINOR",IF(T671&lt;=3,"MODERATE","CRITICAL")))</f>
        <v>MINOR</v>
      </c>
      <c r="V671" s="20" t="str">
        <f aca="false">IF(U671="CLEAN","None",IF(U671="MINOR","Seller Notify",IF(U671="MODERATE","Listing Suspended","Immediate Removal")))</f>
        <v>Seller Notify</v>
      </c>
    </row>
    <row r="672" customFormat="false" ht="18" hidden="false" customHeight="true" outlineLevel="0" collapsed="false">
      <c r="A672" s="19" t="s">
        <v>6749</v>
      </c>
      <c r="B672" s="19" t="s">
        <v>4345</v>
      </c>
      <c r="C672" s="19" t="s">
        <v>173</v>
      </c>
      <c r="D672" s="19" t="s">
        <v>174</v>
      </c>
      <c r="E672" s="19" t="s">
        <v>65</v>
      </c>
      <c r="F672" s="19" t="s">
        <v>390</v>
      </c>
      <c r="G672" s="19" t="s">
        <v>4347</v>
      </c>
      <c r="H672" s="19" t="s">
        <v>4348</v>
      </c>
      <c r="I672" s="19" t="s">
        <v>395</v>
      </c>
      <c r="J672" s="19" t="n">
        <v>243.71</v>
      </c>
      <c r="K672" s="19" t="s">
        <v>722</v>
      </c>
      <c r="L672" s="19"/>
      <c r="M672" s="20" t="str">
        <f aca="false">IF(G672&lt;&gt;"","PASS","FAIL - Missing UPC")</f>
        <v>PASS</v>
      </c>
      <c r="N672" s="20" t="str">
        <f aca="false">IF(AND(G672&lt;&gt;"",H672&lt;&gt;""),IF("0"&amp;G672=H672,"PASS","FAIL - GTIN Mismatch"),"SKIP")</f>
        <v>PASS</v>
      </c>
      <c r="O672" s="20" t="str">
        <f aca="false">IF(I672="","FAIL - No Title",IF(LEN(I672)&lt;=126,"PASS","FAIL - Title &gt;"&amp;126&amp;" chars"))</f>
        <v>PASS</v>
      </c>
      <c r="P672" s="20" t="str">
        <f aca="false">IF(J672&gt;0,IF(J672&lt;5000,"PASS","FLAG - Review Price"),"FAIL - Zero Price")</f>
        <v>PASS</v>
      </c>
      <c r="Q672" s="20" t="str">
        <f aca="false">IF('Raw Catalog'!P670&lt;&gt;"","PASS","FAIL - No Image")</f>
        <v>PASS</v>
      </c>
      <c r="R672" s="20" t="str">
        <f aca="false">IF(F672&lt;&gt;"","PASS","FAIL - No Brand")</f>
        <v>PASS</v>
      </c>
      <c r="S672" s="20" t="str">
        <f aca="true">IF(K672="","FAIL - No Date",IF(TODAY()-DATEVALUE(K672)&lt;=180,"PASS","FLAG - Stale &gt;180d"))</f>
        <v>FLAG - Stale &gt;180d</v>
      </c>
      <c r="T672" s="20" t="n">
        <f aca="false">COUNTIF(M672:S672,"FAIL*")+COUNTIF(M672:S672,"FLAG*")</f>
        <v>1</v>
      </c>
      <c r="U672" s="20" t="str">
        <f aca="false">IF(T672=0,"CLEAN",IF(T672=1,"MINOR",IF(T672&lt;=3,"MODERATE","CRITICAL")))</f>
        <v>MINOR</v>
      </c>
      <c r="V672" s="20" t="str">
        <f aca="false">IF(U672="CLEAN","None",IF(U672="MINOR","Seller Notify",IF(U672="MODERATE","Listing Suspended","Immediate Removal")))</f>
        <v>Seller Notify</v>
      </c>
    </row>
    <row r="673" customFormat="false" ht="18" hidden="false" customHeight="true" outlineLevel="0" collapsed="false">
      <c r="A673" s="19" t="s">
        <v>6750</v>
      </c>
      <c r="B673" s="19" t="s">
        <v>3926</v>
      </c>
      <c r="C673" s="19" t="s">
        <v>77</v>
      </c>
      <c r="D673" s="19" t="s">
        <v>78</v>
      </c>
      <c r="E673" s="19" t="s">
        <v>65</v>
      </c>
      <c r="F673" s="19" t="s">
        <v>115</v>
      </c>
      <c r="G673" s="19" t="s">
        <v>3928</v>
      </c>
      <c r="H673" s="19" t="s">
        <v>3929</v>
      </c>
      <c r="I673" s="19" t="s">
        <v>1257</v>
      </c>
      <c r="J673" s="19" t="n">
        <v>85</v>
      </c>
      <c r="K673" s="19" t="s">
        <v>3930</v>
      </c>
      <c r="L673" s="21" t="s">
        <v>283</v>
      </c>
      <c r="M673" s="20" t="str">
        <f aca="false">IF(G673&lt;&gt;"","PASS","FAIL - Missing UPC")</f>
        <v>PASS</v>
      </c>
      <c r="N673" s="20" t="str">
        <f aca="false">IF(AND(G673&lt;&gt;"",H673&lt;&gt;""),IF("0"&amp;G673=H673,"PASS","FAIL - GTIN Mismatch"),"SKIP")</f>
        <v>PASS</v>
      </c>
      <c r="O673" s="20" t="str">
        <f aca="false">IF(I673="","FAIL - No Title",IF(LEN(I673)&lt;=126,"PASS","FAIL - Title &gt;"&amp;126&amp;" chars"))</f>
        <v>PASS</v>
      </c>
      <c r="P673" s="20" t="str">
        <f aca="false">IF(J673&gt;0,IF(J673&lt;5000,"PASS","FLAG - Review Price"),"FAIL - Zero Price")</f>
        <v>PASS</v>
      </c>
      <c r="Q673" s="20" t="str">
        <f aca="false">IF('Raw Catalog'!P671&lt;&gt;"","PASS","FAIL - No Image")</f>
        <v>PASS</v>
      </c>
      <c r="R673" s="20" t="str">
        <f aca="false">IF(F673&lt;&gt;"","PASS","FAIL - No Brand")</f>
        <v>PASS</v>
      </c>
      <c r="S673" s="20" t="str">
        <f aca="true">IF(K673="","FAIL - No Date",IF(TODAY()-DATEVALUE(K673)&lt;=180,"PASS","FLAG - Stale &gt;180d"))</f>
        <v>FLAG - Stale &gt;180d</v>
      </c>
      <c r="T673" s="20" t="n">
        <f aca="false">COUNTIF(M673:S673,"FAIL*")+COUNTIF(M673:S673,"FLAG*")</f>
        <v>1</v>
      </c>
      <c r="U673" s="20" t="str">
        <f aca="false">IF(T673=0,"CLEAN",IF(T673=1,"MINOR",IF(T673&lt;=3,"MODERATE","CRITICAL")))</f>
        <v>MINOR</v>
      </c>
      <c r="V673" s="20" t="str">
        <f aca="false">IF(U673="CLEAN","None",IF(U673="MINOR","Seller Notify",IF(U673="MODERATE","Listing Suspended","Immediate Removal")))</f>
        <v>Seller Notify</v>
      </c>
    </row>
    <row r="674" customFormat="false" ht="18" hidden="false" customHeight="true" outlineLevel="0" collapsed="false">
      <c r="A674" s="19" t="s">
        <v>6751</v>
      </c>
      <c r="B674" s="19" t="s">
        <v>4349</v>
      </c>
      <c r="C674" s="19" t="s">
        <v>173</v>
      </c>
      <c r="D674" s="19" t="s">
        <v>174</v>
      </c>
      <c r="E674" s="19" t="s">
        <v>91</v>
      </c>
      <c r="F674" s="19" t="s">
        <v>419</v>
      </c>
      <c r="G674" s="19" t="s">
        <v>4351</v>
      </c>
      <c r="H674" s="19" t="s">
        <v>4352</v>
      </c>
      <c r="I674" s="19" t="s">
        <v>4353</v>
      </c>
      <c r="J674" s="19" t="n">
        <v>2024.9</v>
      </c>
      <c r="K674" s="19" t="s">
        <v>806</v>
      </c>
      <c r="L674" s="19"/>
      <c r="M674" s="20" t="str">
        <f aca="false">IF(G674&lt;&gt;"","PASS","FAIL - Missing UPC")</f>
        <v>PASS</v>
      </c>
      <c r="N674" s="20" t="str">
        <f aca="false">IF(AND(G674&lt;&gt;"",H674&lt;&gt;""),IF("0"&amp;G674=H674,"PASS","FAIL - GTIN Mismatch"),"SKIP")</f>
        <v>PASS</v>
      </c>
      <c r="O674" s="20" t="str">
        <f aca="false">IF(I674="","FAIL - No Title",IF(LEN(I674)&lt;=126,"PASS","FAIL - Title &gt;"&amp;126&amp;" chars"))</f>
        <v>PASS</v>
      </c>
      <c r="P674" s="20" t="str">
        <f aca="false">IF(J674&gt;0,IF(J674&lt;5000,"PASS","FLAG - Review Price"),"FAIL - Zero Price")</f>
        <v>PASS</v>
      </c>
      <c r="Q674" s="20" t="str">
        <f aca="false">IF('Raw Catalog'!P672&lt;&gt;"","PASS","FAIL - No Image")</f>
        <v>PASS</v>
      </c>
      <c r="R674" s="20" t="str">
        <f aca="false">IF(F674&lt;&gt;"","PASS","FAIL - No Brand")</f>
        <v>PASS</v>
      </c>
      <c r="S674" s="20" t="str">
        <f aca="true">IF(K674="","FAIL - No Date",IF(TODAY()-DATEVALUE(K674)&lt;=180,"PASS","FLAG - Stale &gt;180d"))</f>
        <v>FLAG - Stale &gt;180d</v>
      </c>
      <c r="T674" s="20" t="n">
        <f aca="false">COUNTIF(M674:S674,"FAIL*")+COUNTIF(M674:S674,"FLAG*")</f>
        <v>1</v>
      </c>
      <c r="U674" s="20" t="str">
        <f aca="false">IF(T674=0,"CLEAN",IF(T674=1,"MINOR",IF(T674&lt;=3,"MODERATE","CRITICAL")))</f>
        <v>MINOR</v>
      </c>
      <c r="V674" s="20" t="str">
        <f aca="false">IF(U674="CLEAN","None",IF(U674="MINOR","Seller Notify",IF(U674="MODERATE","Listing Suspended","Immediate Removal")))</f>
        <v>Seller Notify</v>
      </c>
    </row>
    <row r="675" customFormat="false" ht="18" hidden="false" customHeight="true" outlineLevel="0" collapsed="false">
      <c r="A675" s="19" t="s">
        <v>6752</v>
      </c>
      <c r="B675" s="19" t="s">
        <v>4354</v>
      </c>
      <c r="C675" s="19" t="s">
        <v>63</v>
      </c>
      <c r="D675" s="19" t="s">
        <v>64</v>
      </c>
      <c r="E675" s="19" t="s">
        <v>79</v>
      </c>
      <c r="F675" s="19" t="s">
        <v>196</v>
      </c>
      <c r="G675" s="19" t="s">
        <v>4356</v>
      </c>
      <c r="H675" s="19" t="s">
        <v>4357</v>
      </c>
      <c r="I675" s="19" t="s">
        <v>4358</v>
      </c>
      <c r="J675" s="19" t="n">
        <v>1928.94</v>
      </c>
      <c r="K675" s="19" t="s">
        <v>2377</v>
      </c>
      <c r="L675" s="19"/>
      <c r="M675" s="20" t="str">
        <f aca="false">IF(G675&lt;&gt;"","PASS","FAIL - Missing UPC")</f>
        <v>PASS</v>
      </c>
      <c r="N675" s="20" t="str">
        <f aca="false">IF(AND(G675&lt;&gt;"",H675&lt;&gt;""),IF("0"&amp;G675=H675,"PASS","FAIL - GTIN Mismatch"),"SKIP")</f>
        <v>PASS</v>
      </c>
      <c r="O675" s="20" t="str">
        <f aca="false">IF(I675="","FAIL - No Title",IF(LEN(I675)&lt;=126,"PASS","FAIL - Title &gt;"&amp;126&amp;" chars"))</f>
        <v>PASS</v>
      </c>
      <c r="P675" s="20" t="str">
        <f aca="false">IF(J675&gt;0,IF(J675&lt;5000,"PASS","FLAG - Review Price"),"FAIL - Zero Price")</f>
        <v>PASS</v>
      </c>
      <c r="Q675" s="20" t="str">
        <f aca="false">IF('Raw Catalog'!P673&lt;&gt;"","PASS","FAIL - No Image")</f>
        <v>PASS</v>
      </c>
      <c r="R675" s="20" t="str">
        <f aca="false">IF(F675&lt;&gt;"","PASS","FAIL - No Brand")</f>
        <v>PASS</v>
      </c>
      <c r="S675" s="20" t="str">
        <f aca="true">IF(K675="","FAIL - No Date",IF(TODAY()-DATEVALUE(K675)&lt;=180,"PASS","FLAG - Stale &gt;180d"))</f>
        <v>FLAG - Stale &gt;180d</v>
      </c>
      <c r="T675" s="20" t="n">
        <f aca="false">COUNTIF(M675:S675,"FAIL*")+COUNTIF(M675:S675,"FLAG*")</f>
        <v>1</v>
      </c>
      <c r="U675" s="20" t="str">
        <f aca="false">IF(T675=0,"CLEAN",IF(T675=1,"MINOR",IF(T675&lt;=3,"MODERATE","CRITICAL")))</f>
        <v>MINOR</v>
      </c>
      <c r="V675" s="20" t="str">
        <f aca="false">IF(U675="CLEAN","None",IF(U675="MINOR","Seller Notify",IF(U675="MODERATE","Listing Suspended","Immediate Removal")))</f>
        <v>Seller Notify</v>
      </c>
    </row>
    <row r="676" customFormat="false" ht="18" hidden="false" customHeight="true" outlineLevel="0" collapsed="false">
      <c r="A676" s="19" t="s">
        <v>6753</v>
      </c>
      <c r="B676" s="19" t="s">
        <v>4359</v>
      </c>
      <c r="C676" s="19" t="s">
        <v>63</v>
      </c>
      <c r="D676" s="19" t="s">
        <v>64</v>
      </c>
      <c r="E676" s="19" t="s">
        <v>50</v>
      </c>
      <c r="F676" s="19" t="s">
        <v>127</v>
      </c>
      <c r="G676" s="19" t="s">
        <v>4361</v>
      </c>
      <c r="H676" s="19" t="s">
        <v>4362</v>
      </c>
      <c r="I676" s="19" t="s">
        <v>4363</v>
      </c>
      <c r="J676" s="19" t="n">
        <v>1113.26</v>
      </c>
      <c r="K676" s="19" t="s">
        <v>1529</v>
      </c>
      <c r="L676" s="19"/>
      <c r="M676" s="20" t="str">
        <f aca="false">IF(G676&lt;&gt;"","PASS","FAIL - Missing UPC")</f>
        <v>PASS</v>
      </c>
      <c r="N676" s="20" t="str">
        <f aca="false">IF(AND(G676&lt;&gt;"",H676&lt;&gt;""),IF("0"&amp;G676=H676,"PASS","FAIL - GTIN Mismatch"),"SKIP")</f>
        <v>PASS</v>
      </c>
      <c r="O676" s="20" t="str">
        <f aca="false">IF(I676="","FAIL - No Title",IF(LEN(I676)&lt;=126,"PASS","FAIL - Title &gt;"&amp;126&amp;" chars"))</f>
        <v>PASS</v>
      </c>
      <c r="P676" s="20" t="str">
        <f aca="false">IF(J676&gt;0,IF(J676&lt;5000,"PASS","FLAG - Review Price"),"FAIL - Zero Price")</f>
        <v>PASS</v>
      </c>
      <c r="Q676" s="20" t="str">
        <f aca="false">IF('Raw Catalog'!P674&lt;&gt;"","PASS","FAIL - No Image")</f>
        <v>PASS</v>
      </c>
      <c r="R676" s="20" t="str">
        <f aca="false">IF(F676&lt;&gt;"","PASS","FAIL - No Brand")</f>
        <v>PASS</v>
      </c>
      <c r="S676" s="20" t="str">
        <f aca="true">IF(K676="","FAIL - No Date",IF(TODAY()-DATEVALUE(K676)&lt;=180,"PASS","FLAG - Stale &gt;180d"))</f>
        <v>FLAG - Stale &gt;180d</v>
      </c>
      <c r="T676" s="20" t="n">
        <f aca="false">COUNTIF(M676:S676,"FAIL*")+COUNTIF(M676:S676,"FLAG*")</f>
        <v>1</v>
      </c>
      <c r="U676" s="20" t="str">
        <f aca="false">IF(T676=0,"CLEAN",IF(T676=1,"MINOR",IF(T676&lt;=3,"MODERATE","CRITICAL")))</f>
        <v>MINOR</v>
      </c>
      <c r="V676" s="20" t="str">
        <f aca="false">IF(U676="CLEAN","None",IF(U676="MINOR","Seller Notify",IF(U676="MODERATE","Listing Suspended","Immediate Removal")))</f>
        <v>Seller Notify</v>
      </c>
    </row>
    <row r="677" customFormat="false" ht="18" hidden="false" customHeight="true" outlineLevel="0" collapsed="false">
      <c r="A677" s="19" t="s">
        <v>6754</v>
      </c>
      <c r="B677" s="19" t="s">
        <v>4365</v>
      </c>
      <c r="C677" s="19" t="s">
        <v>77</v>
      </c>
      <c r="D677" s="19" t="s">
        <v>78</v>
      </c>
      <c r="E677" s="19" t="s">
        <v>65</v>
      </c>
      <c r="F677" s="19" t="s">
        <v>227</v>
      </c>
      <c r="G677" s="19" t="s">
        <v>4367</v>
      </c>
      <c r="H677" s="19" t="s">
        <v>4368</v>
      </c>
      <c r="I677" s="19" t="s">
        <v>278</v>
      </c>
      <c r="J677" s="19" t="n">
        <v>163.3</v>
      </c>
      <c r="K677" s="19" t="s">
        <v>4369</v>
      </c>
      <c r="L677" s="19"/>
      <c r="M677" s="20" t="str">
        <f aca="false">IF(G677&lt;&gt;"","PASS","FAIL - Missing UPC")</f>
        <v>PASS</v>
      </c>
      <c r="N677" s="20" t="str">
        <f aca="false">IF(AND(G677&lt;&gt;"",H677&lt;&gt;""),IF("0"&amp;G677=H677,"PASS","FAIL - GTIN Mismatch"),"SKIP")</f>
        <v>PASS</v>
      </c>
      <c r="O677" s="20" t="str">
        <f aca="false">IF(I677="","FAIL - No Title",IF(LEN(I677)&lt;=126,"PASS","FAIL - Title &gt;"&amp;126&amp;" chars"))</f>
        <v>PASS</v>
      </c>
      <c r="P677" s="20" t="str">
        <f aca="false">IF(J677&gt;0,IF(J677&lt;5000,"PASS","FLAG - Review Price"),"FAIL - Zero Price")</f>
        <v>PASS</v>
      </c>
      <c r="Q677" s="20" t="str">
        <f aca="false">IF('Raw Catalog'!P675&lt;&gt;"","PASS","FAIL - No Image")</f>
        <v>PASS</v>
      </c>
      <c r="R677" s="20" t="str">
        <f aca="false">IF(F677&lt;&gt;"","PASS","FAIL - No Brand")</f>
        <v>PASS</v>
      </c>
      <c r="S677" s="20" t="str">
        <f aca="true">IF(K677="","FAIL - No Date",IF(TODAY()-DATEVALUE(K677)&lt;=180,"PASS","FLAG - Stale &gt;180d"))</f>
        <v>FLAG - Stale &gt;180d</v>
      </c>
      <c r="T677" s="20" t="n">
        <f aca="false">COUNTIF(M677:S677,"FAIL*")+COUNTIF(M677:S677,"FLAG*")</f>
        <v>1</v>
      </c>
      <c r="U677" s="20" t="str">
        <f aca="false">IF(T677=0,"CLEAN",IF(T677=1,"MINOR",IF(T677&lt;=3,"MODERATE","CRITICAL")))</f>
        <v>MINOR</v>
      </c>
      <c r="V677" s="20" t="str">
        <f aca="false">IF(U677="CLEAN","None",IF(U677="MINOR","Seller Notify",IF(U677="MODERATE","Listing Suspended","Immediate Removal")))</f>
        <v>Seller Notify</v>
      </c>
    </row>
    <row r="678" customFormat="false" ht="18" hidden="false" customHeight="true" outlineLevel="0" collapsed="false">
      <c r="A678" s="19" t="s">
        <v>6755</v>
      </c>
      <c r="B678" s="19" t="s">
        <v>4370</v>
      </c>
      <c r="C678" s="19" t="s">
        <v>113</v>
      </c>
      <c r="D678" s="19" t="s">
        <v>114</v>
      </c>
      <c r="E678" s="19" t="s">
        <v>50</v>
      </c>
      <c r="F678" s="19" t="s">
        <v>503</v>
      </c>
      <c r="G678" s="19" t="s">
        <v>4372</v>
      </c>
      <c r="H678" s="19" t="s">
        <v>4373</v>
      </c>
      <c r="I678" s="19" t="s">
        <v>4374</v>
      </c>
      <c r="J678" s="19" t="n">
        <v>933.45</v>
      </c>
      <c r="K678" s="19" t="s">
        <v>1409</v>
      </c>
      <c r="L678" s="19"/>
      <c r="M678" s="20" t="str">
        <f aca="false">IF(G678&lt;&gt;"","PASS","FAIL - Missing UPC")</f>
        <v>PASS</v>
      </c>
      <c r="N678" s="20" t="str">
        <f aca="false">IF(AND(G678&lt;&gt;"",H678&lt;&gt;""),IF("0"&amp;G678=H678,"PASS","FAIL - GTIN Mismatch"),"SKIP")</f>
        <v>PASS</v>
      </c>
      <c r="O678" s="20" t="str">
        <f aca="false">IF(I678="","FAIL - No Title",IF(LEN(I678)&lt;=126,"PASS","FAIL - Title &gt;"&amp;126&amp;" chars"))</f>
        <v>PASS</v>
      </c>
      <c r="P678" s="20" t="str">
        <f aca="false">IF(J678&gt;0,IF(J678&lt;5000,"PASS","FLAG - Review Price"),"FAIL - Zero Price")</f>
        <v>PASS</v>
      </c>
      <c r="Q678" s="20" t="str">
        <f aca="false">IF('Raw Catalog'!P676&lt;&gt;"","PASS","FAIL - No Image")</f>
        <v>PASS</v>
      </c>
      <c r="R678" s="20" t="str">
        <f aca="false">IF(F678&lt;&gt;"","PASS","FAIL - No Brand")</f>
        <v>PASS</v>
      </c>
      <c r="S678" s="20" t="str">
        <f aca="true">IF(K678="","FAIL - No Date",IF(TODAY()-DATEVALUE(K678)&lt;=180,"PASS","FLAG - Stale &gt;180d"))</f>
        <v>FLAG - Stale &gt;180d</v>
      </c>
      <c r="T678" s="20" t="n">
        <f aca="false">COUNTIF(M678:S678,"FAIL*")+COUNTIF(M678:S678,"FLAG*")</f>
        <v>1</v>
      </c>
      <c r="U678" s="20" t="str">
        <f aca="false">IF(T678=0,"CLEAN",IF(T678=1,"MINOR",IF(T678&lt;=3,"MODERATE","CRITICAL")))</f>
        <v>MINOR</v>
      </c>
      <c r="V678" s="20" t="str">
        <f aca="false">IF(U678="CLEAN","None",IF(U678="MINOR","Seller Notify",IF(U678="MODERATE","Listing Suspended","Immediate Removal")))</f>
        <v>Seller Notify</v>
      </c>
    </row>
    <row r="679" customFormat="false" ht="18" hidden="false" customHeight="true" outlineLevel="0" collapsed="false">
      <c r="A679" s="19" t="s">
        <v>6756</v>
      </c>
      <c r="B679" s="19" t="s">
        <v>4375</v>
      </c>
      <c r="C679" s="19" t="s">
        <v>63</v>
      </c>
      <c r="D679" s="19" t="s">
        <v>64</v>
      </c>
      <c r="E679" s="19" t="s">
        <v>161</v>
      </c>
      <c r="F679" s="19" t="s">
        <v>162</v>
      </c>
      <c r="G679" s="19" t="s">
        <v>4377</v>
      </c>
      <c r="H679" s="19" t="s">
        <v>4378</v>
      </c>
      <c r="I679" s="19" t="s">
        <v>3211</v>
      </c>
      <c r="J679" s="19" t="n">
        <v>292.82</v>
      </c>
      <c r="K679" s="19" t="s">
        <v>4379</v>
      </c>
      <c r="L679" s="19"/>
      <c r="M679" s="20" t="str">
        <f aca="false">IF(G679&lt;&gt;"","PASS","FAIL - Missing UPC")</f>
        <v>PASS</v>
      </c>
      <c r="N679" s="20" t="str">
        <f aca="false">IF(AND(G679&lt;&gt;"",H679&lt;&gt;""),IF("0"&amp;G679=H679,"PASS","FAIL - GTIN Mismatch"),"SKIP")</f>
        <v>PASS</v>
      </c>
      <c r="O679" s="20" t="str">
        <f aca="false">IF(I679="","FAIL - No Title",IF(LEN(I679)&lt;=126,"PASS","FAIL - Title &gt;"&amp;126&amp;" chars"))</f>
        <v>PASS</v>
      </c>
      <c r="P679" s="20" t="str">
        <f aca="false">IF(J679&gt;0,IF(J679&lt;5000,"PASS","FLAG - Review Price"),"FAIL - Zero Price")</f>
        <v>PASS</v>
      </c>
      <c r="Q679" s="20" t="str">
        <f aca="false">IF('Raw Catalog'!P677&lt;&gt;"","PASS","FAIL - No Image")</f>
        <v>PASS</v>
      </c>
      <c r="R679" s="20" t="str">
        <f aca="false">IF(F679&lt;&gt;"","PASS","FAIL - No Brand")</f>
        <v>PASS</v>
      </c>
      <c r="S679" s="20" t="str">
        <f aca="true">IF(K679="","FAIL - No Date",IF(TODAY()-DATEVALUE(K679)&lt;=180,"PASS","FLAG - Stale &gt;180d"))</f>
        <v>FLAG - Stale &gt;180d</v>
      </c>
      <c r="T679" s="20" t="n">
        <f aca="false">COUNTIF(M679:S679,"FAIL*")+COUNTIF(M679:S679,"FLAG*")</f>
        <v>1</v>
      </c>
      <c r="U679" s="20" t="str">
        <f aca="false">IF(T679=0,"CLEAN",IF(T679=1,"MINOR",IF(T679&lt;=3,"MODERATE","CRITICAL")))</f>
        <v>MINOR</v>
      </c>
      <c r="V679" s="20" t="str">
        <f aca="false">IF(U679="CLEAN","None",IF(U679="MINOR","Seller Notify",IF(U679="MODERATE","Listing Suspended","Immediate Removal")))</f>
        <v>Seller Notify</v>
      </c>
    </row>
    <row r="680" customFormat="false" ht="18" hidden="false" customHeight="true" outlineLevel="0" collapsed="false">
      <c r="A680" s="19" t="s">
        <v>6757</v>
      </c>
      <c r="B680" s="19" t="s">
        <v>4380</v>
      </c>
      <c r="C680" s="19" t="s">
        <v>255</v>
      </c>
      <c r="D680" s="19" t="s">
        <v>256</v>
      </c>
      <c r="E680" s="19" t="s">
        <v>65</v>
      </c>
      <c r="F680" s="19" t="s">
        <v>438</v>
      </c>
      <c r="G680" s="19" t="s">
        <v>4382</v>
      </c>
      <c r="H680" s="19" t="s">
        <v>4383</v>
      </c>
      <c r="I680" s="19" t="s">
        <v>885</v>
      </c>
      <c r="J680" s="19" t="n">
        <v>107.77</v>
      </c>
      <c r="K680" s="19" t="s">
        <v>1179</v>
      </c>
      <c r="L680" s="19"/>
      <c r="M680" s="20" t="str">
        <f aca="false">IF(G680&lt;&gt;"","PASS","FAIL - Missing UPC")</f>
        <v>PASS</v>
      </c>
      <c r="N680" s="20" t="str">
        <f aca="false">IF(AND(G680&lt;&gt;"",H680&lt;&gt;""),IF("0"&amp;G680=H680,"PASS","FAIL - GTIN Mismatch"),"SKIP")</f>
        <v>PASS</v>
      </c>
      <c r="O680" s="20" t="str">
        <f aca="false">IF(I680="","FAIL - No Title",IF(LEN(I680)&lt;=126,"PASS","FAIL - Title &gt;"&amp;126&amp;" chars"))</f>
        <v>PASS</v>
      </c>
      <c r="P680" s="20" t="str">
        <f aca="false">IF(J680&gt;0,IF(J680&lt;5000,"PASS","FLAG - Review Price"),"FAIL - Zero Price")</f>
        <v>PASS</v>
      </c>
      <c r="Q680" s="20" t="str">
        <f aca="false">IF('Raw Catalog'!P678&lt;&gt;"","PASS","FAIL - No Image")</f>
        <v>PASS</v>
      </c>
      <c r="R680" s="20" t="str">
        <f aca="false">IF(F680&lt;&gt;"","PASS","FAIL - No Brand")</f>
        <v>PASS</v>
      </c>
      <c r="S680" s="20" t="str">
        <f aca="true">IF(K680="","FAIL - No Date",IF(TODAY()-DATEVALUE(K680)&lt;=180,"PASS","FLAG - Stale &gt;180d"))</f>
        <v>FLAG - Stale &gt;180d</v>
      </c>
      <c r="T680" s="20" t="n">
        <f aca="false">COUNTIF(M680:S680,"FAIL*")+COUNTIF(M680:S680,"FLAG*")</f>
        <v>1</v>
      </c>
      <c r="U680" s="20" t="str">
        <f aca="false">IF(T680=0,"CLEAN",IF(T680=1,"MINOR",IF(T680&lt;=3,"MODERATE","CRITICAL")))</f>
        <v>MINOR</v>
      </c>
      <c r="V680" s="20" t="str">
        <f aca="false">IF(U680="CLEAN","None",IF(U680="MINOR","Seller Notify",IF(U680="MODERATE","Listing Suspended","Immediate Removal")))</f>
        <v>Seller Notify</v>
      </c>
    </row>
    <row r="681" customFormat="false" ht="18" hidden="false" customHeight="true" outlineLevel="0" collapsed="false">
      <c r="A681" s="19" t="s">
        <v>6758</v>
      </c>
      <c r="B681" s="19" t="s">
        <v>4384</v>
      </c>
      <c r="C681" s="19" t="s">
        <v>159</v>
      </c>
      <c r="D681" s="19" t="s">
        <v>160</v>
      </c>
      <c r="E681" s="19" t="s">
        <v>65</v>
      </c>
      <c r="F681" s="19" t="s">
        <v>115</v>
      </c>
      <c r="G681" s="19" t="s">
        <v>4386</v>
      </c>
      <c r="H681" s="19" t="s">
        <v>4387</v>
      </c>
      <c r="I681" s="19" t="s">
        <v>4388</v>
      </c>
      <c r="J681" s="19" t="n">
        <v>150.9</v>
      </c>
      <c r="K681" s="19" t="s">
        <v>1880</v>
      </c>
      <c r="L681" s="19"/>
      <c r="M681" s="20" t="str">
        <f aca="false">IF(G681&lt;&gt;"","PASS","FAIL - Missing UPC")</f>
        <v>PASS</v>
      </c>
      <c r="N681" s="20" t="str">
        <f aca="false">IF(AND(G681&lt;&gt;"",H681&lt;&gt;""),IF("0"&amp;G681=H681,"PASS","FAIL - GTIN Mismatch"),"SKIP")</f>
        <v>PASS</v>
      </c>
      <c r="O681" s="20" t="str">
        <f aca="false">IF(I681="","FAIL - No Title",IF(LEN(I681)&lt;=126,"PASS","FAIL - Title &gt;"&amp;126&amp;" chars"))</f>
        <v>PASS</v>
      </c>
      <c r="P681" s="20" t="str">
        <f aca="false">IF(J681&gt;0,IF(J681&lt;5000,"PASS","FLAG - Review Price"),"FAIL - Zero Price")</f>
        <v>PASS</v>
      </c>
      <c r="Q681" s="20" t="str">
        <f aca="false">IF('Raw Catalog'!P679&lt;&gt;"","PASS","FAIL - No Image")</f>
        <v>PASS</v>
      </c>
      <c r="R681" s="20" t="str">
        <f aca="false">IF(F681&lt;&gt;"","PASS","FAIL - No Brand")</f>
        <v>PASS</v>
      </c>
      <c r="S681" s="20" t="str">
        <f aca="true">IF(K681="","FAIL - No Date",IF(TODAY()-DATEVALUE(K681)&lt;=180,"PASS","FLAG - Stale &gt;180d"))</f>
        <v>FLAG - Stale &gt;180d</v>
      </c>
      <c r="T681" s="20" t="n">
        <f aca="false">COUNTIF(M681:S681,"FAIL*")+COUNTIF(M681:S681,"FLAG*")</f>
        <v>1</v>
      </c>
      <c r="U681" s="20" t="str">
        <f aca="false">IF(T681=0,"CLEAN",IF(T681=1,"MINOR",IF(T681&lt;=3,"MODERATE","CRITICAL")))</f>
        <v>MINOR</v>
      </c>
      <c r="V681" s="20" t="str">
        <f aca="false">IF(U681="CLEAN","None",IF(U681="MINOR","Seller Notify",IF(U681="MODERATE","Listing Suspended","Immediate Removal")))</f>
        <v>Seller Notify</v>
      </c>
    </row>
    <row r="682" customFormat="false" ht="18" hidden="false" customHeight="true" outlineLevel="0" collapsed="false">
      <c r="A682" s="19" t="s">
        <v>6759</v>
      </c>
      <c r="B682" s="19" t="s">
        <v>4391</v>
      </c>
      <c r="C682" s="19" t="s">
        <v>125</v>
      </c>
      <c r="D682" s="19" t="s">
        <v>126</v>
      </c>
      <c r="E682" s="19" t="s">
        <v>50</v>
      </c>
      <c r="F682" s="19"/>
      <c r="G682" s="19" t="s">
        <v>4393</v>
      </c>
      <c r="H682" s="19" t="s">
        <v>4394</v>
      </c>
      <c r="I682" s="19" t="s">
        <v>4395</v>
      </c>
      <c r="J682" s="19" t="n">
        <v>556.03</v>
      </c>
      <c r="K682" s="19" t="s">
        <v>157</v>
      </c>
      <c r="L682" s="21" t="s">
        <v>778</v>
      </c>
      <c r="M682" s="20" t="str">
        <f aca="false">IF(G682&lt;&gt;"","PASS","FAIL - Missing UPC")</f>
        <v>PASS</v>
      </c>
      <c r="N682" s="20" t="str">
        <f aca="false">IF(AND(G682&lt;&gt;"",H682&lt;&gt;""),IF("0"&amp;G682=H682,"PASS","FAIL - GTIN Mismatch"),"SKIP")</f>
        <v>PASS</v>
      </c>
      <c r="O682" s="20" t="str">
        <f aca="false">IF(I682="","FAIL - No Title",IF(LEN(I682)&lt;=126,"PASS","FAIL - Title &gt;"&amp;126&amp;" chars"))</f>
        <v>FAIL - Title &gt;126 chars</v>
      </c>
      <c r="P682" s="20" t="str">
        <f aca="false">IF(J682&gt;0,IF(J682&lt;5000,"PASS","FLAG - Review Price"),"FAIL - Zero Price")</f>
        <v>PASS</v>
      </c>
      <c r="Q682" s="20" t="str">
        <f aca="false">IF('Raw Catalog'!P680&lt;&gt;"","PASS","FAIL - No Image")</f>
        <v>PASS</v>
      </c>
      <c r="R682" s="20" t="str">
        <f aca="false">IF(F682&lt;&gt;"","PASS","FAIL - No Brand")</f>
        <v>FAIL - No Brand</v>
      </c>
      <c r="S682" s="20" t="str">
        <f aca="true">IF(K682="","FAIL - No Date",IF(TODAY()-DATEVALUE(K682)&lt;=180,"PASS","FLAG - Stale &gt;180d"))</f>
        <v>FLAG - Stale &gt;180d</v>
      </c>
      <c r="T682" s="20" t="n">
        <f aca="false">COUNTIF(M682:S682,"FAIL*")+COUNTIF(M682:S682,"FLAG*")</f>
        <v>3</v>
      </c>
      <c r="U682" s="20" t="str">
        <f aca="false">IF(T682=0,"CLEAN",IF(T682=1,"MINOR",IF(T682&lt;=3,"MODERATE","CRITICAL")))</f>
        <v>MODERATE</v>
      </c>
      <c r="V682" s="20" t="str">
        <f aca="false">IF(U682="CLEAN","None",IF(U682="MINOR","Seller Notify",IF(U682="MODERATE","Listing Suspended","Immediate Removal")))</f>
        <v>Listing Suspended</v>
      </c>
    </row>
    <row r="683" customFormat="false" ht="18" hidden="false" customHeight="true" outlineLevel="0" collapsed="false">
      <c r="A683" s="19" t="s">
        <v>6760</v>
      </c>
      <c r="B683" s="19" t="s">
        <v>4397</v>
      </c>
      <c r="C683" s="19" t="s">
        <v>255</v>
      </c>
      <c r="D683" s="19" t="s">
        <v>256</v>
      </c>
      <c r="E683" s="19" t="s">
        <v>161</v>
      </c>
      <c r="F683" s="19" t="s">
        <v>162</v>
      </c>
      <c r="G683" s="19" t="s">
        <v>4399</v>
      </c>
      <c r="H683" s="19" t="s">
        <v>4400</v>
      </c>
      <c r="I683" s="19" t="s">
        <v>413</v>
      </c>
      <c r="J683" s="19" t="n">
        <v>284.04</v>
      </c>
      <c r="K683" s="19" t="s">
        <v>3451</v>
      </c>
      <c r="L683" s="19"/>
      <c r="M683" s="20" t="str">
        <f aca="false">IF(G683&lt;&gt;"","PASS","FAIL - Missing UPC")</f>
        <v>PASS</v>
      </c>
      <c r="N683" s="20" t="str">
        <f aca="false">IF(AND(G683&lt;&gt;"",H683&lt;&gt;""),IF("0"&amp;G683=H683,"PASS","FAIL - GTIN Mismatch"),"SKIP")</f>
        <v>PASS</v>
      </c>
      <c r="O683" s="20" t="str">
        <f aca="false">IF(I683="","FAIL - No Title",IF(LEN(I683)&lt;=126,"PASS","FAIL - Title &gt;"&amp;126&amp;" chars"))</f>
        <v>PASS</v>
      </c>
      <c r="P683" s="20" t="str">
        <f aca="false">IF(J683&gt;0,IF(J683&lt;5000,"PASS","FLAG - Review Price"),"FAIL - Zero Price")</f>
        <v>PASS</v>
      </c>
      <c r="Q683" s="20" t="str">
        <f aca="false">IF('Raw Catalog'!P681&lt;&gt;"","PASS","FAIL - No Image")</f>
        <v>PASS</v>
      </c>
      <c r="R683" s="20" t="str">
        <f aca="false">IF(F683&lt;&gt;"","PASS","FAIL - No Brand")</f>
        <v>PASS</v>
      </c>
      <c r="S683" s="20" t="str">
        <f aca="true">IF(K683="","FAIL - No Date",IF(TODAY()-DATEVALUE(K683)&lt;=180,"PASS","FLAG - Stale &gt;180d"))</f>
        <v>FLAG - Stale &gt;180d</v>
      </c>
      <c r="T683" s="20" t="n">
        <f aca="false">COUNTIF(M683:S683,"FAIL*")+COUNTIF(M683:S683,"FLAG*")</f>
        <v>1</v>
      </c>
      <c r="U683" s="20" t="str">
        <f aca="false">IF(T683=0,"CLEAN",IF(T683=1,"MINOR",IF(T683&lt;=3,"MODERATE","CRITICAL")))</f>
        <v>MINOR</v>
      </c>
      <c r="V683" s="20" t="str">
        <f aca="false">IF(U683="CLEAN","None",IF(U683="MINOR","Seller Notify",IF(U683="MODERATE","Listing Suspended","Immediate Removal")))</f>
        <v>Seller Notify</v>
      </c>
    </row>
    <row r="684" customFormat="false" ht="18" hidden="false" customHeight="true" outlineLevel="0" collapsed="false">
      <c r="A684" s="19" t="s">
        <v>6761</v>
      </c>
      <c r="B684" s="19" t="s">
        <v>4401</v>
      </c>
      <c r="C684" s="19" t="s">
        <v>63</v>
      </c>
      <c r="D684" s="19" t="s">
        <v>64</v>
      </c>
      <c r="E684" s="19" t="s">
        <v>161</v>
      </c>
      <c r="F684" s="19" t="s">
        <v>822</v>
      </c>
      <c r="G684" s="19" t="s">
        <v>4403</v>
      </c>
      <c r="H684" s="19" t="s">
        <v>4404</v>
      </c>
      <c r="I684" s="19" t="s">
        <v>4405</v>
      </c>
      <c r="J684" s="19" t="n">
        <v>37.25</v>
      </c>
      <c r="K684" s="19" t="s">
        <v>1973</v>
      </c>
      <c r="L684" s="19"/>
      <c r="M684" s="20" t="str">
        <f aca="false">IF(G684&lt;&gt;"","PASS","FAIL - Missing UPC")</f>
        <v>PASS</v>
      </c>
      <c r="N684" s="20" t="str">
        <f aca="false">IF(AND(G684&lt;&gt;"",H684&lt;&gt;""),IF("0"&amp;G684=H684,"PASS","FAIL - GTIN Mismatch"),"SKIP")</f>
        <v>PASS</v>
      </c>
      <c r="O684" s="20" t="str">
        <f aca="false">IF(I684="","FAIL - No Title",IF(LEN(I684)&lt;=126,"PASS","FAIL - Title &gt;"&amp;126&amp;" chars"))</f>
        <v>PASS</v>
      </c>
      <c r="P684" s="20" t="str">
        <f aca="false">IF(J684&gt;0,IF(J684&lt;5000,"PASS","FLAG - Review Price"),"FAIL - Zero Price")</f>
        <v>PASS</v>
      </c>
      <c r="Q684" s="20" t="str">
        <f aca="false">IF('Raw Catalog'!P682&lt;&gt;"","PASS","FAIL - No Image")</f>
        <v>PASS</v>
      </c>
      <c r="R684" s="20" t="str">
        <f aca="false">IF(F684&lt;&gt;"","PASS","FAIL - No Brand")</f>
        <v>PASS</v>
      </c>
      <c r="S684" s="20" t="str">
        <f aca="true">IF(K684="","FAIL - No Date",IF(TODAY()-DATEVALUE(K684)&lt;=180,"PASS","FLAG - Stale &gt;180d"))</f>
        <v>FLAG - Stale &gt;180d</v>
      </c>
      <c r="T684" s="20" t="n">
        <f aca="false">COUNTIF(M684:S684,"FAIL*")+COUNTIF(M684:S684,"FLAG*")</f>
        <v>1</v>
      </c>
      <c r="U684" s="20" t="str">
        <f aca="false">IF(T684=0,"CLEAN",IF(T684=1,"MINOR",IF(T684&lt;=3,"MODERATE","CRITICAL")))</f>
        <v>MINOR</v>
      </c>
      <c r="V684" s="20" t="str">
        <f aca="false">IF(U684="CLEAN","None",IF(U684="MINOR","Seller Notify",IF(U684="MODERATE","Listing Suspended","Immediate Removal")))</f>
        <v>Seller Notify</v>
      </c>
    </row>
    <row r="685" customFormat="false" ht="18" hidden="false" customHeight="true" outlineLevel="0" collapsed="false">
      <c r="A685" s="19" t="s">
        <v>6762</v>
      </c>
      <c r="B685" s="19" t="s">
        <v>4408</v>
      </c>
      <c r="C685" s="19" t="s">
        <v>173</v>
      </c>
      <c r="D685" s="19" t="s">
        <v>174</v>
      </c>
      <c r="E685" s="19" t="s">
        <v>91</v>
      </c>
      <c r="F685" s="19" t="s">
        <v>185</v>
      </c>
      <c r="G685" s="19" t="s">
        <v>4410</v>
      </c>
      <c r="H685" s="19" t="s">
        <v>4411</v>
      </c>
      <c r="I685" s="19" t="s">
        <v>4412</v>
      </c>
      <c r="J685" s="19" t="n">
        <v>2917.52</v>
      </c>
      <c r="K685" s="19" t="s">
        <v>360</v>
      </c>
      <c r="L685" s="21" t="s">
        <v>778</v>
      </c>
      <c r="M685" s="20" t="str">
        <f aca="false">IF(G685&lt;&gt;"","PASS","FAIL - Missing UPC")</f>
        <v>PASS</v>
      </c>
      <c r="N685" s="20" t="str">
        <f aca="false">IF(AND(G685&lt;&gt;"",H685&lt;&gt;""),IF("0"&amp;G685=H685,"PASS","FAIL - GTIN Mismatch"),"SKIP")</f>
        <v>PASS</v>
      </c>
      <c r="O685" s="20" t="str">
        <f aca="false">IF(I685="","FAIL - No Title",IF(LEN(I685)&lt;=126,"PASS","FAIL - Title &gt;"&amp;126&amp;" chars"))</f>
        <v>FAIL - Title &gt;126 chars</v>
      </c>
      <c r="P685" s="20" t="str">
        <f aca="false">IF(J685&gt;0,IF(J685&lt;5000,"PASS","FLAG - Review Price"),"FAIL - Zero Price")</f>
        <v>PASS</v>
      </c>
      <c r="Q685" s="20" t="str">
        <f aca="false">IF('Raw Catalog'!P683&lt;&gt;"","PASS","FAIL - No Image")</f>
        <v>PASS</v>
      </c>
      <c r="R685" s="20" t="str">
        <f aca="false">IF(F685&lt;&gt;"","PASS","FAIL - No Brand")</f>
        <v>PASS</v>
      </c>
      <c r="S685" s="20" t="str">
        <f aca="true">IF(K685="","FAIL - No Date",IF(TODAY()-DATEVALUE(K685)&lt;=180,"PASS","FLAG - Stale &gt;180d"))</f>
        <v>FLAG - Stale &gt;180d</v>
      </c>
      <c r="T685" s="20" t="n">
        <f aca="false">COUNTIF(M685:S685,"FAIL*")+COUNTIF(M685:S685,"FLAG*")</f>
        <v>2</v>
      </c>
      <c r="U685" s="20" t="str">
        <f aca="false">IF(T685=0,"CLEAN",IF(T685=1,"MINOR",IF(T685&lt;=3,"MODERATE","CRITICAL")))</f>
        <v>MODERATE</v>
      </c>
      <c r="V685" s="20" t="str">
        <f aca="false">IF(U685="CLEAN","None",IF(U685="MINOR","Seller Notify",IF(U685="MODERATE","Listing Suspended","Immediate Removal")))</f>
        <v>Listing Suspended</v>
      </c>
    </row>
    <row r="686" customFormat="false" ht="18" hidden="false" customHeight="true" outlineLevel="0" collapsed="false">
      <c r="A686" s="19" t="s">
        <v>6763</v>
      </c>
      <c r="B686" s="19" t="s">
        <v>4414</v>
      </c>
      <c r="C686" s="19" t="s">
        <v>48</v>
      </c>
      <c r="D686" s="19" t="s">
        <v>49</v>
      </c>
      <c r="E686" s="19" t="s">
        <v>79</v>
      </c>
      <c r="F686" s="19" t="s">
        <v>465</v>
      </c>
      <c r="G686" s="19" t="s">
        <v>4416</v>
      </c>
      <c r="H686" s="19" t="s">
        <v>4417</v>
      </c>
      <c r="I686" s="19" t="s">
        <v>4418</v>
      </c>
      <c r="J686" s="19" t="n">
        <v>606.85</v>
      </c>
      <c r="K686" s="19" t="s">
        <v>4421</v>
      </c>
      <c r="L686" s="21" t="s">
        <v>325</v>
      </c>
      <c r="M686" s="20" t="str">
        <f aca="false">IF(G686&lt;&gt;"","PASS","FAIL - Missing UPC")</f>
        <v>PASS</v>
      </c>
      <c r="N686" s="20" t="str">
        <f aca="false">IF(AND(G686&lt;&gt;"",H686&lt;&gt;""),IF("0"&amp;G686=H686,"PASS","FAIL - GTIN Mismatch"),"SKIP")</f>
        <v>PASS</v>
      </c>
      <c r="O686" s="20" t="str">
        <f aca="false">IF(I686="","FAIL - No Title",IF(LEN(I686)&lt;=126,"PASS","FAIL - Title &gt;"&amp;126&amp;" chars"))</f>
        <v>PASS</v>
      </c>
      <c r="P686" s="20" t="str">
        <f aca="false">IF(J686&gt;0,IF(J686&lt;5000,"PASS","FLAG - Review Price"),"FAIL - Zero Price")</f>
        <v>PASS</v>
      </c>
      <c r="Q686" s="20" t="str">
        <f aca="false">IF('Raw Catalog'!P684&lt;&gt;"","PASS","FAIL - No Image")</f>
        <v>PASS</v>
      </c>
      <c r="R686" s="20" t="str">
        <f aca="false">IF(F686&lt;&gt;"","PASS","FAIL - No Brand")</f>
        <v>PASS</v>
      </c>
      <c r="S686" s="20" t="str">
        <f aca="true">IF(K686="","FAIL - No Date",IF(TODAY()-DATEVALUE(K686)&lt;=180,"PASS","FLAG - Stale &gt;180d"))</f>
        <v>FLAG - Stale &gt;180d</v>
      </c>
      <c r="T686" s="20" t="n">
        <f aca="false">COUNTIF(M686:S686,"FAIL*")+COUNTIF(M686:S686,"FLAG*")</f>
        <v>1</v>
      </c>
      <c r="U686" s="20" t="str">
        <f aca="false">IF(T686=0,"CLEAN",IF(T686=1,"MINOR",IF(T686&lt;=3,"MODERATE","CRITICAL")))</f>
        <v>MINOR</v>
      </c>
      <c r="V686" s="20" t="str">
        <f aca="false">IF(U686="CLEAN","None",IF(U686="MINOR","Seller Notify",IF(U686="MODERATE","Listing Suspended","Immediate Removal")))</f>
        <v>Seller Notify</v>
      </c>
    </row>
    <row r="687" customFormat="false" ht="18" hidden="false" customHeight="true" outlineLevel="0" collapsed="false">
      <c r="A687" s="19" t="s">
        <v>6764</v>
      </c>
      <c r="B687" s="19" t="s">
        <v>4422</v>
      </c>
      <c r="C687" s="19" t="s">
        <v>255</v>
      </c>
      <c r="D687" s="19" t="s">
        <v>256</v>
      </c>
      <c r="E687" s="19" t="s">
        <v>79</v>
      </c>
      <c r="F687" s="19" t="s">
        <v>51</v>
      </c>
      <c r="G687" s="19" t="s">
        <v>4424</v>
      </c>
      <c r="H687" s="19" t="s">
        <v>4425</v>
      </c>
      <c r="I687" s="19" t="s">
        <v>4426</v>
      </c>
      <c r="J687" s="19" t="n">
        <v>1400.45</v>
      </c>
      <c r="K687" s="19" t="s">
        <v>1075</v>
      </c>
      <c r="L687" s="19"/>
      <c r="M687" s="20" t="str">
        <f aca="false">IF(G687&lt;&gt;"","PASS","FAIL - Missing UPC")</f>
        <v>PASS</v>
      </c>
      <c r="N687" s="20" t="str">
        <f aca="false">IF(AND(G687&lt;&gt;"",H687&lt;&gt;""),IF("0"&amp;G687=H687,"PASS","FAIL - GTIN Mismatch"),"SKIP")</f>
        <v>PASS</v>
      </c>
      <c r="O687" s="20" t="str">
        <f aca="false">IF(I687="","FAIL - No Title",IF(LEN(I687)&lt;=126,"PASS","FAIL - Title &gt;"&amp;126&amp;" chars"))</f>
        <v>PASS</v>
      </c>
      <c r="P687" s="20" t="str">
        <f aca="false">IF(J687&gt;0,IF(J687&lt;5000,"PASS","FLAG - Review Price"),"FAIL - Zero Price")</f>
        <v>PASS</v>
      </c>
      <c r="Q687" s="20" t="str">
        <f aca="false">IF('Raw Catalog'!P685&lt;&gt;"","PASS","FAIL - No Image")</f>
        <v>PASS</v>
      </c>
      <c r="R687" s="20" t="str">
        <f aca="false">IF(F687&lt;&gt;"","PASS","FAIL - No Brand")</f>
        <v>PASS</v>
      </c>
      <c r="S687" s="20" t="str">
        <f aca="true">IF(K687="","FAIL - No Date",IF(TODAY()-DATEVALUE(K687)&lt;=180,"PASS","FLAG - Stale &gt;180d"))</f>
        <v>FLAG - Stale &gt;180d</v>
      </c>
      <c r="T687" s="20" t="n">
        <f aca="false">COUNTIF(M687:S687,"FAIL*")+COUNTIF(M687:S687,"FLAG*")</f>
        <v>1</v>
      </c>
      <c r="U687" s="20" t="str">
        <f aca="false">IF(T687=0,"CLEAN",IF(T687=1,"MINOR",IF(T687&lt;=3,"MODERATE","CRITICAL")))</f>
        <v>MINOR</v>
      </c>
      <c r="V687" s="20" t="str">
        <f aca="false">IF(U687="CLEAN","None",IF(U687="MINOR","Seller Notify",IF(U687="MODERATE","Listing Suspended","Immediate Removal")))</f>
        <v>Seller Notify</v>
      </c>
    </row>
    <row r="688" customFormat="false" ht="18" hidden="false" customHeight="true" outlineLevel="0" collapsed="false">
      <c r="A688" s="19" t="s">
        <v>6765</v>
      </c>
      <c r="B688" s="19" t="s">
        <v>4428</v>
      </c>
      <c r="C688" s="19" t="s">
        <v>255</v>
      </c>
      <c r="D688" s="19" t="s">
        <v>256</v>
      </c>
      <c r="E688" s="19" t="s">
        <v>65</v>
      </c>
      <c r="F688" s="19" t="s">
        <v>227</v>
      </c>
      <c r="G688" s="19" t="s">
        <v>4430</v>
      </c>
      <c r="H688" s="19" t="s">
        <v>4431</v>
      </c>
      <c r="I688" s="19" t="s">
        <v>3456</v>
      </c>
      <c r="J688" s="19" t="n">
        <v>35.01</v>
      </c>
      <c r="K688" s="19" t="s">
        <v>1450</v>
      </c>
      <c r="L688" s="19"/>
      <c r="M688" s="20" t="str">
        <f aca="false">IF(G688&lt;&gt;"","PASS","FAIL - Missing UPC")</f>
        <v>PASS</v>
      </c>
      <c r="N688" s="20" t="str">
        <f aca="false">IF(AND(G688&lt;&gt;"",H688&lt;&gt;""),IF("0"&amp;G688=H688,"PASS","FAIL - GTIN Mismatch"),"SKIP")</f>
        <v>PASS</v>
      </c>
      <c r="O688" s="20" t="str">
        <f aca="false">IF(I688="","FAIL - No Title",IF(LEN(I688)&lt;=126,"PASS","FAIL - Title &gt;"&amp;126&amp;" chars"))</f>
        <v>PASS</v>
      </c>
      <c r="P688" s="20" t="str">
        <f aca="false">IF(J688&gt;0,IF(J688&lt;5000,"PASS","FLAG - Review Price"),"FAIL - Zero Price")</f>
        <v>PASS</v>
      </c>
      <c r="Q688" s="20" t="str">
        <f aca="false">IF('Raw Catalog'!P686&lt;&gt;"","PASS","FAIL - No Image")</f>
        <v>PASS</v>
      </c>
      <c r="R688" s="20" t="str">
        <f aca="false">IF(F688&lt;&gt;"","PASS","FAIL - No Brand")</f>
        <v>PASS</v>
      </c>
      <c r="S688" s="20" t="str">
        <f aca="true">IF(K688="","FAIL - No Date",IF(TODAY()-DATEVALUE(K688)&lt;=180,"PASS","FLAG - Stale &gt;180d"))</f>
        <v>FLAG - Stale &gt;180d</v>
      </c>
      <c r="T688" s="20" t="n">
        <f aca="false">COUNTIF(M688:S688,"FAIL*")+COUNTIF(M688:S688,"FLAG*")</f>
        <v>1</v>
      </c>
      <c r="U688" s="20" t="str">
        <f aca="false">IF(T688=0,"CLEAN",IF(T688=1,"MINOR",IF(T688&lt;=3,"MODERATE","CRITICAL")))</f>
        <v>MINOR</v>
      </c>
      <c r="V688" s="20" t="str">
        <f aca="false">IF(U688="CLEAN","None",IF(U688="MINOR","Seller Notify",IF(U688="MODERATE","Listing Suspended","Immediate Removal")))</f>
        <v>Seller Notify</v>
      </c>
    </row>
    <row r="689" customFormat="false" ht="18" hidden="false" customHeight="true" outlineLevel="0" collapsed="false">
      <c r="A689" s="19" t="s">
        <v>6766</v>
      </c>
      <c r="B689" s="19" t="s">
        <v>4432</v>
      </c>
      <c r="C689" s="19" t="s">
        <v>255</v>
      </c>
      <c r="D689" s="19" t="s">
        <v>256</v>
      </c>
      <c r="E689" s="19" t="s">
        <v>65</v>
      </c>
      <c r="F689" s="19" t="s">
        <v>115</v>
      </c>
      <c r="G689" s="19" t="s">
        <v>4434</v>
      </c>
      <c r="H689" s="19" t="s">
        <v>4435</v>
      </c>
      <c r="I689" s="19" t="s">
        <v>4388</v>
      </c>
      <c r="J689" s="19" t="n">
        <v>111.92</v>
      </c>
      <c r="K689" s="19" t="s">
        <v>541</v>
      </c>
      <c r="L689" s="19"/>
      <c r="M689" s="20" t="str">
        <f aca="false">IF(G689&lt;&gt;"","PASS","FAIL - Missing UPC")</f>
        <v>PASS</v>
      </c>
      <c r="N689" s="20" t="str">
        <f aca="false">IF(AND(G689&lt;&gt;"",H689&lt;&gt;""),IF("0"&amp;G689=H689,"PASS","FAIL - GTIN Mismatch"),"SKIP")</f>
        <v>PASS</v>
      </c>
      <c r="O689" s="20" t="str">
        <f aca="false">IF(I689="","FAIL - No Title",IF(LEN(I689)&lt;=126,"PASS","FAIL - Title &gt;"&amp;126&amp;" chars"))</f>
        <v>PASS</v>
      </c>
      <c r="P689" s="20" t="str">
        <f aca="false">IF(J689&gt;0,IF(J689&lt;5000,"PASS","FLAG - Review Price"),"FAIL - Zero Price")</f>
        <v>PASS</v>
      </c>
      <c r="Q689" s="20" t="str">
        <f aca="false">IF('Raw Catalog'!P687&lt;&gt;"","PASS","FAIL - No Image")</f>
        <v>PASS</v>
      </c>
      <c r="R689" s="20" t="str">
        <f aca="false">IF(F689&lt;&gt;"","PASS","FAIL - No Brand")</f>
        <v>PASS</v>
      </c>
      <c r="S689" s="20" t="str">
        <f aca="true">IF(K689="","FAIL - No Date",IF(TODAY()-DATEVALUE(K689)&lt;=180,"PASS","FLAG - Stale &gt;180d"))</f>
        <v>FLAG - Stale &gt;180d</v>
      </c>
      <c r="T689" s="20" t="n">
        <f aca="false">COUNTIF(M689:S689,"FAIL*")+COUNTIF(M689:S689,"FLAG*")</f>
        <v>1</v>
      </c>
      <c r="U689" s="20" t="str">
        <f aca="false">IF(T689=0,"CLEAN",IF(T689=1,"MINOR",IF(T689&lt;=3,"MODERATE","CRITICAL")))</f>
        <v>MINOR</v>
      </c>
      <c r="V689" s="20" t="str">
        <f aca="false">IF(U689="CLEAN","None",IF(U689="MINOR","Seller Notify",IF(U689="MODERATE","Listing Suspended","Immediate Removal")))</f>
        <v>Seller Notify</v>
      </c>
    </row>
    <row r="690" customFormat="false" ht="18" hidden="false" customHeight="true" outlineLevel="0" collapsed="false">
      <c r="A690" s="19" t="s">
        <v>6767</v>
      </c>
      <c r="B690" s="19" t="s">
        <v>4437</v>
      </c>
      <c r="C690" s="19" t="s">
        <v>77</v>
      </c>
      <c r="D690" s="19" t="s">
        <v>78</v>
      </c>
      <c r="E690" s="19" t="s">
        <v>50</v>
      </c>
      <c r="F690" s="19" t="s">
        <v>51</v>
      </c>
      <c r="G690" s="19" t="s">
        <v>4439</v>
      </c>
      <c r="H690" s="19" t="s">
        <v>4440</v>
      </c>
      <c r="I690" s="19" t="s">
        <v>4441</v>
      </c>
      <c r="J690" s="19" t="n">
        <v>934.82</v>
      </c>
      <c r="K690" s="19" t="s">
        <v>731</v>
      </c>
      <c r="L690" s="19"/>
      <c r="M690" s="20" t="str">
        <f aca="false">IF(G690&lt;&gt;"","PASS","FAIL - Missing UPC")</f>
        <v>PASS</v>
      </c>
      <c r="N690" s="20" t="str">
        <f aca="false">IF(AND(G690&lt;&gt;"",H690&lt;&gt;""),IF("0"&amp;G690=H690,"PASS","FAIL - GTIN Mismatch"),"SKIP")</f>
        <v>PASS</v>
      </c>
      <c r="O690" s="20" t="str">
        <f aca="false">IF(I690="","FAIL - No Title",IF(LEN(I690)&lt;=126,"PASS","FAIL - Title &gt;"&amp;126&amp;" chars"))</f>
        <v>PASS</v>
      </c>
      <c r="P690" s="20" t="str">
        <f aca="false">IF(J690&gt;0,IF(J690&lt;5000,"PASS","FLAG - Review Price"),"FAIL - Zero Price")</f>
        <v>PASS</v>
      </c>
      <c r="Q690" s="20" t="str">
        <f aca="false">IF('Raw Catalog'!P688&lt;&gt;"","PASS","FAIL - No Image")</f>
        <v>PASS</v>
      </c>
      <c r="R690" s="20" t="str">
        <f aca="false">IF(F690&lt;&gt;"","PASS","FAIL - No Brand")</f>
        <v>PASS</v>
      </c>
      <c r="S690" s="20" t="str">
        <f aca="true">IF(K690="","FAIL - No Date",IF(TODAY()-DATEVALUE(K690)&lt;=180,"PASS","FLAG - Stale &gt;180d"))</f>
        <v>FLAG - Stale &gt;180d</v>
      </c>
      <c r="T690" s="20" t="n">
        <f aca="false">COUNTIF(M690:S690,"FAIL*")+COUNTIF(M690:S690,"FLAG*")</f>
        <v>1</v>
      </c>
      <c r="U690" s="20" t="str">
        <f aca="false">IF(T690=0,"CLEAN",IF(T690=1,"MINOR",IF(T690&lt;=3,"MODERATE","CRITICAL")))</f>
        <v>MINOR</v>
      </c>
      <c r="V690" s="20" t="str">
        <f aca="false">IF(U690="CLEAN","None",IF(U690="MINOR","Seller Notify",IF(U690="MODERATE","Listing Suspended","Immediate Removal")))</f>
        <v>Seller Notify</v>
      </c>
    </row>
    <row r="691" customFormat="false" ht="18" hidden="false" customHeight="true" outlineLevel="0" collapsed="false">
      <c r="A691" s="19" t="s">
        <v>6768</v>
      </c>
      <c r="B691" s="19" t="s">
        <v>4443</v>
      </c>
      <c r="C691" s="19" t="s">
        <v>173</v>
      </c>
      <c r="D691" s="19" t="s">
        <v>174</v>
      </c>
      <c r="E691" s="19" t="s">
        <v>161</v>
      </c>
      <c r="F691" s="19" t="s">
        <v>162</v>
      </c>
      <c r="G691" s="19" t="s">
        <v>4445</v>
      </c>
      <c r="H691" s="19" t="s">
        <v>4446</v>
      </c>
      <c r="I691" s="19" t="s">
        <v>4447</v>
      </c>
      <c r="J691" s="19" t="n">
        <v>216.42</v>
      </c>
      <c r="K691" s="19" t="s">
        <v>1417</v>
      </c>
      <c r="L691" s="19"/>
      <c r="M691" s="20" t="str">
        <f aca="false">IF(G691&lt;&gt;"","PASS","FAIL - Missing UPC")</f>
        <v>PASS</v>
      </c>
      <c r="N691" s="20" t="str">
        <f aca="false">IF(AND(G691&lt;&gt;"",H691&lt;&gt;""),IF("0"&amp;G691=H691,"PASS","FAIL - GTIN Mismatch"),"SKIP")</f>
        <v>PASS</v>
      </c>
      <c r="O691" s="20" t="str">
        <f aca="false">IF(I691="","FAIL - No Title",IF(LEN(I691)&lt;=126,"PASS","FAIL - Title &gt;"&amp;126&amp;" chars"))</f>
        <v>PASS</v>
      </c>
      <c r="P691" s="20" t="str">
        <f aca="false">IF(J691&gt;0,IF(J691&lt;5000,"PASS","FLAG - Review Price"),"FAIL - Zero Price")</f>
        <v>PASS</v>
      </c>
      <c r="Q691" s="20" t="str">
        <f aca="false">IF('Raw Catalog'!P689&lt;&gt;"","PASS","FAIL - No Image")</f>
        <v>PASS</v>
      </c>
      <c r="R691" s="20" t="str">
        <f aca="false">IF(F691&lt;&gt;"","PASS","FAIL - No Brand")</f>
        <v>PASS</v>
      </c>
      <c r="S691" s="20" t="str">
        <f aca="true">IF(K691="","FAIL - No Date",IF(TODAY()-DATEVALUE(K691)&lt;=180,"PASS","FLAG - Stale &gt;180d"))</f>
        <v>FLAG - Stale &gt;180d</v>
      </c>
      <c r="T691" s="20" t="n">
        <f aca="false">COUNTIF(M691:S691,"FAIL*")+COUNTIF(M691:S691,"FLAG*")</f>
        <v>1</v>
      </c>
      <c r="U691" s="20" t="str">
        <f aca="false">IF(T691=0,"CLEAN",IF(T691=1,"MINOR",IF(T691&lt;=3,"MODERATE","CRITICAL")))</f>
        <v>MINOR</v>
      </c>
      <c r="V691" s="20" t="str">
        <f aca="false">IF(U691="CLEAN","None",IF(U691="MINOR","Seller Notify",IF(U691="MODERATE","Listing Suspended","Immediate Removal")))</f>
        <v>Seller Notify</v>
      </c>
    </row>
    <row r="692" customFormat="false" ht="18" hidden="false" customHeight="true" outlineLevel="0" collapsed="false">
      <c r="A692" s="19" t="s">
        <v>6769</v>
      </c>
      <c r="B692" s="19" t="s">
        <v>4448</v>
      </c>
      <c r="C692" s="19" t="s">
        <v>173</v>
      </c>
      <c r="D692" s="19" t="s">
        <v>174</v>
      </c>
      <c r="E692" s="19" t="s">
        <v>161</v>
      </c>
      <c r="F692" s="19" t="s">
        <v>51</v>
      </c>
      <c r="G692" s="19" t="s">
        <v>4450</v>
      </c>
      <c r="H692" s="19" t="s">
        <v>4451</v>
      </c>
      <c r="I692" s="19" t="s">
        <v>211</v>
      </c>
      <c r="J692" s="19" t="n">
        <v>200.19</v>
      </c>
      <c r="K692" s="19" t="s">
        <v>1274</v>
      </c>
      <c r="L692" s="19"/>
      <c r="M692" s="20" t="str">
        <f aca="false">IF(G692&lt;&gt;"","PASS","FAIL - Missing UPC")</f>
        <v>PASS</v>
      </c>
      <c r="N692" s="20" t="str">
        <f aca="false">IF(AND(G692&lt;&gt;"",H692&lt;&gt;""),IF("0"&amp;G692=H692,"PASS","FAIL - GTIN Mismatch"),"SKIP")</f>
        <v>PASS</v>
      </c>
      <c r="O692" s="20" t="str">
        <f aca="false">IF(I692="","FAIL - No Title",IF(LEN(I692)&lt;=126,"PASS","FAIL - Title &gt;"&amp;126&amp;" chars"))</f>
        <v>PASS</v>
      </c>
      <c r="P692" s="20" t="str">
        <f aca="false">IF(J692&gt;0,IF(J692&lt;5000,"PASS","FLAG - Review Price"),"FAIL - Zero Price")</f>
        <v>PASS</v>
      </c>
      <c r="Q692" s="20" t="str">
        <f aca="false">IF('Raw Catalog'!P690&lt;&gt;"","PASS","FAIL - No Image")</f>
        <v>PASS</v>
      </c>
      <c r="R692" s="20" t="str">
        <f aca="false">IF(F692&lt;&gt;"","PASS","FAIL - No Brand")</f>
        <v>PASS</v>
      </c>
      <c r="S692" s="20" t="str">
        <f aca="true">IF(K692="","FAIL - No Date",IF(TODAY()-DATEVALUE(K692)&lt;=180,"PASS","FLAG - Stale &gt;180d"))</f>
        <v>FLAG - Stale &gt;180d</v>
      </c>
      <c r="T692" s="20" t="n">
        <f aca="false">COUNTIF(M692:S692,"FAIL*")+COUNTIF(M692:S692,"FLAG*")</f>
        <v>1</v>
      </c>
      <c r="U692" s="20" t="str">
        <f aca="false">IF(T692=0,"CLEAN",IF(T692=1,"MINOR",IF(T692&lt;=3,"MODERATE","CRITICAL")))</f>
        <v>MINOR</v>
      </c>
      <c r="V692" s="20" t="str">
        <f aca="false">IF(U692="CLEAN","None",IF(U692="MINOR","Seller Notify",IF(U692="MODERATE","Listing Suspended","Immediate Removal")))</f>
        <v>Seller Notify</v>
      </c>
    </row>
    <row r="693" customFormat="false" ht="18" hidden="false" customHeight="true" outlineLevel="0" collapsed="false">
      <c r="A693" s="19" t="s">
        <v>6770</v>
      </c>
      <c r="B693" s="19" t="s">
        <v>4452</v>
      </c>
      <c r="C693" s="19" t="s">
        <v>63</v>
      </c>
      <c r="D693" s="19" t="s">
        <v>64</v>
      </c>
      <c r="E693" s="19" t="s">
        <v>79</v>
      </c>
      <c r="F693" s="19" t="s">
        <v>1531</v>
      </c>
      <c r="G693" s="19" t="s">
        <v>4454</v>
      </c>
      <c r="H693" s="19" t="s">
        <v>4455</v>
      </c>
      <c r="I693" s="19" t="s">
        <v>4456</v>
      </c>
      <c r="J693" s="19" t="n">
        <v>1890.52</v>
      </c>
      <c r="K693" s="19" t="s">
        <v>888</v>
      </c>
      <c r="L693" s="19"/>
      <c r="M693" s="20" t="str">
        <f aca="false">IF(G693&lt;&gt;"","PASS","FAIL - Missing UPC")</f>
        <v>PASS</v>
      </c>
      <c r="N693" s="20" t="str">
        <f aca="false">IF(AND(G693&lt;&gt;"",H693&lt;&gt;""),IF("0"&amp;G693=H693,"PASS","FAIL - GTIN Mismatch"),"SKIP")</f>
        <v>PASS</v>
      </c>
      <c r="O693" s="20" t="str">
        <f aca="false">IF(I693="","FAIL - No Title",IF(LEN(I693)&lt;=126,"PASS","FAIL - Title &gt;"&amp;126&amp;" chars"))</f>
        <v>PASS</v>
      </c>
      <c r="P693" s="20" t="str">
        <f aca="false">IF(J693&gt;0,IF(J693&lt;5000,"PASS","FLAG - Review Price"),"FAIL - Zero Price")</f>
        <v>PASS</v>
      </c>
      <c r="Q693" s="20" t="str">
        <f aca="false">IF('Raw Catalog'!P691&lt;&gt;"","PASS","FAIL - No Image")</f>
        <v>PASS</v>
      </c>
      <c r="R693" s="20" t="str">
        <f aca="false">IF(F693&lt;&gt;"","PASS","FAIL - No Brand")</f>
        <v>PASS</v>
      </c>
      <c r="S693" s="20" t="str">
        <f aca="true">IF(K693="","FAIL - No Date",IF(TODAY()-DATEVALUE(K693)&lt;=180,"PASS","FLAG - Stale &gt;180d"))</f>
        <v>FLAG - Stale &gt;180d</v>
      </c>
      <c r="T693" s="20" t="n">
        <f aca="false">COUNTIF(M693:S693,"FAIL*")+COUNTIF(M693:S693,"FLAG*")</f>
        <v>1</v>
      </c>
      <c r="U693" s="20" t="str">
        <f aca="false">IF(T693=0,"CLEAN",IF(T693=1,"MINOR",IF(T693&lt;=3,"MODERATE","CRITICAL")))</f>
        <v>MINOR</v>
      </c>
      <c r="V693" s="20" t="str">
        <f aca="false">IF(U693="CLEAN","None",IF(U693="MINOR","Seller Notify",IF(U693="MODERATE","Listing Suspended","Immediate Removal")))</f>
        <v>Seller Notify</v>
      </c>
    </row>
    <row r="694" customFormat="false" ht="18" hidden="false" customHeight="true" outlineLevel="0" collapsed="false">
      <c r="A694" s="19" t="s">
        <v>6771</v>
      </c>
      <c r="B694" s="19" t="s">
        <v>4458</v>
      </c>
      <c r="C694" s="19" t="s">
        <v>255</v>
      </c>
      <c r="D694" s="19" t="s">
        <v>256</v>
      </c>
      <c r="E694" s="19" t="s">
        <v>79</v>
      </c>
      <c r="F694" s="19" t="s">
        <v>465</v>
      </c>
      <c r="G694" s="19" t="s">
        <v>4460</v>
      </c>
      <c r="H694" s="19" t="s">
        <v>4461</v>
      </c>
      <c r="I694" s="19" t="s">
        <v>4462</v>
      </c>
      <c r="J694" s="19" t="n">
        <v>1983.34</v>
      </c>
      <c r="K694" s="19" t="s">
        <v>147</v>
      </c>
      <c r="L694" s="19"/>
      <c r="M694" s="20" t="str">
        <f aca="false">IF(G694&lt;&gt;"","PASS","FAIL - Missing UPC")</f>
        <v>PASS</v>
      </c>
      <c r="N694" s="20" t="str">
        <f aca="false">IF(AND(G694&lt;&gt;"",H694&lt;&gt;""),IF("0"&amp;G694=H694,"PASS","FAIL - GTIN Mismatch"),"SKIP")</f>
        <v>PASS</v>
      </c>
      <c r="O694" s="20" t="str">
        <f aca="false">IF(I694="","FAIL - No Title",IF(LEN(I694)&lt;=126,"PASS","FAIL - Title &gt;"&amp;126&amp;" chars"))</f>
        <v>PASS</v>
      </c>
      <c r="P694" s="20" t="str">
        <f aca="false">IF(J694&gt;0,IF(J694&lt;5000,"PASS","FLAG - Review Price"),"FAIL - Zero Price")</f>
        <v>PASS</v>
      </c>
      <c r="Q694" s="20" t="str">
        <f aca="false">IF('Raw Catalog'!P692&lt;&gt;"","PASS","FAIL - No Image")</f>
        <v>PASS</v>
      </c>
      <c r="R694" s="20" t="str">
        <f aca="false">IF(F694&lt;&gt;"","PASS","FAIL - No Brand")</f>
        <v>PASS</v>
      </c>
      <c r="S694" s="20" t="str">
        <f aca="true">IF(K694="","FAIL - No Date",IF(TODAY()-DATEVALUE(K694)&lt;=180,"PASS","FLAG - Stale &gt;180d"))</f>
        <v>FLAG - Stale &gt;180d</v>
      </c>
      <c r="T694" s="20" t="n">
        <f aca="false">COUNTIF(M694:S694,"FAIL*")+COUNTIF(M694:S694,"FLAG*")</f>
        <v>1</v>
      </c>
      <c r="U694" s="20" t="str">
        <f aca="false">IF(T694=0,"CLEAN",IF(T694=1,"MINOR",IF(T694&lt;=3,"MODERATE","CRITICAL")))</f>
        <v>MINOR</v>
      </c>
      <c r="V694" s="20" t="str">
        <f aca="false">IF(U694="CLEAN","None",IF(U694="MINOR","Seller Notify",IF(U694="MODERATE","Listing Suspended","Immediate Removal")))</f>
        <v>Seller Notify</v>
      </c>
    </row>
    <row r="695" customFormat="false" ht="18" hidden="false" customHeight="true" outlineLevel="0" collapsed="false">
      <c r="A695" s="19" t="s">
        <v>6772</v>
      </c>
      <c r="B695" s="19" t="s">
        <v>4464</v>
      </c>
      <c r="C695" s="19" t="s">
        <v>77</v>
      </c>
      <c r="D695" s="19" t="s">
        <v>78</v>
      </c>
      <c r="E695" s="19" t="s">
        <v>91</v>
      </c>
      <c r="F695" s="19"/>
      <c r="G695" s="19" t="s">
        <v>4466</v>
      </c>
      <c r="H695" s="19" t="s">
        <v>4467</v>
      </c>
      <c r="I695" s="19" t="s">
        <v>4468</v>
      </c>
      <c r="J695" s="19" t="n">
        <v>2828.94</v>
      </c>
      <c r="K695" s="19" t="s">
        <v>3641</v>
      </c>
      <c r="L695" s="21" t="s">
        <v>89</v>
      </c>
      <c r="M695" s="20" t="str">
        <f aca="false">IF(G695&lt;&gt;"","PASS","FAIL - Missing UPC")</f>
        <v>PASS</v>
      </c>
      <c r="N695" s="20" t="str">
        <f aca="false">IF(AND(G695&lt;&gt;"",H695&lt;&gt;""),IF("0"&amp;G695=H695,"PASS","FAIL - GTIN Mismatch"),"SKIP")</f>
        <v>PASS</v>
      </c>
      <c r="O695" s="20" t="str">
        <f aca="false">IF(I695="","FAIL - No Title",IF(LEN(I695)&lt;=126,"PASS","FAIL - Title &gt;"&amp;126&amp;" chars"))</f>
        <v>PASS</v>
      </c>
      <c r="P695" s="20" t="str">
        <f aca="false">IF(J695&gt;0,IF(J695&lt;5000,"PASS","FLAG - Review Price"),"FAIL - Zero Price")</f>
        <v>PASS</v>
      </c>
      <c r="Q695" s="20" t="str">
        <f aca="false">IF('Raw Catalog'!P693&lt;&gt;"","PASS","FAIL - No Image")</f>
        <v>PASS</v>
      </c>
      <c r="R695" s="20" t="str">
        <f aca="false">IF(F695&lt;&gt;"","PASS","FAIL - No Brand")</f>
        <v>FAIL - No Brand</v>
      </c>
      <c r="S695" s="20" t="str">
        <f aca="true">IF(K695="","FAIL - No Date",IF(TODAY()-DATEVALUE(K695)&lt;=180,"PASS","FLAG - Stale &gt;180d"))</f>
        <v>FLAG - Stale &gt;180d</v>
      </c>
      <c r="T695" s="20" t="n">
        <f aca="false">COUNTIF(M695:S695,"FAIL*")+COUNTIF(M695:S695,"FLAG*")</f>
        <v>2</v>
      </c>
      <c r="U695" s="20" t="str">
        <f aca="false">IF(T695=0,"CLEAN",IF(T695=1,"MINOR",IF(T695&lt;=3,"MODERATE","CRITICAL")))</f>
        <v>MODERATE</v>
      </c>
      <c r="V695" s="20" t="str">
        <f aca="false">IF(U695="CLEAN","None",IF(U695="MINOR","Seller Notify",IF(U695="MODERATE","Listing Suspended","Immediate Removal")))</f>
        <v>Listing Suspended</v>
      </c>
    </row>
    <row r="696" customFormat="false" ht="18" hidden="false" customHeight="true" outlineLevel="0" collapsed="false">
      <c r="A696" s="19" t="s">
        <v>6773</v>
      </c>
      <c r="B696" s="19" t="s">
        <v>4469</v>
      </c>
      <c r="C696" s="19" t="s">
        <v>173</v>
      </c>
      <c r="D696" s="19" t="s">
        <v>174</v>
      </c>
      <c r="E696" s="19" t="s">
        <v>161</v>
      </c>
      <c r="F696" s="19" t="s">
        <v>295</v>
      </c>
      <c r="G696" s="19" t="s">
        <v>4471</v>
      </c>
      <c r="H696" s="19" t="s">
        <v>4472</v>
      </c>
      <c r="I696" s="19" t="s">
        <v>4473</v>
      </c>
      <c r="J696" s="19" t="n">
        <v>370.18</v>
      </c>
      <c r="K696" s="19" t="s">
        <v>2715</v>
      </c>
      <c r="L696" s="19"/>
      <c r="M696" s="20" t="str">
        <f aca="false">IF(G696&lt;&gt;"","PASS","FAIL - Missing UPC")</f>
        <v>PASS</v>
      </c>
      <c r="N696" s="20" t="str">
        <f aca="false">IF(AND(G696&lt;&gt;"",H696&lt;&gt;""),IF("0"&amp;G696=H696,"PASS","FAIL - GTIN Mismatch"),"SKIP")</f>
        <v>PASS</v>
      </c>
      <c r="O696" s="20" t="str">
        <f aca="false">IF(I696="","FAIL - No Title",IF(LEN(I696)&lt;=126,"PASS","FAIL - Title &gt;"&amp;126&amp;" chars"))</f>
        <v>PASS</v>
      </c>
      <c r="P696" s="20" t="str">
        <f aca="false">IF(J696&gt;0,IF(J696&lt;5000,"PASS","FLAG - Review Price"),"FAIL - Zero Price")</f>
        <v>PASS</v>
      </c>
      <c r="Q696" s="20" t="str">
        <f aca="false">IF('Raw Catalog'!P694&lt;&gt;"","PASS","FAIL - No Image")</f>
        <v>PASS</v>
      </c>
      <c r="R696" s="20" t="str">
        <f aca="false">IF(F696&lt;&gt;"","PASS","FAIL - No Brand")</f>
        <v>PASS</v>
      </c>
      <c r="S696" s="20" t="str">
        <f aca="true">IF(K696="","FAIL - No Date",IF(TODAY()-DATEVALUE(K696)&lt;=180,"PASS","FLAG - Stale &gt;180d"))</f>
        <v>FLAG - Stale &gt;180d</v>
      </c>
      <c r="T696" s="20" t="n">
        <f aca="false">COUNTIF(M696:S696,"FAIL*")+COUNTIF(M696:S696,"FLAG*")</f>
        <v>1</v>
      </c>
      <c r="U696" s="20" t="str">
        <f aca="false">IF(T696=0,"CLEAN",IF(T696=1,"MINOR",IF(T696&lt;=3,"MODERATE","CRITICAL")))</f>
        <v>MINOR</v>
      </c>
      <c r="V696" s="20" t="str">
        <f aca="false">IF(U696="CLEAN","None",IF(U696="MINOR","Seller Notify",IF(U696="MODERATE","Listing Suspended","Immediate Removal")))</f>
        <v>Seller Notify</v>
      </c>
    </row>
    <row r="697" customFormat="false" ht="18" hidden="false" customHeight="true" outlineLevel="0" collapsed="false">
      <c r="A697" s="19" t="s">
        <v>6774</v>
      </c>
      <c r="B697" s="19" t="s">
        <v>4474</v>
      </c>
      <c r="C697" s="19" t="s">
        <v>77</v>
      </c>
      <c r="D697" s="19" t="s">
        <v>78</v>
      </c>
      <c r="E697" s="19" t="s">
        <v>65</v>
      </c>
      <c r="F697" s="19" t="s">
        <v>66</v>
      </c>
      <c r="G697" s="19" t="s">
        <v>4476</v>
      </c>
      <c r="H697" s="19" t="s">
        <v>4477</v>
      </c>
      <c r="I697" s="19" t="s">
        <v>649</v>
      </c>
      <c r="J697" s="19" t="n">
        <v>231.13</v>
      </c>
      <c r="K697" s="19" t="s">
        <v>323</v>
      </c>
      <c r="L697" s="19"/>
      <c r="M697" s="20" t="str">
        <f aca="false">IF(G697&lt;&gt;"","PASS","FAIL - Missing UPC")</f>
        <v>PASS</v>
      </c>
      <c r="N697" s="20" t="str">
        <f aca="false">IF(AND(G697&lt;&gt;"",H697&lt;&gt;""),IF("0"&amp;G697=H697,"PASS","FAIL - GTIN Mismatch"),"SKIP")</f>
        <v>PASS</v>
      </c>
      <c r="O697" s="20" t="str">
        <f aca="false">IF(I697="","FAIL - No Title",IF(LEN(I697)&lt;=126,"PASS","FAIL - Title &gt;"&amp;126&amp;" chars"))</f>
        <v>PASS</v>
      </c>
      <c r="P697" s="20" t="str">
        <f aca="false">IF(J697&gt;0,IF(J697&lt;5000,"PASS","FLAG - Review Price"),"FAIL - Zero Price")</f>
        <v>PASS</v>
      </c>
      <c r="Q697" s="20" t="str">
        <f aca="false">IF('Raw Catalog'!P695&lt;&gt;"","PASS","FAIL - No Image")</f>
        <v>PASS</v>
      </c>
      <c r="R697" s="20" t="str">
        <f aca="false">IF(F697&lt;&gt;"","PASS","FAIL - No Brand")</f>
        <v>PASS</v>
      </c>
      <c r="S697" s="20" t="str">
        <f aca="true">IF(K697="","FAIL - No Date",IF(TODAY()-DATEVALUE(K697)&lt;=180,"PASS","FLAG - Stale &gt;180d"))</f>
        <v>FLAG - Stale &gt;180d</v>
      </c>
      <c r="T697" s="20" t="n">
        <f aca="false">COUNTIF(M697:S697,"FAIL*")+COUNTIF(M697:S697,"FLAG*")</f>
        <v>1</v>
      </c>
      <c r="U697" s="20" t="str">
        <f aca="false">IF(T697=0,"CLEAN",IF(T697=1,"MINOR",IF(T697&lt;=3,"MODERATE","CRITICAL")))</f>
        <v>MINOR</v>
      </c>
      <c r="V697" s="20" t="str">
        <f aca="false">IF(U697="CLEAN","None",IF(U697="MINOR","Seller Notify",IF(U697="MODERATE","Listing Suspended","Immediate Removal")))</f>
        <v>Seller Notify</v>
      </c>
    </row>
    <row r="698" customFormat="false" ht="18" hidden="false" customHeight="true" outlineLevel="0" collapsed="false">
      <c r="A698" s="19" t="s">
        <v>6775</v>
      </c>
      <c r="B698" s="19" t="s">
        <v>4479</v>
      </c>
      <c r="C698" s="19" t="s">
        <v>113</v>
      </c>
      <c r="D698" s="19" t="s">
        <v>114</v>
      </c>
      <c r="E698" s="19" t="s">
        <v>50</v>
      </c>
      <c r="F698" s="19" t="s">
        <v>51</v>
      </c>
      <c r="G698" s="19" t="s">
        <v>4481</v>
      </c>
      <c r="H698" s="19" t="s">
        <v>4482</v>
      </c>
      <c r="I698" s="19" t="s">
        <v>4483</v>
      </c>
      <c r="J698" s="19" t="n">
        <v>650.03</v>
      </c>
      <c r="K698" s="19" t="s">
        <v>3050</v>
      </c>
      <c r="L698" s="19"/>
      <c r="M698" s="20" t="str">
        <f aca="false">IF(G698&lt;&gt;"","PASS","FAIL - Missing UPC")</f>
        <v>PASS</v>
      </c>
      <c r="N698" s="20" t="str">
        <f aca="false">IF(AND(G698&lt;&gt;"",H698&lt;&gt;""),IF("0"&amp;G698=H698,"PASS","FAIL - GTIN Mismatch"),"SKIP")</f>
        <v>PASS</v>
      </c>
      <c r="O698" s="20" t="str">
        <f aca="false">IF(I698="","FAIL - No Title",IF(LEN(I698)&lt;=126,"PASS","FAIL - Title &gt;"&amp;126&amp;" chars"))</f>
        <v>PASS</v>
      </c>
      <c r="P698" s="20" t="str">
        <f aca="false">IF(J698&gt;0,IF(J698&lt;5000,"PASS","FLAG - Review Price"),"FAIL - Zero Price")</f>
        <v>PASS</v>
      </c>
      <c r="Q698" s="20" t="str">
        <f aca="false">IF('Raw Catalog'!P696&lt;&gt;"","PASS","FAIL - No Image")</f>
        <v>PASS</v>
      </c>
      <c r="R698" s="20" t="str">
        <f aca="false">IF(F698&lt;&gt;"","PASS","FAIL - No Brand")</f>
        <v>PASS</v>
      </c>
      <c r="S698" s="20" t="str">
        <f aca="true">IF(K698="","FAIL - No Date",IF(TODAY()-DATEVALUE(K698)&lt;=180,"PASS","FLAG - Stale &gt;180d"))</f>
        <v>FLAG - Stale &gt;180d</v>
      </c>
      <c r="T698" s="20" t="n">
        <f aca="false">COUNTIF(M698:S698,"FAIL*")+COUNTIF(M698:S698,"FLAG*")</f>
        <v>1</v>
      </c>
      <c r="U698" s="20" t="str">
        <f aca="false">IF(T698=0,"CLEAN",IF(T698=1,"MINOR",IF(T698&lt;=3,"MODERATE","CRITICAL")))</f>
        <v>MINOR</v>
      </c>
      <c r="V698" s="20" t="str">
        <f aca="false">IF(U698="CLEAN","None",IF(U698="MINOR","Seller Notify",IF(U698="MODERATE","Listing Suspended","Immediate Removal")))</f>
        <v>Seller Notify</v>
      </c>
    </row>
    <row r="699" customFormat="false" ht="18" hidden="false" customHeight="true" outlineLevel="0" collapsed="false">
      <c r="A699" s="19" t="s">
        <v>6776</v>
      </c>
      <c r="B699" s="19" t="s">
        <v>4484</v>
      </c>
      <c r="C699" s="19" t="s">
        <v>255</v>
      </c>
      <c r="D699" s="19" t="s">
        <v>256</v>
      </c>
      <c r="E699" s="19" t="s">
        <v>50</v>
      </c>
      <c r="F699" s="19" t="s">
        <v>115</v>
      </c>
      <c r="G699" s="19" t="s">
        <v>4486</v>
      </c>
      <c r="H699" s="19" t="s">
        <v>4487</v>
      </c>
      <c r="I699" s="19" t="s">
        <v>4488</v>
      </c>
      <c r="J699" s="19" t="n">
        <v>1103.14</v>
      </c>
      <c r="K699" s="19" t="s">
        <v>2503</v>
      </c>
      <c r="L699" s="19"/>
      <c r="M699" s="20" t="str">
        <f aca="false">IF(G699&lt;&gt;"","PASS","FAIL - Missing UPC")</f>
        <v>PASS</v>
      </c>
      <c r="N699" s="20" t="str">
        <f aca="false">IF(AND(G699&lt;&gt;"",H699&lt;&gt;""),IF("0"&amp;G699=H699,"PASS","FAIL - GTIN Mismatch"),"SKIP")</f>
        <v>PASS</v>
      </c>
      <c r="O699" s="20" t="str">
        <f aca="false">IF(I699="","FAIL - No Title",IF(LEN(I699)&lt;=126,"PASS","FAIL - Title &gt;"&amp;126&amp;" chars"))</f>
        <v>PASS</v>
      </c>
      <c r="P699" s="20" t="str">
        <f aca="false">IF(J699&gt;0,IF(J699&lt;5000,"PASS","FLAG - Review Price"),"FAIL - Zero Price")</f>
        <v>PASS</v>
      </c>
      <c r="Q699" s="20" t="str">
        <f aca="false">IF('Raw Catalog'!P697&lt;&gt;"","PASS","FAIL - No Image")</f>
        <v>PASS</v>
      </c>
      <c r="R699" s="20" t="str">
        <f aca="false">IF(F699&lt;&gt;"","PASS","FAIL - No Brand")</f>
        <v>PASS</v>
      </c>
      <c r="S699" s="20" t="str">
        <f aca="true">IF(K699="","FAIL - No Date",IF(TODAY()-DATEVALUE(K699)&lt;=180,"PASS","FLAG - Stale &gt;180d"))</f>
        <v>FLAG - Stale &gt;180d</v>
      </c>
      <c r="T699" s="20" t="n">
        <f aca="false">COUNTIF(M699:S699,"FAIL*")+COUNTIF(M699:S699,"FLAG*")</f>
        <v>1</v>
      </c>
      <c r="U699" s="20" t="str">
        <f aca="false">IF(T699=0,"CLEAN",IF(T699=1,"MINOR",IF(T699&lt;=3,"MODERATE","CRITICAL")))</f>
        <v>MINOR</v>
      </c>
      <c r="V699" s="20" t="str">
        <f aca="false">IF(U699="CLEAN","None",IF(U699="MINOR","Seller Notify",IF(U699="MODERATE","Listing Suspended","Immediate Removal")))</f>
        <v>Seller Notify</v>
      </c>
    </row>
    <row r="700" customFormat="false" ht="18" hidden="false" customHeight="true" outlineLevel="0" collapsed="false">
      <c r="A700" s="19" t="s">
        <v>6777</v>
      </c>
      <c r="B700" s="19" t="s">
        <v>4490</v>
      </c>
      <c r="C700" s="19" t="s">
        <v>159</v>
      </c>
      <c r="D700" s="19" t="s">
        <v>160</v>
      </c>
      <c r="E700" s="19" t="s">
        <v>65</v>
      </c>
      <c r="F700" s="19" t="s">
        <v>227</v>
      </c>
      <c r="G700" s="19" t="s">
        <v>4492</v>
      </c>
      <c r="H700" s="19" t="s">
        <v>4493</v>
      </c>
      <c r="I700" s="19" t="s">
        <v>4494</v>
      </c>
      <c r="J700" s="19" t="n">
        <v>46.73</v>
      </c>
      <c r="K700" s="19" t="s">
        <v>3125</v>
      </c>
      <c r="L700" s="21" t="s">
        <v>778</v>
      </c>
      <c r="M700" s="20" t="str">
        <f aca="false">IF(G700&lt;&gt;"","PASS","FAIL - Missing UPC")</f>
        <v>PASS</v>
      </c>
      <c r="N700" s="20" t="str">
        <f aca="false">IF(AND(G700&lt;&gt;"",H700&lt;&gt;""),IF("0"&amp;G700=H700,"PASS","FAIL - GTIN Mismatch"),"SKIP")</f>
        <v>PASS</v>
      </c>
      <c r="O700" s="20" t="str">
        <f aca="false">IF(I700="","FAIL - No Title",IF(LEN(I700)&lt;=126,"PASS","FAIL - Title &gt;"&amp;126&amp;" chars"))</f>
        <v>FAIL - Title &gt;126 chars</v>
      </c>
      <c r="P700" s="20" t="str">
        <f aca="false">IF(J700&gt;0,IF(J700&lt;5000,"PASS","FLAG - Review Price"),"FAIL - Zero Price")</f>
        <v>PASS</v>
      </c>
      <c r="Q700" s="20" t="str">
        <f aca="false">IF('Raw Catalog'!P698&lt;&gt;"","PASS","FAIL - No Image")</f>
        <v>PASS</v>
      </c>
      <c r="R700" s="20" t="str">
        <f aca="false">IF(F700&lt;&gt;"","PASS","FAIL - No Brand")</f>
        <v>PASS</v>
      </c>
      <c r="S700" s="20" t="str">
        <f aca="true">IF(K700="","FAIL - No Date",IF(TODAY()-DATEVALUE(K700)&lt;=180,"PASS","FLAG - Stale &gt;180d"))</f>
        <v>FLAG - Stale &gt;180d</v>
      </c>
      <c r="T700" s="20" t="n">
        <f aca="false">COUNTIF(M700:S700,"FAIL*")+COUNTIF(M700:S700,"FLAG*")</f>
        <v>2</v>
      </c>
      <c r="U700" s="20" t="str">
        <f aca="false">IF(T700=0,"CLEAN",IF(T700=1,"MINOR",IF(T700&lt;=3,"MODERATE","CRITICAL")))</f>
        <v>MODERATE</v>
      </c>
      <c r="V700" s="20" t="str">
        <f aca="false">IF(U700="CLEAN","None",IF(U700="MINOR","Seller Notify",IF(U700="MODERATE","Listing Suspended","Immediate Removal")))</f>
        <v>Listing Suspended</v>
      </c>
    </row>
    <row r="701" customFormat="false" ht="18" hidden="false" customHeight="true" outlineLevel="0" collapsed="false">
      <c r="A701" s="19" t="s">
        <v>6778</v>
      </c>
      <c r="B701" s="19" t="s">
        <v>4495</v>
      </c>
      <c r="C701" s="19" t="s">
        <v>77</v>
      </c>
      <c r="D701" s="19" t="s">
        <v>78</v>
      </c>
      <c r="E701" s="19" t="s">
        <v>50</v>
      </c>
      <c r="F701" s="19" t="s">
        <v>503</v>
      </c>
      <c r="G701" s="19" t="s">
        <v>4497</v>
      </c>
      <c r="H701" s="19" t="s">
        <v>4498</v>
      </c>
      <c r="I701" s="19" t="s">
        <v>2613</v>
      </c>
      <c r="J701" s="19" t="n">
        <v>714.2</v>
      </c>
      <c r="K701" s="19" t="s">
        <v>531</v>
      </c>
      <c r="L701" s="19"/>
      <c r="M701" s="20" t="str">
        <f aca="false">IF(G701&lt;&gt;"","PASS","FAIL - Missing UPC")</f>
        <v>PASS</v>
      </c>
      <c r="N701" s="20" t="str">
        <f aca="false">IF(AND(G701&lt;&gt;"",H701&lt;&gt;""),IF("0"&amp;G701=H701,"PASS","FAIL - GTIN Mismatch"),"SKIP")</f>
        <v>PASS</v>
      </c>
      <c r="O701" s="20" t="str">
        <f aca="false">IF(I701="","FAIL - No Title",IF(LEN(I701)&lt;=126,"PASS","FAIL - Title &gt;"&amp;126&amp;" chars"))</f>
        <v>PASS</v>
      </c>
      <c r="P701" s="20" t="str">
        <f aca="false">IF(J701&gt;0,IF(J701&lt;5000,"PASS","FLAG - Review Price"),"FAIL - Zero Price")</f>
        <v>PASS</v>
      </c>
      <c r="Q701" s="20" t="str">
        <f aca="false">IF('Raw Catalog'!P699&lt;&gt;"","PASS","FAIL - No Image")</f>
        <v>PASS</v>
      </c>
      <c r="R701" s="20" t="str">
        <f aca="false">IF(F701&lt;&gt;"","PASS","FAIL - No Brand")</f>
        <v>PASS</v>
      </c>
      <c r="S701" s="20" t="str">
        <f aca="true">IF(K701="","FAIL - No Date",IF(TODAY()-DATEVALUE(K701)&lt;=180,"PASS","FLAG - Stale &gt;180d"))</f>
        <v>FLAG - Stale &gt;180d</v>
      </c>
      <c r="T701" s="20" t="n">
        <f aca="false">COUNTIF(M701:S701,"FAIL*")+COUNTIF(M701:S701,"FLAG*")</f>
        <v>1</v>
      </c>
      <c r="U701" s="20" t="str">
        <f aca="false">IF(T701=0,"CLEAN",IF(T701=1,"MINOR",IF(T701&lt;=3,"MODERATE","CRITICAL")))</f>
        <v>MINOR</v>
      </c>
      <c r="V701" s="20" t="str">
        <f aca="false">IF(U701="CLEAN","None",IF(U701="MINOR","Seller Notify",IF(U701="MODERATE","Listing Suspended","Immediate Removal")))</f>
        <v>Seller Notify</v>
      </c>
    </row>
    <row r="702" customFormat="false" ht="18" hidden="false" customHeight="true" outlineLevel="0" collapsed="false">
      <c r="A702" s="19" t="s">
        <v>6779</v>
      </c>
      <c r="B702" s="19" t="s">
        <v>4500</v>
      </c>
      <c r="C702" s="19" t="s">
        <v>125</v>
      </c>
      <c r="D702" s="19" t="s">
        <v>126</v>
      </c>
      <c r="E702" s="19" t="s">
        <v>161</v>
      </c>
      <c r="F702" s="19" t="s">
        <v>822</v>
      </c>
      <c r="G702" s="19" t="s">
        <v>4502</v>
      </c>
      <c r="H702" s="19" t="s">
        <v>4503</v>
      </c>
      <c r="I702" s="19" t="s">
        <v>4504</v>
      </c>
      <c r="J702" s="19" t="n">
        <v>245.52</v>
      </c>
      <c r="K702" s="19" t="s">
        <v>407</v>
      </c>
      <c r="L702" s="19"/>
      <c r="M702" s="20" t="str">
        <f aca="false">IF(G702&lt;&gt;"","PASS","FAIL - Missing UPC")</f>
        <v>PASS</v>
      </c>
      <c r="N702" s="20" t="str">
        <f aca="false">IF(AND(G702&lt;&gt;"",H702&lt;&gt;""),IF("0"&amp;G702=H702,"PASS","FAIL - GTIN Mismatch"),"SKIP")</f>
        <v>PASS</v>
      </c>
      <c r="O702" s="20" t="str">
        <f aca="false">IF(I702="","FAIL - No Title",IF(LEN(I702)&lt;=126,"PASS","FAIL - Title &gt;"&amp;126&amp;" chars"))</f>
        <v>PASS</v>
      </c>
      <c r="P702" s="20" t="str">
        <f aca="false">IF(J702&gt;0,IF(J702&lt;5000,"PASS","FLAG - Review Price"),"FAIL - Zero Price")</f>
        <v>PASS</v>
      </c>
      <c r="Q702" s="20" t="str">
        <f aca="false">IF('Raw Catalog'!P700&lt;&gt;"","PASS","FAIL - No Image")</f>
        <v>PASS</v>
      </c>
      <c r="R702" s="20" t="str">
        <f aca="false">IF(F702&lt;&gt;"","PASS","FAIL - No Brand")</f>
        <v>PASS</v>
      </c>
      <c r="S702" s="20" t="str">
        <f aca="true">IF(K702="","FAIL - No Date",IF(TODAY()-DATEVALUE(K702)&lt;=180,"PASS","FLAG - Stale &gt;180d"))</f>
        <v>FLAG - Stale &gt;180d</v>
      </c>
      <c r="T702" s="20" t="n">
        <f aca="false">COUNTIF(M702:S702,"FAIL*")+COUNTIF(M702:S702,"FLAG*")</f>
        <v>1</v>
      </c>
      <c r="U702" s="20" t="str">
        <f aca="false">IF(T702=0,"CLEAN",IF(T702=1,"MINOR",IF(T702&lt;=3,"MODERATE","CRITICAL")))</f>
        <v>MINOR</v>
      </c>
      <c r="V702" s="20" t="str">
        <f aca="false">IF(U702="CLEAN","None",IF(U702="MINOR","Seller Notify",IF(U702="MODERATE","Listing Suspended","Immediate Removal")))</f>
        <v>Seller Notify</v>
      </c>
    </row>
    <row r="703" customFormat="false" ht="18" hidden="false" customHeight="true" outlineLevel="0" collapsed="false">
      <c r="A703" s="19" t="s">
        <v>6780</v>
      </c>
      <c r="B703" s="19" t="s">
        <v>4505</v>
      </c>
      <c r="C703" s="19" t="s">
        <v>113</v>
      </c>
      <c r="D703" s="19" t="s">
        <v>114</v>
      </c>
      <c r="E703" s="19" t="s">
        <v>65</v>
      </c>
      <c r="F703" s="19" t="s">
        <v>438</v>
      </c>
      <c r="G703" s="19" t="s">
        <v>4507</v>
      </c>
      <c r="H703" s="19" t="s">
        <v>4508</v>
      </c>
      <c r="I703" s="19" t="s">
        <v>1363</v>
      </c>
      <c r="J703" s="19" t="n">
        <v>392.4</v>
      </c>
      <c r="K703" s="19" t="s">
        <v>2392</v>
      </c>
      <c r="L703" s="21" t="s">
        <v>1107</v>
      </c>
      <c r="M703" s="20" t="str">
        <f aca="false">IF(G703&lt;&gt;"","PASS","FAIL - Missing UPC")</f>
        <v>PASS</v>
      </c>
      <c r="N703" s="20" t="str">
        <f aca="false">IF(AND(G703&lt;&gt;"",H703&lt;&gt;""),IF("0"&amp;G703=H703,"PASS","FAIL - GTIN Mismatch"),"SKIP")</f>
        <v>PASS</v>
      </c>
      <c r="O703" s="20" t="str">
        <f aca="false">IF(I703="","FAIL - No Title",IF(LEN(I703)&lt;=126,"PASS","FAIL - Title &gt;"&amp;126&amp;" chars"))</f>
        <v>PASS</v>
      </c>
      <c r="P703" s="20" t="str">
        <f aca="false">IF(J703&gt;0,IF(J703&lt;5000,"PASS","FLAG - Review Price"),"FAIL - Zero Price")</f>
        <v>PASS</v>
      </c>
      <c r="Q703" s="20" t="str">
        <f aca="false">IF('Raw Catalog'!P701&lt;&gt;"","PASS","FAIL - No Image")</f>
        <v>PASS</v>
      </c>
      <c r="R703" s="20" t="str">
        <f aca="false">IF(F703&lt;&gt;"","PASS","FAIL - No Brand")</f>
        <v>PASS</v>
      </c>
      <c r="S703" s="20" t="str">
        <f aca="true">IF(K703="","FAIL - No Date",IF(TODAY()-DATEVALUE(K703)&lt;=180,"PASS","FLAG - Stale &gt;180d"))</f>
        <v>FLAG - Stale &gt;180d</v>
      </c>
      <c r="T703" s="20" t="n">
        <f aca="false">COUNTIF(M703:S703,"FAIL*")+COUNTIF(M703:S703,"FLAG*")</f>
        <v>1</v>
      </c>
      <c r="U703" s="20" t="str">
        <f aca="false">IF(T703=0,"CLEAN",IF(T703=1,"MINOR",IF(T703&lt;=3,"MODERATE","CRITICAL")))</f>
        <v>MINOR</v>
      </c>
      <c r="V703" s="20" t="str">
        <f aca="false">IF(U703="CLEAN","None",IF(U703="MINOR","Seller Notify",IF(U703="MODERATE","Listing Suspended","Immediate Removal")))</f>
        <v>Seller Notify</v>
      </c>
    </row>
    <row r="704" customFormat="false" ht="18" hidden="false" customHeight="true" outlineLevel="0" collapsed="false">
      <c r="A704" s="19" t="s">
        <v>6781</v>
      </c>
      <c r="B704" s="19" t="s">
        <v>4509</v>
      </c>
      <c r="C704" s="19" t="s">
        <v>125</v>
      </c>
      <c r="D704" s="19" t="s">
        <v>126</v>
      </c>
      <c r="E704" s="19" t="s">
        <v>50</v>
      </c>
      <c r="F704" s="19" t="s">
        <v>115</v>
      </c>
      <c r="G704" s="19" t="s">
        <v>4511</v>
      </c>
      <c r="H704" s="19" t="s">
        <v>4512</v>
      </c>
      <c r="I704" s="19" t="s">
        <v>4513</v>
      </c>
      <c r="J704" s="19" t="n">
        <v>448.18</v>
      </c>
      <c r="K704" s="19" t="s">
        <v>1003</v>
      </c>
      <c r="L704" s="19"/>
      <c r="M704" s="20" t="str">
        <f aca="false">IF(G704&lt;&gt;"","PASS","FAIL - Missing UPC")</f>
        <v>PASS</v>
      </c>
      <c r="N704" s="20" t="str">
        <f aca="false">IF(AND(G704&lt;&gt;"",H704&lt;&gt;""),IF("0"&amp;G704=H704,"PASS","FAIL - GTIN Mismatch"),"SKIP")</f>
        <v>PASS</v>
      </c>
      <c r="O704" s="20" t="str">
        <f aca="false">IF(I704="","FAIL - No Title",IF(LEN(I704)&lt;=126,"PASS","FAIL - Title &gt;"&amp;126&amp;" chars"))</f>
        <v>PASS</v>
      </c>
      <c r="P704" s="20" t="str">
        <f aca="false">IF(J704&gt;0,IF(J704&lt;5000,"PASS","FLAG - Review Price"),"FAIL - Zero Price")</f>
        <v>PASS</v>
      </c>
      <c r="Q704" s="20" t="str">
        <f aca="false">IF('Raw Catalog'!P702&lt;&gt;"","PASS","FAIL - No Image")</f>
        <v>PASS</v>
      </c>
      <c r="R704" s="20" t="str">
        <f aca="false">IF(F704&lt;&gt;"","PASS","FAIL - No Brand")</f>
        <v>PASS</v>
      </c>
      <c r="S704" s="20" t="str">
        <f aca="true">IF(K704="","FAIL - No Date",IF(TODAY()-DATEVALUE(K704)&lt;=180,"PASS","FLAG - Stale &gt;180d"))</f>
        <v>FLAG - Stale &gt;180d</v>
      </c>
      <c r="T704" s="20" t="n">
        <f aca="false">COUNTIF(M704:S704,"FAIL*")+COUNTIF(M704:S704,"FLAG*")</f>
        <v>1</v>
      </c>
      <c r="U704" s="20" t="str">
        <f aca="false">IF(T704=0,"CLEAN",IF(T704=1,"MINOR",IF(T704&lt;=3,"MODERATE","CRITICAL")))</f>
        <v>MINOR</v>
      </c>
      <c r="V704" s="20" t="str">
        <f aca="false">IF(U704="CLEAN","None",IF(U704="MINOR","Seller Notify",IF(U704="MODERATE","Listing Suspended","Immediate Removal")))</f>
        <v>Seller Notify</v>
      </c>
    </row>
    <row r="705" customFormat="false" ht="18" hidden="false" customHeight="true" outlineLevel="0" collapsed="false">
      <c r="A705" s="19" t="s">
        <v>6782</v>
      </c>
      <c r="B705" s="19" t="s">
        <v>4514</v>
      </c>
      <c r="C705" s="19" t="s">
        <v>125</v>
      </c>
      <c r="D705" s="19" t="s">
        <v>126</v>
      </c>
      <c r="E705" s="19" t="s">
        <v>79</v>
      </c>
      <c r="F705" s="19" t="s">
        <v>1531</v>
      </c>
      <c r="G705" s="19" t="s">
        <v>4516</v>
      </c>
      <c r="H705" s="19" t="s">
        <v>4517</v>
      </c>
      <c r="I705" s="19" t="s">
        <v>4518</v>
      </c>
      <c r="J705" s="19" t="n">
        <v>2345.92</v>
      </c>
      <c r="K705" s="19" t="s">
        <v>4520</v>
      </c>
      <c r="L705" s="19"/>
      <c r="M705" s="20" t="str">
        <f aca="false">IF(G705&lt;&gt;"","PASS","FAIL - Missing UPC")</f>
        <v>PASS</v>
      </c>
      <c r="N705" s="20" t="str">
        <f aca="false">IF(AND(G705&lt;&gt;"",H705&lt;&gt;""),IF("0"&amp;G705=H705,"PASS","FAIL - GTIN Mismatch"),"SKIP")</f>
        <v>PASS</v>
      </c>
      <c r="O705" s="20" t="str">
        <f aca="false">IF(I705="","FAIL - No Title",IF(LEN(I705)&lt;=126,"PASS","FAIL - Title &gt;"&amp;126&amp;" chars"))</f>
        <v>PASS</v>
      </c>
      <c r="P705" s="20" t="str">
        <f aca="false">IF(J705&gt;0,IF(J705&lt;5000,"PASS","FLAG - Review Price"),"FAIL - Zero Price")</f>
        <v>PASS</v>
      </c>
      <c r="Q705" s="20" t="str">
        <f aca="false">IF('Raw Catalog'!P703&lt;&gt;"","PASS","FAIL - No Image")</f>
        <v>PASS</v>
      </c>
      <c r="R705" s="20" t="str">
        <f aca="false">IF(F705&lt;&gt;"","PASS","FAIL - No Brand")</f>
        <v>PASS</v>
      </c>
      <c r="S705" s="20" t="str">
        <f aca="true">IF(K705="","FAIL - No Date",IF(TODAY()-DATEVALUE(K705)&lt;=180,"PASS","FLAG - Stale &gt;180d"))</f>
        <v>FLAG - Stale &gt;180d</v>
      </c>
      <c r="T705" s="20" t="n">
        <f aca="false">COUNTIF(M705:S705,"FAIL*")+COUNTIF(M705:S705,"FLAG*")</f>
        <v>1</v>
      </c>
      <c r="U705" s="20" t="str">
        <f aca="false">IF(T705=0,"CLEAN",IF(T705=1,"MINOR",IF(T705&lt;=3,"MODERATE","CRITICAL")))</f>
        <v>MINOR</v>
      </c>
      <c r="V705" s="20" t="str">
        <f aca="false">IF(U705="CLEAN","None",IF(U705="MINOR","Seller Notify",IF(U705="MODERATE","Listing Suspended","Immediate Removal")))</f>
        <v>Seller Notify</v>
      </c>
    </row>
    <row r="706" customFormat="false" ht="18" hidden="false" customHeight="true" outlineLevel="0" collapsed="false">
      <c r="A706" s="19" t="s">
        <v>6783</v>
      </c>
      <c r="B706" s="19" t="s">
        <v>4521</v>
      </c>
      <c r="C706" s="19" t="s">
        <v>255</v>
      </c>
      <c r="D706" s="19" t="s">
        <v>256</v>
      </c>
      <c r="E706" s="19" t="s">
        <v>79</v>
      </c>
      <c r="F706" s="19" t="s">
        <v>51</v>
      </c>
      <c r="G706" s="19" t="s">
        <v>4523</v>
      </c>
      <c r="H706" s="19" t="s">
        <v>4524</v>
      </c>
      <c r="I706" s="19" t="s">
        <v>4525</v>
      </c>
      <c r="J706" s="19" t="n">
        <v>1746.11</v>
      </c>
      <c r="K706" s="19" t="s">
        <v>855</v>
      </c>
      <c r="L706" s="19"/>
      <c r="M706" s="20" t="str">
        <f aca="false">IF(G706&lt;&gt;"","PASS","FAIL - Missing UPC")</f>
        <v>PASS</v>
      </c>
      <c r="N706" s="20" t="str">
        <f aca="false">IF(AND(G706&lt;&gt;"",H706&lt;&gt;""),IF("0"&amp;G706=H706,"PASS","FAIL - GTIN Mismatch"),"SKIP")</f>
        <v>PASS</v>
      </c>
      <c r="O706" s="20" t="str">
        <f aca="false">IF(I706="","FAIL - No Title",IF(LEN(I706)&lt;=126,"PASS","FAIL - Title &gt;"&amp;126&amp;" chars"))</f>
        <v>PASS</v>
      </c>
      <c r="P706" s="20" t="str">
        <f aca="false">IF(J706&gt;0,IF(J706&lt;5000,"PASS","FLAG - Review Price"),"FAIL - Zero Price")</f>
        <v>PASS</v>
      </c>
      <c r="Q706" s="20" t="str">
        <f aca="false">IF('Raw Catalog'!P704&lt;&gt;"","PASS","FAIL - No Image")</f>
        <v>PASS</v>
      </c>
      <c r="R706" s="20" t="str">
        <f aca="false">IF(F706&lt;&gt;"","PASS","FAIL - No Brand")</f>
        <v>PASS</v>
      </c>
      <c r="S706" s="20" t="str">
        <f aca="true">IF(K706="","FAIL - No Date",IF(TODAY()-DATEVALUE(K706)&lt;=180,"PASS","FLAG - Stale &gt;180d"))</f>
        <v>FLAG - Stale &gt;180d</v>
      </c>
      <c r="T706" s="20" t="n">
        <f aca="false">COUNTIF(M706:S706,"FAIL*")+COUNTIF(M706:S706,"FLAG*")</f>
        <v>1</v>
      </c>
      <c r="U706" s="20" t="str">
        <f aca="false">IF(T706=0,"CLEAN",IF(T706=1,"MINOR",IF(T706&lt;=3,"MODERATE","CRITICAL")))</f>
        <v>MINOR</v>
      </c>
      <c r="V706" s="20" t="str">
        <f aca="false">IF(U706="CLEAN","None",IF(U706="MINOR","Seller Notify",IF(U706="MODERATE","Listing Suspended","Immediate Removal")))</f>
        <v>Seller Notify</v>
      </c>
    </row>
    <row r="707" customFormat="false" ht="18" hidden="false" customHeight="true" outlineLevel="0" collapsed="false">
      <c r="A707" s="19" t="s">
        <v>6784</v>
      </c>
      <c r="B707" s="19" t="s">
        <v>4527</v>
      </c>
      <c r="C707" s="19" t="s">
        <v>125</v>
      </c>
      <c r="D707" s="19" t="s">
        <v>126</v>
      </c>
      <c r="E707" s="19" t="s">
        <v>79</v>
      </c>
      <c r="F707" s="19" t="s">
        <v>51</v>
      </c>
      <c r="G707" s="19" t="s">
        <v>4529</v>
      </c>
      <c r="H707" s="19" t="s">
        <v>4530</v>
      </c>
      <c r="I707" s="19" t="s">
        <v>4531</v>
      </c>
      <c r="J707" s="19" t="n">
        <v>2200.06</v>
      </c>
      <c r="K707" s="19" t="s">
        <v>4532</v>
      </c>
      <c r="L707" s="21" t="s">
        <v>1107</v>
      </c>
      <c r="M707" s="20" t="str">
        <f aca="false">IF(G707&lt;&gt;"","PASS","FAIL - Missing UPC")</f>
        <v>PASS</v>
      </c>
      <c r="N707" s="20" t="str">
        <f aca="false">IF(AND(G707&lt;&gt;"",H707&lt;&gt;""),IF("0"&amp;G707=H707,"PASS","FAIL - GTIN Mismatch"),"SKIP")</f>
        <v>PASS</v>
      </c>
      <c r="O707" s="20" t="str">
        <f aca="false">IF(I707="","FAIL - No Title",IF(LEN(I707)&lt;=126,"PASS","FAIL - Title &gt;"&amp;126&amp;" chars"))</f>
        <v>PASS</v>
      </c>
      <c r="P707" s="20" t="str">
        <f aca="false">IF(J707&gt;0,IF(J707&lt;5000,"PASS","FLAG - Review Price"),"FAIL - Zero Price")</f>
        <v>PASS</v>
      </c>
      <c r="Q707" s="20" t="str">
        <f aca="false">IF('Raw Catalog'!P705&lt;&gt;"","PASS","FAIL - No Image")</f>
        <v>PASS</v>
      </c>
      <c r="R707" s="20" t="str">
        <f aca="false">IF(F707&lt;&gt;"","PASS","FAIL - No Brand")</f>
        <v>PASS</v>
      </c>
      <c r="S707" s="20" t="str">
        <f aca="true">IF(K707="","FAIL - No Date",IF(TODAY()-DATEVALUE(K707)&lt;=180,"PASS","FLAG - Stale &gt;180d"))</f>
        <v>FLAG - Stale &gt;180d</v>
      </c>
      <c r="T707" s="20" t="n">
        <f aca="false">COUNTIF(M707:S707,"FAIL*")+COUNTIF(M707:S707,"FLAG*")</f>
        <v>1</v>
      </c>
      <c r="U707" s="20" t="str">
        <f aca="false">IF(T707=0,"CLEAN",IF(T707=1,"MINOR",IF(T707&lt;=3,"MODERATE","CRITICAL")))</f>
        <v>MINOR</v>
      </c>
      <c r="V707" s="20" t="str">
        <f aca="false">IF(U707="CLEAN","None",IF(U707="MINOR","Seller Notify",IF(U707="MODERATE","Listing Suspended","Immediate Removal")))</f>
        <v>Seller Notify</v>
      </c>
    </row>
    <row r="708" customFormat="false" ht="18" hidden="false" customHeight="true" outlineLevel="0" collapsed="false">
      <c r="A708" s="19" t="s">
        <v>6785</v>
      </c>
      <c r="B708" s="19" t="s">
        <v>4533</v>
      </c>
      <c r="C708" s="19" t="s">
        <v>48</v>
      </c>
      <c r="D708" s="19" t="s">
        <v>49</v>
      </c>
      <c r="E708" s="19" t="s">
        <v>50</v>
      </c>
      <c r="F708" s="19" t="s">
        <v>503</v>
      </c>
      <c r="G708" s="19" t="s">
        <v>4535</v>
      </c>
      <c r="H708" s="19" t="s">
        <v>4536</v>
      </c>
      <c r="I708" s="19" t="s">
        <v>4537</v>
      </c>
      <c r="J708" s="19" t="n">
        <v>273.66</v>
      </c>
      <c r="K708" s="19" t="s">
        <v>4272</v>
      </c>
      <c r="L708" s="19"/>
      <c r="M708" s="20" t="str">
        <f aca="false">IF(G708&lt;&gt;"","PASS","FAIL - Missing UPC")</f>
        <v>PASS</v>
      </c>
      <c r="N708" s="20" t="str">
        <f aca="false">IF(AND(G708&lt;&gt;"",H708&lt;&gt;""),IF("0"&amp;G708=H708,"PASS","FAIL - GTIN Mismatch"),"SKIP")</f>
        <v>PASS</v>
      </c>
      <c r="O708" s="20" t="str">
        <f aca="false">IF(I708="","FAIL - No Title",IF(LEN(I708)&lt;=126,"PASS","FAIL - Title &gt;"&amp;126&amp;" chars"))</f>
        <v>PASS</v>
      </c>
      <c r="P708" s="20" t="str">
        <f aca="false">IF(J708&gt;0,IF(J708&lt;5000,"PASS","FLAG - Review Price"),"FAIL - Zero Price")</f>
        <v>PASS</v>
      </c>
      <c r="Q708" s="20" t="str">
        <f aca="false">IF('Raw Catalog'!P706&lt;&gt;"","PASS","FAIL - No Image")</f>
        <v>PASS</v>
      </c>
      <c r="R708" s="20" t="str">
        <f aca="false">IF(F708&lt;&gt;"","PASS","FAIL - No Brand")</f>
        <v>PASS</v>
      </c>
      <c r="S708" s="20" t="str">
        <f aca="true">IF(K708="","FAIL - No Date",IF(TODAY()-DATEVALUE(K708)&lt;=180,"PASS","FLAG - Stale &gt;180d"))</f>
        <v>FLAG - Stale &gt;180d</v>
      </c>
      <c r="T708" s="20" t="n">
        <f aca="false">COUNTIF(M708:S708,"FAIL*")+COUNTIF(M708:S708,"FLAG*")</f>
        <v>1</v>
      </c>
      <c r="U708" s="20" t="str">
        <f aca="false">IF(T708=0,"CLEAN",IF(T708=1,"MINOR",IF(T708&lt;=3,"MODERATE","CRITICAL")))</f>
        <v>MINOR</v>
      </c>
      <c r="V708" s="20" t="str">
        <f aca="false">IF(U708="CLEAN","None",IF(U708="MINOR","Seller Notify",IF(U708="MODERATE","Listing Suspended","Immediate Removal")))</f>
        <v>Seller Notify</v>
      </c>
    </row>
    <row r="709" customFormat="false" ht="18" hidden="false" customHeight="true" outlineLevel="0" collapsed="false">
      <c r="A709" s="19" t="s">
        <v>6786</v>
      </c>
      <c r="B709" s="19" t="s">
        <v>2026</v>
      </c>
      <c r="C709" s="19" t="s">
        <v>159</v>
      </c>
      <c r="D709" s="19" t="s">
        <v>160</v>
      </c>
      <c r="E709" s="19" t="s">
        <v>50</v>
      </c>
      <c r="F709" s="19" t="s">
        <v>503</v>
      </c>
      <c r="G709" s="19" t="s">
        <v>2028</v>
      </c>
      <c r="H709" s="19" t="s">
        <v>2029</v>
      </c>
      <c r="I709" s="19" t="s">
        <v>1265</v>
      </c>
      <c r="J709" s="19" t="n">
        <v>912.67</v>
      </c>
      <c r="K709" s="19" t="s">
        <v>2030</v>
      </c>
      <c r="L709" s="19"/>
      <c r="M709" s="20" t="str">
        <f aca="false">IF(G709&lt;&gt;"","PASS","FAIL - Missing UPC")</f>
        <v>PASS</v>
      </c>
      <c r="N709" s="20" t="str">
        <f aca="false">IF(AND(G709&lt;&gt;"",H709&lt;&gt;""),IF("0"&amp;G709=H709,"PASS","FAIL - GTIN Mismatch"),"SKIP")</f>
        <v>PASS</v>
      </c>
      <c r="O709" s="20" t="str">
        <f aca="false">IF(I709="","FAIL - No Title",IF(LEN(I709)&lt;=126,"PASS","FAIL - Title &gt;"&amp;126&amp;" chars"))</f>
        <v>PASS</v>
      </c>
      <c r="P709" s="20" t="str">
        <f aca="false">IF(J709&gt;0,IF(J709&lt;5000,"PASS","FLAG - Review Price"),"FAIL - Zero Price")</f>
        <v>PASS</v>
      </c>
      <c r="Q709" s="20" t="str">
        <f aca="false">IF('Raw Catalog'!P707&lt;&gt;"","PASS","FAIL - No Image")</f>
        <v>PASS</v>
      </c>
      <c r="R709" s="20" t="str">
        <f aca="false">IF(F709&lt;&gt;"","PASS","FAIL - No Brand")</f>
        <v>PASS</v>
      </c>
      <c r="S709" s="20" t="str">
        <f aca="true">IF(K709="","FAIL - No Date",IF(TODAY()-DATEVALUE(K709)&lt;=180,"PASS","FLAG - Stale &gt;180d"))</f>
        <v>FLAG - Stale &gt;180d</v>
      </c>
      <c r="T709" s="20" t="n">
        <f aca="false">COUNTIF(M709:S709,"FAIL*")+COUNTIF(M709:S709,"FLAG*")</f>
        <v>1</v>
      </c>
      <c r="U709" s="20" t="str">
        <f aca="false">IF(T709=0,"CLEAN",IF(T709=1,"MINOR",IF(T709&lt;=3,"MODERATE","CRITICAL")))</f>
        <v>MINOR</v>
      </c>
      <c r="V709" s="20" t="str">
        <f aca="false">IF(U709="CLEAN","None",IF(U709="MINOR","Seller Notify",IF(U709="MODERATE","Listing Suspended","Immediate Removal")))</f>
        <v>Seller Notify</v>
      </c>
    </row>
    <row r="710" customFormat="false" ht="18" hidden="false" customHeight="true" outlineLevel="0" collapsed="false">
      <c r="A710" s="19" t="s">
        <v>6787</v>
      </c>
      <c r="B710" s="19" t="s">
        <v>4538</v>
      </c>
      <c r="C710" s="19" t="s">
        <v>125</v>
      </c>
      <c r="D710" s="19" t="s">
        <v>126</v>
      </c>
      <c r="E710" s="19" t="s">
        <v>91</v>
      </c>
      <c r="F710" s="19" t="s">
        <v>419</v>
      </c>
      <c r="G710" s="19" t="s">
        <v>4540</v>
      </c>
      <c r="H710" s="19" t="s">
        <v>4541</v>
      </c>
      <c r="I710" s="19" t="s">
        <v>4542</v>
      </c>
      <c r="J710" s="19" t="n">
        <v>17644.71</v>
      </c>
      <c r="K710" s="19" t="s">
        <v>2569</v>
      </c>
      <c r="L710" s="21" t="s">
        <v>343</v>
      </c>
      <c r="M710" s="20" t="str">
        <f aca="false">IF(G710&lt;&gt;"","PASS","FAIL - Missing UPC")</f>
        <v>PASS</v>
      </c>
      <c r="N710" s="20" t="str">
        <f aca="false">IF(AND(G710&lt;&gt;"",H710&lt;&gt;""),IF("0"&amp;G710=H710,"PASS","FAIL - GTIN Mismatch"),"SKIP")</f>
        <v>PASS</v>
      </c>
      <c r="O710" s="20" t="str">
        <f aca="false">IF(I710="","FAIL - No Title",IF(LEN(I710)&lt;=126,"PASS","FAIL - Title &gt;"&amp;126&amp;" chars"))</f>
        <v>PASS</v>
      </c>
      <c r="P710" s="20" t="str">
        <f aca="false">IF(J710&gt;0,IF(J710&lt;5000,"PASS","FLAG - Review Price"),"FAIL - Zero Price")</f>
        <v>FLAG - Review Price</v>
      </c>
      <c r="Q710" s="20" t="str">
        <f aca="false">IF('Raw Catalog'!P708&lt;&gt;"","PASS","FAIL - No Image")</f>
        <v>PASS</v>
      </c>
      <c r="R710" s="20" t="str">
        <f aca="false">IF(F710&lt;&gt;"","PASS","FAIL - No Brand")</f>
        <v>PASS</v>
      </c>
      <c r="S710" s="20" t="str">
        <f aca="true">IF(K710="","FAIL - No Date",IF(TODAY()-DATEVALUE(K710)&lt;=180,"PASS","FLAG - Stale &gt;180d"))</f>
        <v>FLAG - Stale &gt;180d</v>
      </c>
      <c r="T710" s="20" t="n">
        <f aca="false">COUNTIF(M710:S710,"FAIL*")+COUNTIF(M710:S710,"FLAG*")</f>
        <v>2</v>
      </c>
      <c r="U710" s="20" t="str">
        <f aca="false">IF(T710=0,"CLEAN",IF(T710=1,"MINOR",IF(T710&lt;=3,"MODERATE","CRITICAL")))</f>
        <v>MODERATE</v>
      </c>
      <c r="V710" s="20" t="str">
        <f aca="false">IF(U710="CLEAN","None",IF(U710="MINOR","Seller Notify",IF(U710="MODERATE","Listing Suspended","Immediate Removal")))</f>
        <v>Listing Suspended</v>
      </c>
    </row>
    <row r="711" customFormat="false" ht="18" hidden="false" customHeight="true" outlineLevel="0" collapsed="false">
      <c r="A711" s="19" t="s">
        <v>6788</v>
      </c>
      <c r="B711" s="19" t="s">
        <v>4543</v>
      </c>
      <c r="C711" s="19" t="s">
        <v>125</v>
      </c>
      <c r="D711" s="19" t="s">
        <v>126</v>
      </c>
      <c r="E711" s="19" t="s">
        <v>91</v>
      </c>
      <c r="F711" s="19" t="s">
        <v>419</v>
      </c>
      <c r="G711" s="19" t="s">
        <v>4545</v>
      </c>
      <c r="H711" s="19" t="s">
        <v>4546</v>
      </c>
      <c r="I711" s="19" t="s">
        <v>4547</v>
      </c>
      <c r="J711" s="19" t="n">
        <v>3013.84</v>
      </c>
      <c r="K711" s="19" t="s">
        <v>3941</v>
      </c>
      <c r="L711" s="19"/>
      <c r="M711" s="20" t="str">
        <f aca="false">IF(G711&lt;&gt;"","PASS","FAIL - Missing UPC")</f>
        <v>PASS</v>
      </c>
      <c r="N711" s="20" t="str">
        <f aca="false">IF(AND(G711&lt;&gt;"",H711&lt;&gt;""),IF("0"&amp;G711=H711,"PASS","FAIL - GTIN Mismatch"),"SKIP")</f>
        <v>PASS</v>
      </c>
      <c r="O711" s="20" t="str">
        <f aca="false">IF(I711="","FAIL - No Title",IF(LEN(I711)&lt;=126,"PASS","FAIL - Title &gt;"&amp;126&amp;" chars"))</f>
        <v>PASS</v>
      </c>
      <c r="P711" s="20" t="str">
        <f aca="false">IF(J711&gt;0,IF(J711&lt;5000,"PASS","FLAG - Review Price"),"FAIL - Zero Price")</f>
        <v>PASS</v>
      </c>
      <c r="Q711" s="20" t="str">
        <f aca="false">IF('Raw Catalog'!P709&lt;&gt;"","PASS","FAIL - No Image")</f>
        <v>PASS</v>
      </c>
      <c r="R711" s="20" t="str">
        <f aca="false">IF(F711&lt;&gt;"","PASS","FAIL - No Brand")</f>
        <v>PASS</v>
      </c>
      <c r="S711" s="20" t="str">
        <f aca="true">IF(K711="","FAIL - No Date",IF(TODAY()-DATEVALUE(K711)&lt;=180,"PASS","FLAG - Stale &gt;180d"))</f>
        <v>FLAG - Stale &gt;180d</v>
      </c>
      <c r="T711" s="20" t="n">
        <f aca="false">COUNTIF(M711:S711,"FAIL*")+COUNTIF(M711:S711,"FLAG*")</f>
        <v>1</v>
      </c>
      <c r="U711" s="20" t="str">
        <f aca="false">IF(T711=0,"CLEAN",IF(T711=1,"MINOR",IF(T711&lt;=3,"MODERATE","CRITICAL")))</f>
        <v>MINOR</v>
      </c>
      <c r="V711" s="20" t="str">
        <f aca="false">IF(U711="CLEAN","None",IF(U711="MINOR","Seller Notify",IF(U711="MODERATE","Listing Suspended","Immediate Removal")))</f>
        <v>Seller Notify</v>
      </c>
    </row>
    <row r="712" customFormat="false" ht="18" hidden="false" customHeight="true" outlineLevel="0" collapsed="false">
      <c r="A712" s="19" t="s">
        <v>6789</v>
      </c>
      <c r="B712" s="19" t="s">
        <v>4549</v>
      </c>
      <c r="C712" s="19" t="s">
        <v>77</v>
      </c>
      <c r="D712" s="19" t="s">
        <v>78</v>
      </c>
      <c r="E712" s="19" t="s">
        <v>50</v>
      </c>
      <c r="F712" s="19" t="s">
        <v>115</v>
      </c>
      <c r="G712" s="19" t="s">
        <v>4551</v>
      </c>
      <c r="H712" s="19" t="s">
        <v>4552</v>
      </c>
      <c r="I712" s="19" t="s">
        <v>4553</v>
      </c>
      <c r="J712" s="19" t="n">
        <v>1077.6</v>
      </c>
      <c r="K712" s="19" t="s">
        <v>4555</v>
      </c>
      <c r="L712" s="19"/>
      <c r="M712" s="20" t="str">
        <f aca="false">IF(G712&lt;&gt;"","PASS","FAIL - Missing UPC")</f>
        <v>PASS</v>
      </c>
      <c r="N712" s="20" t="str">
        <f aca="false">IF(AND(G712&lt;&gt;"",H712&lt;&gt;""),IF("0"&amp;G712=H712,"PASS","FAIL - GTIN Mismatch"),"SKIP")</f>
        <v>PASS</v>
      </c>
      <c r="O712" s="20" t="str">
        <f aca="false">IF(I712="","FAIL - No Title",IF(LEN(I712)&lt;=126,"PASS","FAIL - Title &gt;"&amp;126&amp;" chars"))</f>
        <v>PASS</v>
      </c>
      <c r="P712" s="20" t="str">
        <f aca="false">IF(J712&gt;0,IF(J712&lt;5000,"PASS","FLAG - Review Price"),"FAIL - Zero Price")</f>
        <v>PASS</v>
      </c>
      <c r="Q712" s="20" t="str">
        <f aca="false">IF('Raw Catalog'!P710&lt;&gt;"","PASS","FAIL - No Image")</f>
        <v>PASS</v>
      </c>
      <c r="R712" s="20" t="str">
        <f aca="false">IF(F712&lt;&gt;"","PASS","FAIL - No Brand")</f>
        <v>PASS</v>
      </c>
      <c r="S712" s="20" t="str">
        <f aca="true">IF(K712="","FAIL - No Date",IF(TODAY()-DATEVALUE(K712)&lt;=180,"PASS","FLAG - Stale &gt;180d"))</f>
        <v>FLAG - Stale &gt;180d</v>
      </c>
      <c r="T712" s="20" t="n">
        <f aca="false">COUNTIF(M712:S712,"FAIL*")+COUNTIF(M712:S712,"FLAG*")</f>
        <v>1</v>
      </c>
      <c r="U712" s="20" t="str">
        <f aca="false">IF(T712=0,"CLEAN",IF(T712=1,"MINOR",IF(T712&lt;=3,"MODERATE","CRITICAL")))</f>
        <v>MINOR</v>
      </c>
      <c r="V712" s="20" t="str">
        <f aca="false">IF(U712="CLEAN","None",IF(U712="MINOR","Seller Notify",IF(U712="MODERATE","Listing Suspended","Immediate Removal")))</f>
        <v>Seller Notify</v>
      </c>
    </row>
    <row r="713" customFormat="false" ht="18" hidden="false" customHeight="true" outlineLevel="0" collapsed="false">
      <c r="A713" s="19" t="s">
        <v>6790</v>
      </c>
      <c r="B713" s="19" t="s">
        <v>4556</v>
      </c>
      <c r="C713" s="19" t="s">
        <v>159</v>
      </c>
      <c r="D713" s="19" t="s">
        <v>160</v>
      </c>
      <c r="E713" s="19" t="s">
        <v>50</v>
      </c>
      <c r="F713" s="19" t="s">
        <v>51</v>
      </c>
      <c r="G713" s="19" t="s">
        <v>4558</v>
      </c>
      <c r="H713" s="19" t="s">
        <v>4559</v>
      </c>
      <c r="I713" s="19" t="s">
        <v>4560</v>
      </c>
      <c r="J713" s="19" t="n">
        <v>934.49</v>
      </c>
      <c r="K713" s="19" t="s">
        <v>253</v>
      </c>
      <c r="L713" s="19"/>
      <c r="M713" s="20" t="str">
        <f aca="false">IF(G713&lt;&gt;"","PASS","FAIL - Missing UPC")</f>
        <v>PASS</v>
      </c>
      <c r="N713" s="20" t="str">
        <f aca="false">IF(AND(G713&lt;&gt;"",H713&lt;&gt;""),IF("0"&amp;G713=H713,"PASS","FAIL - GTIN Mismatch"),"SKIP")</f>
        <v>PASS</v>
      </c>
      <c r="O713" s="20" t="str">
        <f aca="false">IF(I713="","FAIL - No Title",IF(LEN(I713)&lt;=126,"PASS","FAIL - Title &gt;"&amp;126&amp;" chars"))</f>
        <v>PASS</v>
      </c>
      <c r="P713" s="20" t="str">
        <f aca="false">IF(J713&gt;0,IF(J713&lt;5000,"PASS","FLAG - Review Price"),"FAIL - Zero Price")</f>
        <v>PASS</v>
      </c>
      <c r="Q713" s="20" t="str">
        <f aca="false">IF('Raw Catalog'!P711&lt;&gt;"","PASS","FAIL - No Image")</f>
        <v>PASS</v>
      </c>
      <c r="R713" s="20" t="str">
        <f aca="false">IF(F713&lt;&gt;"","PASS","FAIL - No Brand")</f>
        <v>PASS</v>
      </c>
      <c r="S713" s="20" t="str">
        <f aca="true">IF(K713="","FAIL - No Date",IF(TODAY()-DATEVALUE(K713)&lt;=180,"PASS","FLAG - Stale &gt;180d"))</f>
        <v>FLAG - Stale &gt;180d</v>
      </c>
      <c r="T713" s="20" t="n">
        <f aca="false">COUNTIF(M713:S713,"FAIL*")+COUNTIF(M713:S713,"FLAG*")</f>
        <v>1</v>
      </c>
      <c r="U713" s="20" t="str">
        <f aca="false">IF(T713=0,"CLEAN",IF(T713=1,"MINOR",IF(T713&lt;=3,"MODERATE","CRITICAL")))</f>
        <v>MINOR</v>
      </c>
      <c r="V713" s="20" t="str">
        <f aca="false">IF(U713="CLEAN","None",IF(U713="MINOR","Seller Notify",IF(U713="MODERATE","Listing Suspended","Immediate Removal")))</f>
        <v>Seller Notify</v>
      </c>
    </row>
    <row r="714" customFormat="false" ht="18" hidden="false" customHeight="true" outlineLevel="0" collapsed="false">
      <c r="A714" s="19" t="s">
        <v>6791</v>
      </c>
      <c r="B714" s="19" t="s">
        <v>4562</v>
      </c>
      <c r="C714" s="19" t="s">
        <v>125</v>
      </c>
      <c r="D714" s="19" t="s">
        <v>126</v>
      </c>
      <c r="E714" s="19" t="s">
        <v>91</v>
      </c>
      <c r="F714" s="19" t="s">
        <v>587</v>
      </c>
      <c r="G714" s="19" t="s">
        <v>4564</v>
      </c>
      <c r="H714" s="19" t="s">
        <v>4565</v>
      </c>
      <c r="I714" s="19" t="s">
        <v>1826</v>
      </c>
      <c r="J714" s="19" t="n">
        <v>2794.87</v>
      </c>
      <c r="K714" s="19" t="s">
        <v>4272</v>
      </c>
      <c r="L714" s="19"/>
      <c r="M714" s="20" t="str">
        <f aca="false">IF(G714&lt;&gt;"","PASS","FAIL - Missing UPC")</f>
        <v>PASS</v>
      </c>
      <c r="N714" s="20" t="str">
        <f aca="false">IF(AND(G714&lt;&gt;"",H714&lt;&gt;""),IF("0"&amp;G714=H714,"PASS","FAIL - GTIN Mismatch"),"SKIP")</f>
        <v>PASS</v>
      </c>
      <c r="O714" s="20" t="str">
        <f aca="false">IF(I714="","FAIL - No Title",IF(LEN(I714)&lt;=126,"PASS","FAIL - Title &gt;"&amp;126&amp;" chars"))</f>
        <v>PASS</v>
      </c>
      <c r="P714" s="20" t="str">
        <f aca="false">IF(J714&gt;0,IF(J714&lt;5000,"PASS","FLAG - Review Price"),"FAIL - Zero Price")</f>
        <v>PASS</v>
      </c>
      <c r="Q714" s="20" t="str">
        <f aca="false">IF('Raw Catalog'!P712&lt;&gt;"","PASS","FAIL - No Image")</f>
        <v>PASS</v>
      </c>
      <c r="R714" s="20" t="str">
        <f aca="false">IF(F714&lt;&gt;"","PASS","FAIL - No Brand")</f>
        <v>PASS</v>
      </c>
      <c r="S714" s="20" t="str">
        <f aca="true">IF(K714="","FAIL - No Date",IF(TODAY()-DATEVALUE(K714)&lt;=180,"PASS","FLAG - Stale &gt;180d"))</f>
        <v>FLAG - Stale &gt;180d</v>
      </c>
      <c r="T714" s="20" t="n">
        <f aca="false">COUNTIF(M714:S714,"FAIL*")+COUNTIF(M714:S714,"FLAG*")</f>
        <v>1</v>
      </c>
      <c r="U714" s="20" t="str">
        <f aca="false">IF(T714=0,"CLEAN",IF(T714=1,"MINOR",IF(T714&lt;=3,"MODERATE","CRITICAL")))</f>
        <v>MINOR</v>
      </c>
      <c r="V714" s="20" t="str">
        <f aca="false">IF(U714="CLEAN","None",IF(U714="MINOR","Seller Notify",IF(U714="MODERATE","Listing Suspended","Immediate Removal")))</f>
        <v>Seller Notify</v>
      </c>
    </row>
    <row r="715" customFormat="false" ht="18" hidden="false" customHeight="true" outlineLevel="0" collapsed="false">
      <c r="A715" s="19" t="s">
        <v>6792</v>
      </c>
      <c r="B715" s="19" t="s">
        <v>4567</v>
      </c>
      <c r="C715" s="19" t="s">
        <v>63</v>
      </c>
      <c r="D715" s="19" t="s">
        <v>64</v>
      </c>
      <c r="E715" s="19" t="s">
        <v>79</v>
      </c>
      <c r="F715" s="19" t="s">
        <v>1531</v>
      </c>
      <c r="G715" s="19" t="s">
        <v>4569</v>
      </c>
      <c r="H715" s="19" t="s">
        <v>4570</v>
      </c>
      <c r="I715" s="19" t="s">
        <v>4456</v>
      </c>
      <c r="J715" s="19" t="n">
        <v>646.26</v>
      </c>
      <c r="K715" s="19" t="s">
        <v>4572</v>
      </c>
      <c r="L715" s="19"/>
      <c r="M715" s="20" t="str">
        <f aca="false">IF(G715&lt;&gt;"","PASS","FAIL - Missing UPC")</f>
        <v>PASS</v>
      </c>
      <c r="N715" s="20" t="str">
        <f aca="false">IF(AND(G715&lt;&gt;"",H715&lt;&gt;""),IF("0"&amp;G715=H715,"PASS","FAIL - GTIN Mismatch"),"SKIP")</f>
        <v>PASS</v>
      </c>
      <c r="O715" s="20" t="str">
        <f aca="false">IF(I715="","FAIL - No Title",IF(LEN(I715)&lt;=126,"PASS","FAIL - Title &gt;"&amp;126&amp;" chars"))</f>
        <v>PASS</v>
      </c>
      <c r="P715" s="20" t="str">
        <f aca="false">IF(J715&gt;0,IF(J715&lt;5000,"PASS","FLAG - Review Price"),"FAIL - Zero Price")</f>
        <v>PASS</v>
      </c>
      <c r="Q715" s="20" t="str">
        <f aca="false">IF('Raw Catalog'!P713&lt;&gt;"","PASS","FAIL - No Image")</f>
        <v>PASS</v>
      </c>
      <c r="R715" s="20" t="str">
        <f aca="false">IF(F715&lt;&gt;"","PASS","FAIL - No Brand")</f>
        <v>PASS</v>
      </c>
      <c r="S715" s="20" t="str">
        <f aca="true">IF(K715="","FAIL - No Date",IF(TODAY()-DATEVALUE(K715)&lt;=180,"PASS","FLAG - Stale &gt;180d"))</f>
        <v>FLAG - Stale &gt;180d</v>
      </c>
      <c r="T715" s="20" t="n">
        <f aca="false">COUNTIF(M715:S715,"FAIL*")+COUNTIF(M715:S715,"FLAG*")</f>
        <v>1</v>
      </c>
      <c r="U715" s="20" t="str">
        <f aca="false">IF(T715=0,"CLEAN",IF(T715=1,"MINOR",IF(T715&lt;=3,"MODERATE","CRITICAL")))</f>
        <v>MINOR</v>
      </c>
      <c r="V715" s="20" t="str">
        <f aca="false">IF(U715="CLEAN","None",IF(U715="MINOR","Seller Notify",IF(U715="MODERATE","Listing Suspended","Immediate Removal")))</f>
        <v>Seller Notify</v>
      </c>
    </row>
    <row r="716" customFormat="false" ht="18" hidden="false" customHeight="true" outlineLevel="0" collapsed="false">
      <c r="A716" s="19" t="s">
        <v>6793</v>
      </c>
      <c r="B716" s="19" t="s">
        <v>4573</v>
      </c>
      <c r="C716" s="19" t="s">
        <v>113</v>
      </c>
      <c r="D716" s="19" t="s">
        <v>114</v>
      </c>
      <c r="E716" s="19" t="s">
        <v>161</v>
      </c>
      <c r="F716" s="19" t="s">
        <v>51</v>
      </c>
      <c r="G716" s="19" t="s">
        <v>4575</v>
      </c>
      <c r="H716" s="19" t="s">
        <v>4576</v>
      </c>
      <c r="I716" s="19" t="s">
        <v>4577</v>
      </c>
      <c r="J716" s="19" t="n">
        <v>505.4</v>
      </c>
      <c r="K716" s="19" t="s">
        <v>2196</v>
      </c>
      <c r="L716" s="19"/>
      <c r="M716" s="20" t="str">
        <f aca="false">IF(G716&lt;&gt;"","PASS","FAIL - Missing UPC")</f>
        <v>PASS</v>
      </c>
      <c r="N716" s="20" t="str">
        <f aca="false">IF(AND(G716&lt;&gt;"",H716&lt;&gt;""),IF("0"&amp;G716=H716,"PASS","FAIL - GTIN Mismatch"),"SKIP")</f>
        <v>PASS</v>
      </c>
      <c r="O716" s="20" t="str">
        <f aca="false">IF(I716="","FAIL - No Title",IF(LEN(I716)&lt;=126,"PASS","FAIL - Title &gt;"&amp;126&amp;" chars"))</f>
        <v>PASS</v>
      </c>
      <c r="P716" s="20" t="str">
        <f aca="false">IF(J716&gt;0,IF(J716&lt;5000,"PASS","FLAG - Review Price"),"FAIL - Zero Price")</f>
        <v>PASS</v>
      </c>
      <c r="Q716" s="20" t="str">
        <f aca="false">IF('Raw Catalog'!P714&lt;&gt;"","PASS","FAIL - No Image")</f>
        <v>PASS</v>
      </c>
      <c r="R716" s="20" t="str">
        <f aca="false">IF(F716&lt;&gt;"","PASS","FAIL - No Brand")</f>
        <v>PASS</v>
      </c>
      <c r="S716" s="20" t="str">
        <f aca="true">IF(K716="","FAIL - No Date",IF(TODAY()-DATEVALUE(K716)&lt;=180,"PASS","FLAG - Stale &gt;180d"))</f>
        <v>FLAG - Stale &gt;180d</v>
      </c>
      <c r="T716" s="20" t="n">
        <f aca="false">COUNTIF(M716:S716,"FAIL*")+COUNTIF(M716:S716,"FLAG*")</f>
        <v>1</v>
      </c>
      <c r="U716" s="20" t="str">
        <f aca="false">IF(T716=0,"CLEAN",IF(T716=1,"MINOR",IF(T716&lt;=3,"MODERATE","CRITICAL")))</f>
        <v>MINOR</v>
      </c>
      <c r="V716" s="20" t="str">
        <f aca="false">IF(U716="CLEAN","None",IF(U716="MINOR","Seller Notify",IF(U716="MODERATE","Listing Suspended","Immediate Removal")))</f>
        <v>Seller Notify</v>
      </c>
    </row>
    <row r="717" customFormat="false" ht="18" hidden="false" customHeight="true" outlineLevel="0" collapsed="false">
      <c r="A717" s="19" t="s">
        <v>6794</v>
      </c>
      <c r="B717" s="19" t="s">
        <v>4578</v>
      </c>
      <c r="C717" s="19" t="s">
        <v>113</v>
      </c>
      <c r="D717" s="19" t="s">
        <v>114</v>
      </c>
      <c r="E717" s="19" t="s">
        <v>50</v>
      </c>
      <c r="F717" s="19" t="s">
        <v>51</v>
      </c>
      <c r="G717" s="19" t="s">
        <v>4580</v>
      </c>
      <c r="H717" s="19" t="s">
        <v>4581</v>
      </c>
      <c r="I717" s="19" t="s">
        <v>1763</v>
      </c>
      <c r="J717" s="19" t="n">
        <v>909.24</v>
      </c>
      <c r="K717" s="19" t="s">
        <v>2738</v>
      </c>
      <c r="L717" s="19"/>
      <c r="M717" s="20" t="str">
        <f aca="false">IF(G717&lt;&gt;"","PASS","FAIL - Missing UPC")</f>
        <v>PASS</v>
      </c>
      <c r="N717" s="20" t="str">
        <f aca="false">IF(AND(G717&lt;&gt;"",H717&lt;&gt;""),IF("0"&amp;G717=H717,"PASS","FAIL - GTIN Mismatch"),"SKIP")</f>
        <v>PASS</v>
      </c>
      <c r="O717" s="20" t="str">
        <f aca="false">IF(I717="","FAIL - No Title",IF(LEN(I717)&lt;=126,"PASS","FAIL - Title &gt;"&amp;126&amp;" chars"))</f>
        <v>PASS</v>
      </c>
      <c r="P717" s="20" t="str">
        <f aca="false">IF(J717&gt;0,IF(J717&lt;5000,"PASS","FLAG - Review Price"),"FAIL - Zero Price")</f>
        <v>PASS</v>
      </c>
      <c r="Q717" s="20" t="str">
        <f aca="false">IF('Raw Catalog'!P715&lt;&gt;"","PASS","FAIL - No Image")</f>
        <v>PASS</v>
      </c>
      <c r="R717" s="20" t="str">
        <f aca="false">IF(F717&lt;&gt;"","PASS","FAIL - No Brand")</f>
        <v>PASS</v>
      </c>
      <c r="S717" s="20" t="str">
        <f aca="true">IF(K717="","FAIL - No Date",IF(TODAY()-DATEVALUE(K717)&lt;=180,"PASS","FLAG - Stale &gt;180d"))</f>
        <v>FLAG - Stale &gt;180d</v>
      </c>
      <c r="T717" s="20" t="n">
        <f aca="false">COUNTIF(M717:S717,"FAIL*")+COUNTIF(M717:S717,"FLAG*")</f>
        <v>1</v>
      </c>
      <c r="U717" s="20" t="str">
        <f aca="false">IF(T717=0,"CLEAN",IF(T717=1,"MINOR",IF(T717&lt;=3,"MODERATE","CRITICAL")))</f>
        <v>MINOR</v>
      </c>
      <c r="V717" s="20" t="str">
        <f aca="false">IF(U717="CLEAN","None",IF(U717="MINOR","Seller Notify",IF(U717="MODERATE","Listing Suspended","Immediate Removal")))</f>
        <v>Seller Notify</v>
      </c>
    </row>
    <row r="718" customFormat="false" ht="18" hidden="false" customHeight="true" outlineLevel="0" collapsed="false">
      <c r="A718" s="19" t="s">
        <v>6795</v>
      </c>
      <c r="B718" s="19" t="s">
        <v>4583</v>
      </c>
      <c r="C718" s="19" t="s">
        <v>159</v>
      </c>
      <c r="D718" s="19" t="s">
        <v>160</v>
      </c>
      <c r="E718" s="19" t="s">
        <v>50</v>
      </c>
      <c r="F718" s="19" t="s">
        <v>51</v>
      </c>
      <c r="G718" s="19" t="s">
        <v>4585</v>
      </c>
      <c r="H718" s="19" t="s">
        <v>4586</v>
      </c>
      <c r="I718" s="19" t="s">
        <v>1819</v>
      </c>
      <c r="J718" s="19" t="n">
        <v>570.58</v>
      </c>
      <c r="K718" s="19" t="s">
        <v>3641</v>
      </c>
      <c r="L718" s="19"/>
      <c r="M718" s="20" t="str">
        <f aca="false">IF(G718&lt;&gt;"","PASS","FAIL - Missing UPC")</f>
        <v>PASS</v>
      </c>
      <c r="N718" s="20" t="str">
        <f aca="false">IF(AND(G718&lt;&gt;"",H718&lt;&gt;""),IF("0"&amp;G718=H718,"PASS","FAIL - GTIN Mismatch"),"SKIP")</f>
        <v>PASS</v>
      </c>
      <c r="O718" s="20" t="str">
        <f aca="false">IF(I718="","FAIL - No Title",IF(LEN(I718)&lt;=126,"PASS","FAIL - Title &gt;"&amp;126&amp;" chars"))</f>
        <v>PASS</v>
      </c>
      <c r="P718" s="20" t="str">
        <f aca="false">IF(J718&gt;0,IF(J718&lt;5000,"PASS","FLAG - Review Price"),"FAIL - Zero Price")</f>
        <v>PASS</v>
      </c>
      <c r="Q718" s="20" t="str">
        <f aca="false">IF('Raw Catalog'!P716&lt;&gt;"","PASS","FAIL - No Image")</f>
        <v>PASS</v>
      </c>
      <c r="R718" s="20" t="str">
        <f aca="false">IF(F718&lt;&gt;"","PASS","FAIL - No Brand")</f>
        <v>PASS</v>
      </c>
      <c r="S718" s="20" t="str">
        <f aca="true">IF(K718="","FAIL - No Date",IF(TODAY()-DATEVALUE(K718)&lt;=180,"PASS","FLAG - Stale &gt;180d"))</f>
        <v>FLAG - Stale &gt;180d</v>
      </c>
      <c r="T718" s="20" t="n">
        <f aca="false">COUNTIF(M718:S718,"FAIL*")+COUNTIF(M718:S718,"FLAG*")</f>
        <v>1</v>
      </c>
      <c r="U718" s="20" t="str">
        <f aca="false">IF(T718=0,"CLEAN",IF(T718=1,"MINOR",IF(T718&lt;=3,"MODERATE","CRITICAL")))</f>
        <v>MINOR</v>
      </c>
      <c r="V718" s="20" t="str">
        <f aca="false">IF(U718="CLEAN","None",IF(U718="MINOR","Seller Notify",IF(U718="MODERATE","Listing Suspended","Immediate Removal")))</f>
        <v>Seller Notify</v>
      </c>
    </row>
    <row r="719" customFormat="false" ht="18" hidden="false" customHeight="true" outlineLevel="0" collapsed="false">
      <c r="A719" s="19" t="s">
        <v>6796</v>
      </c>
      <c r="B719" s="19" t="s">
        <v>2468</v>
      </c>
      <c r="C719" s="19" t="s">
        <v>173</v>
      </c>
      <c r="D719" s="19" t="s">
        <v>174</v>
      </c>
      <c r="E719" s="19" t="s">
        <v>91</v>
      </c>
      <c r="F719" s="19" t="s">
        <v>780</v>
      </c>
      <c r="G719" s="19" t="s">
        <v>2470</v>
      </c>
      <c r="H719" s="19" t="s">
        <v>2471</v>
      </c>
      <c r="I719" s="19" t="s">
        <v>2472</v>
      </c>
      <c r="J719" s="19" t="n">
        <v>31114.33</v>
      </c>
      <c r="K719" s="19" t="s">
        <v>2474</v>
      </c>
      <c r="L719" s="21" t="s">
        <v>343</v>
      </c>
      <c r="M719" s="20" t="str">
        <f aca="false">IF(G719&lt;&gt;"","PASS","FAIL - Missing UPC")</f>
        <v>PASS</v>
      </c>
      <c r="N719" s="20" t="str">
        <f aca="false">IF(AND(G719&lt;&gt;"",H719&lt;&gt;""),IF("0"&amp;G719=H719,"PASS","FAIL - GTIN Mismatch"),"SKIP")</f>
        <v>PASS</v>
      </c>
      <c r="O719" s="20" t="str">
        <f aca="false">IF(I719="","FAIL - No Title",IF(LEN(I719)&lt;=126,"PASS","FAIL - Title &gt;"&amp;126&amp;" chars"))</f>
        <v>PASS</v>
      </c>
      <c r="P719" s="20" t="str">
        <f aca="false">IF(J719&gt;0,IF(J719&lt;5000,"PASS","FLAG - Review Price"),"FAIL - Zero Price")</f>
        <v>FLAG - Review Price</v>
      </c>
      <c r="Q719" s="20" t="str">
        <f aca="false">IF('Raw Catalog'!P717&lt;&gt;"","PASS","FAIL - No Image")</f>
        <v>PASS</v>
      </c>
      <c r="R719" s="20" t="str">
        <f aca="false">IF(F719&lt;&gt;"","PASS","FAIL - No Brand")</f>
        <v>PASS</v>
      </c>
      <c r="S719" s="20" t="str">
        <f aca="true">IF(K719="","FAIL - No Date",IF(TODAY()-DATEVALUE(K719)&lt;=180,"PASS","FLAG - Stale &gt;180d"))</f>
        <v>FLAG - Stale &gt;180d</v>
      </c>
      <c r="T719" s="20" t="n">
        <f aca="false">COUNTIF(M719:S719,"FAIL*")+COUNTIF(M719:S719,"FLAG*")</f>
        <v>2</v>
      </c>
      <c r="U719" s="20" t="str">
        <f aca="false">IF(T719=0,"CLEAN",IF(T719=1,"MINOR",IF(T719&lt;=3,"MODERATE","CRITICAL")))</f>
        <v>MODERATE</v>
      </c>
      <c r="V719" s="20" t="str">
        <f aca="false">IF(U719="CLEAN","None",IF(U719="MINOR","Seller Notify",IF(U719="MODERATE","Listing Suspended","Immediate Removal")))</f>
        <v>Listing Suspended</v>
      </c>
    </row>
    <row r="720" customFormat="false" ht="18" hidden="false" customHeight="true" outlineLevel="0" collapsed="false">
      <c r="A720" s="19" t="s">
        <v>6797</v>
      </c>
      <c r="B720" s="19" t="s">
        <v>4587</v>
      </c>
      <c r="C720" s="19" t="s">
        <v>77</v>
      </c>
      <c r="D720" s="19" t="s">
        <v>78</v>
      </c>
      <c r="E720" s="19" t="s">
        <v>50</v>
      </c>
      <c r="F720" s="19" t="s">
        <v>503</v>
      </c>
      <c r="G720" s="19" t="s">
        <v>4589</v>
      </c>
      <c r="H720" s="19" t="s">
        <v>4590</v>
      </c>
      <c r="I720" s="19" t="s">
        <v>4591</v>
      </c>
      <c r="J720" s="19" t="n">
        <v>784.37</v>
      </c>
      <c r="K720" s="19" t="s">
        <v>293</v>
      </c>
      <c r="L720" s="19"/>
      <c r="M720" s="20" t="str">
        <f aca="false">IF(G720&lt;&gt;"","PASS","FAIL - Missing UPC")</f>
        <v>PASS</v>
      </c>
      <c r="N720" s="20" t="str">
        <f aca="false">IF(AND(G720&lt;&gt;"",H720&lt;&gt;""),IF("0"&amp;G720=H720,"PASS","FAIL - GTIN Mismatch"),"SKIP")</f>
        <v>PASS</v>
      </c>
      <c r="O720" s="20" t="str">
        <f aca="false">IF(I720="","FAIL - No Title",IF(LEN(I720)&lt;=126,"PASS","FAIL - Title &gt;"&amp;126&amp;" chars"))</f>
        <v>PASS</v>
      </c>
      <c r="P720" s="20" t="str">
        <f aca="false">IF(J720&gt;0,IF(J720&lt;5000,"PASS","FLAG - Review Price"),"FAIL - Zero Price")</f>
        <v>PASS</v>
      </c>
      <c r="Q720" s="20" t="str">
        <f aca="false">IF('Raw Catalog'!P718&lt;&gt;"","PASS","FAIL - No Image")</f>
        <v>PASS</v>
      </c>
      <c r="R720" s="20" t="str">
        <f aca="false">IF(F720&lt;&gt;"","PASS","FAIL - No Brand")</f>
        <v>PASS</v>
      </c>
      <c r="S720" s="20" t="str">
        <f aca="true">IF(K720="","FAIL - No Date",IF(TODAY()-DATEVALUE(K720)&lt;=180,"PASS","FLAG - Stale &gt;180d"))</f>
        <v>FLAG - Stale &gt;180d</v>
      </c>
      <c r="T720" s="20" t="n">
        <f aca="false">COUNTIF(M720:S720,"FAIL*")+COUNTIF(M720:S720,"FLAG*")</f>
        <v>1</v>
      </c>
      <c r="U720" s="20" t="str">
        <f aca="false">IF(T720=0,"CLEAN",IF(T720=1,"MINOR",IF(T720&lt;=3,"MODERATE","CRITICAL")))</f>
        <v>MINOR</v>
      </c>
      <c r="V720" s="20" t="str">
        <f aca="false">IF(U720="CLEAN","None",IF(U720="MINOR","Seller Notify",IF(U720="MODERATE","Listing Suspended","Immediate Removal")))</f>
        <v>Seller Notify</v>
      </c>
    </row>
    <row r="721" customFormat="false" ht="18" hidden="false" customHeight="true" outlineLevel="0" collapsed="false">
      <c r="A721" s="19" t="s">
        <v>6798</v>
      </c>
      <c r="B721" s="19" t="s">
        <v>4592</v>
      </c>
      <c r="C721" s="19" t="s">
        <v>113</v>
      </c>
      <c r="D721" s="19" t="s">
        <v>114</v>
      </c>
      <c r="E721" s="19" t="s">
        <v>65</v>
      </c>
      <c r="F721" s="19" t="s">
        <v>227</v>
      </c>
      <c r="G721" s="19" t="s">
        <v>4594</v>
      </c>
      <c r="H721" s="19" t="s">
        <v>4595</v>
      </c>
      <c r="I721" s="19" t="s">
        <v>3456</v>
      </c>
      <c r="J721" s="19" t="n">
        <v>1560.08</v>
      </c>
      <c r="K721" s="19" t="s">
        <v>4596</v>
      </c>
      <c r="L721" s="21" t="s">
        <v>325</v>
      </c>
      <c r="M721" s="20" t="str">
        <f aca="false">IF(G721&lt;&gt;"","PASS","FAIL - Missing UPC")</f>
        <v>PASS</v>
      </c>
      <c r="N721" s="20" t="str">
        <f aca="false">IF(AND(G721&lt;&gt;"",H721&lt;&gt;""),IF("0"&amp;G721=H721,"PASS","FAIL - GTIN Mismatch"),"SKIP")</f>
        <v>PASS</v>
      </c>
      <c r="O721" s="20" t="str">
        <f aca="false">IF(I721="","FAIL - No Title",IF(LEN(I721)&lt;=126,"PASS","FAIL - Title &gt;"&amp;126&amp;" chars"))</f>
        <v>PASS</v>
      </c>
      <c r="P721" s="20" t="str">
        <f aca="false">IF(J721&gt;0,IF(J721&lt;5000,"PASS","FLAG - Review Price"),"FAIL - Zero Price")</f>
        <v>PASS</v>
      </c>
      <c r="Q721" s="20" t="str">
        <f aca="false">IF('Raw Catalog'!P719&lt;&gt;"","PASS","FAIL - No Image")</f>
        <v>PASS</v>
      </c>
      <c r="R721" s="20" t="str">
        <f aca="false">IF(F721&lt;&gt;"","PASS","FAIL - No Brand")</f>
        <v>PASS</v>
      </c>
      <c r="S721" s="20" t="str">
        <f aca="true">IF(K721="","FAIL - No Date",IF(TODAY()-DATEVALUE(K721)&lt;=180,"PASS","FLAG - Stale &gt;180d"))</f>
        <v>FLAG - Stale &gt;180d</v>
      </c>
      <c r="T721" s="20" t="n">
        <f aca="false">COUNTIF(M721:S721,"FAIL*")+COUNTIF(M721:S721,"FLAG*")</f>
        <v>1</v>
      </c>
      <c r="U721" s="20" t="str">
        <f aca="false">IF(T721=0,"CLEAN",IF(T721=1,"MINOR",IF(T721&lt;=3,"MODERATE","CRITICAL")))</f>
        <v>MINOR</v>
      </c>
      <c r="V721" s="20" t="str">
        <f aca="false">IF(U721="CLEAN","None",IF(U721="MINOR","Seller Notify",IF(U721="MODERATE","Listing Suspended","Immediate Removal")))</f>
        <v>Seller Notify</v>
      </c>
    </row>
    <row r="722" customFormat="false" ht="18" hidden="false" customHeight="true" outlineLevel="0" collapsed="false">
      <c r="A722" s="19" t="s">
        <v>6799</v>
      </c>
      <c r="B722" s="19" t="s">
        <v>4597</v>
      </c>
      <c r="C722" s="19" t="s">
        <v>255</v>
      </c>
      <c r="D722" s="19" t="s">
        <v>256</v>
      </c>
      <c r="E722" s="19" t="s">
        <v>50</v>
      </c>
      <c r="F722" s="19" t="s">
        <v>127</v>
      </c>
      <c r="G722" s="19" t="s">
        <v>4599</v>
      </c>
      <c r="H722" s="19" t="s">
        <v>4600</v>
      </c>
      <c r="I722" s="19"/>
      <c r="J722" s="19" t="n">
        <v>690.57</v>
      </c>
      <c r="K722" s="19" t="s">
        <v>4114</v>
      </c>
      <c r="L722" s="21" t="s">
        <v>1048</v>
      </c>
      <c r="M722" s="20" t="str">
        <f aca="false">IF(G722&lt;&gt;"","PASS","FAIL - Missing UPC")</f>
        <v>PASS</v>
      </c>
      <c r="N722" s="20" t="str">
        <f aca="false">IF(AND(G722&lt;&gt;"",H722&lt;&gt;""),IF("0"&amp;G722=H722,"PASS","FAIL - GTIN Mismatch"),"SKIP")</f>
        <v>PASS</v>
      </c>
      <c r="O722" s="20" t="str">
        <f aca="false">IF(I722="","FAIL - No Title",IF(LEN(I722)&lt;=126,"PASS","FAIL - Title &gt;"&amp;126&amp;" chars"))</f>
        <v>FAIL - No Title</v>
      </c>
      <c r="P722" s="20" t="str">
        <f aca="false">IF(J722&gt;0,IF(J722&lt;5000,"PASS","FLAG - Review Price"),"FAIL - Zero Price")</f>
        <v>PASS</v>
      </c>
      <c r="Q722" s="20" t="str">
        <f aca="false">IF('Raw Catalog'!P720&lt;&gt;"","PASS","FAIL - No Image")</f>
        <v>PASS</v>
      </c>
      <c r="R722" s="20" t="str">
        <f aca="false">IF(F722&lt;&gt;"","PASS","FAIL - No Brand")</f>
        <v>PASS</v>
      </c>
      <c r="S722" s="20" t="str">
        <f aca="true">IF(K722="","FAIL - No Date",IF(TODAY()-DATEVALUE(K722)&lt;=180,"PASS","FLAG - Stale &gt;180d"))</f>
        <v>FLAG - Stale &gt;180d</v>
      </c>
      <c r="T722" s="20" t="n">
        <f aca="false">COUNTIF(M722:S722,"FAIL*")+COUNTIF(M722:S722,"FLAG*")</f>
        <v>2</v>
      </c>
      <c r="U722" s="20" t="str">
        <f aca="false">IF(T722=0,"CLEAN",IF(T722=1,"MINOR",IF(T722&lt;=3,"MODERATE","CRITICAL")))</f>
        <v>MODERATE</v>
      </c>
      <c r="V722" s="20" t="str">
        <f aca="false">IF(U722="CLEAN","None",IF(U722="MINOR","Seller Notify",IF(U722="MODERATE","Listing Suspended","Immediate Removal")))</f>
        <v>Listing Suspended</v>
      </c>
    </row>
    <row r="723" customFormat="false" ht="18" hidden="false" customHeight="true" outlineLevel="0" collapsed="false">
      <c r="A723" s="19" t="s">
        <v>6800</v>
      </c>
      <c r="B723" s="19" t="s">
        <v>4602</v>
      </c>
      <c r="C723" s="19" t="s">
        <v>159</v>
      </c>
      <c r="D723" s="19" t="s">
        <v>160</v>
      </c>
      <c r="E723" s="19" t="s">
        <v>79</v>
      </c>
      <c r="F723" s="19" t="s">
        <v>127</v>
      </c>
      <c r="G723" s="19" t="s">
        <v>4604</v>
      </c>
      <c r="H723" s="19" t="s">
        <v>4605</v>
      </c>
      <c r="I723" s="19" t="s">
        <v>4606</v>
      </c>
      <c r="J723" s="19" t="n">
        <v>450.29</v>
      </c>
      <c r="K723" s="19" t="s">
        <v>3288</v>
      </c>
      <c r="L723" s="19"/>
      <c r="M723" s="20" t="str">
        <f aca="false">IF(G723&lt;&gt;"","PASS","FAIL - Missing UPC")</f>
        <v>PASS</v>
      </c>
      <c r="N723" s="20" t="str">
        <f aca="false">IF(AND(G723&lt;&gt;"",H723&lt;&gt;""),IF("0"&amp;G723=H723,"PASS","FAIL - GTIN Mismatch"),"SKIP")</f>
        <v>PASS</v>
      </c>
      <c r="O723" s="20" t="str">
        <f aca="false">IF(I723="","FAIL - No Title",IF(LEN(I723)&lt;=126,"PASS","FAIL - Title &gt;"&amp;126&amp;" chars"))</f>
        <v>PASS</v>
      </c>
      <c r="P723" s="20" t="str">
        <f aca="false">IF(J723&gt;0,IF(J723&lt;5000,"PASS","FLAG - Review Price"),"FAIL - Zero Price")</f>
        <v>PASS</v>
      </c>
      <c r="Q723" s="20" t="str">
        <f aca="false">IF('Raw Catalog'!P721&lt;&gt;"","PASS","FAIL - No Image")</f>
        <v>PASS</v>
      </c>
      <c r="R723" s="20" t="str">
        <f aca="false">IF(F723&lt;&gt;"","PASS","FAIL - No Brand")</f>
        <v>PASS</v>
      </c>
      <c r="S723" s="20" t="str">
        <f aca="true">IF(K723="","FAIL - No Date",IF(TODAY()-DATEVALUE(K723)&lt;=180,"PASS","FLAG - Stale &gt;180d"))</f>
        <v>FLAG - Stale &gt;180d</v>
      </c>
      <c r="T723" s="20" t="n">
        <f aca="false">COUNTIF(M723:S723,"FAIL*")+COUNTIF(M723:S723,"FLAG*")</f>
        <v>1</v>
      </c>
      <c r="U723" s="20" t="str">
        <f aca="false">IF(T723=0,"CLEAN",IF(T723=1,"MINOR",IF(T723&lt;=3,"MODERATE","CRITICAL")))</f>
        <v>MINOR</v>
      </c>
      <c r="V723" s="20" t="str">
        <f aca="false">IF(U723="CLEAN","None",IF(U723="MINOR","Seller Notify",IF(U723="MODERATE","Listing Suspended","Immediate Removal")))</f>
        <v>Seller Notify</v>
      </c>
    </row>
    <row r="724" customFormat="false" ht="18" hidden="false" customHeight="true" outlineLevel="0" collapsed="false">
      <c r="A724" s="19" t="s">
        <v>6801</v>
      </c>
      <c r="B724" s="19" t="s">
        <v>4607</v>
      </c>
      <c r="C724" s="19" t="s">
        <v>173</v>
      </c>
      <c r="D724" s="19" t="s">
        <v>174</v>
      </c>
      <c r="E724" s="19" t="s">
        <v>161</v>
      </c>
      <c r="F724" s="19" t="s">
        <v>185</v>
      </c>
      <c r="G724" s="19" t="s">
        <v>4609</v>
      </c>
      <c r="H724" s="19" t="s">
        <v>4610</v>
      </c>
      <c r="I724" s="19" t="s">
        <v>675</v>
      </c>
      <c r="J724" s="19" t="n">
        <v>439.45</v>
      </c>
      <c r="K724" s="19" t="s">
        <v>3080</v>
      </c>
      <c r="L724" s="19"/>
      <c r="M724" s="20" t="str">
        <f aca="false">IF(G724&lt;&gt;"","PASS","FAIL - Missing UPC")</f>
        <v>PASS</v>
      </c>
      <c r="N724" s="20" t="str">
        <f aca="false">IF(AND(G724&lt;&gt;"",H724&lt;&gt;""),IF("0"&amp;G724=H724,"PASS","FAIL - GTIN Mismatch"),"SKIP")</f>
        <v>PASS</v>
      </c>
      <c r="O724" s="20" t="str">
        <f aca="false">IF(I724="","FAIL - No Title",IF(LEN(I724)&lt;=126,"PASS","FAIL - Title &gt;"&amp;126&amp;" chars"))</f>
        <v>PASS</v>
      </c>
      <c r="P724" s="20" t="str">
        <f aca="false">IF(J724&gt;0,IF(J724&lt;5000,"PASS","FLAG - Review Price"),"FAIL - Zero Price")</f>
        <v>PASS</v>
      </c>
      <c r="Q724" s="20" t="str">
        <f aca="false">IF('Raw Catalog'!P722&lt;&gt;"","PASS","FAIL - No Image")</f>
        <v>PASS</v>
      </c>
      <c r="R724" s="20" t="str">
        <f aca="false">IF(F724&lt;&gt;"","PASS","FAIL - No Brand")</f>
        <v>PASS</v>
      </c>
      <c r="S724" s="20" t="str">
        <f aca="true">IF(K724="","FAIL - No Date",IF(TODAY()-DATEVALUE(K724)&lt;=180,"PASS","FLAG - Stale &gt;180d"))</f>
        <v>FLAG - Stale &gt;180d</v>
      </c>
      <c r="T724" s="20" t="n">
        <f aca="false">COUNTIF(M724:S724,"FAIL*")+COUNTIF(M724:S724,"FLAG*")</f>
        <v>1</v>
      </c>
      <c r="U724" s="20" t="str">
        <f aca="false">IF(T724=0,"CLEAN",IF(T724=1,"MINOR",IF(T724&lt;=3,"MODERATE","CRITICAL")))</f>
        <v>MINOR</v>
      </c>
      <c r="V724" s="20" t="str">
        <f aca="false">IF(U724="CLEAN","None",IF(U724="MINOR","Seller Notify",IF(U724="MODERATE","Listing Suspended","Immediate Removal")))</f>
        <v>Seller Notify</v>
      </c>
    </row>
    <row r="725" customFormat="false" ht="18" hidden="false" customHeight="true" outlineLevel="0" collapsed="false">
      <c r="A725" s="19" t="s">
        <v>6802</v>
      </c>
      <c r="B725" s="19" t="s">
        <v>4611</v>
      </c>
      <c r="C725" s="19" t="s">
        <v>125</v>
      </c>
      <c r="D725" s="19" t="s">
        <v>126</v>
      </c>
      <c r="E725" s="19" t="s">
        <v>161</v>
      </c>
      <c r="F725" s="19" t="s">
        <v>306</v>
      </c>
      <c r="G725" s="19" t="s">
        <v>4613</v>
      </c>
      <c r="H725" s="19" t="s">
        <v>4614</v>
      </c>
      <c r="I725" s="19" t="s">
        <v>4615</v>
      </c>
      <c r="J725" s="19" t="n">
        <v>463.33</v>
      </c>
      <c r="K725" s="19" t="s">
        <v>462</v>
      </c>
      <c r="L725" s="19"/>
      <c r="M725" s="20" t="str">
        <f aca="false">IF(G725&lt;&gt;"","PASS","FAIL - Missing UPC")</f>
        <v>PASS</v>
      </c>
      <c r="N725" s="20" t="str">
        <f aca="false">IF(AND(G725&lt;&gt;"",H725&lt;&gt;""),IF("0"&amp;G725=H725,"PASS","FAIL - GTIN Mismatch"),"SKIP")</f>
        <v>PASS</v>
      </c>
      <c r="O725" s="20" t="str">
        <f aca="false">IF(I725="","FAIL - No Title",IF(LEN(I725)&lt;=126,"PASS","FAIL - Title &gt;"&amp;126&amp;" chars"))</f>
        <v>PASS</v>
      </c>
      <c r="P725" s="20" t="str">
        <f aca="false">IF(J725&gt;0,IF(J725&lt;5000,"PASS","FLAG - Review Price"),"FAIL - Zero Price")</f>
        <v>PASS</v>
      </c>
      <c r="Q725" s="20" t="str">
        <f aca="false">IF('Raw Catalog'!P723&lt;&gt;"","PASS","FAIL - No Image")</f>
        <v>PASS</v>
      </c>
      <c r="R725" s="20" t="str">
        <f aca="false">IF(F725&lt;&gt;"","PASS","FAIL - No Brand")</f>
        <v>PASS</v>
      </c>
      <c r="S725" s="20" t="str">
        <f aca="true">IF(K725="","FAIL - No Date",IF(TODAY()-DATEVALUE(K725)&lt;=180,"PASS","FLAG - Stale &gt;180d"))</f>
        <v>FLAG - Stale &gt;180d</v>
      </c>
      <c r="T725" s="20" t="n">
        <f aca="false">COUNTIF(M725:S725,"FAIL*")+COUNTIF(M725:S725,"FLAG*")</f>
        <v>1</v>
      </c>
      <c r="U725" s="20" t="str">
        <f aca="false">IF(T725=0,"CLEAN",IF(T725=1,"MINOR",IF(T725&lt;=3,"MODERATE","CRITICAL")))</f>
        <v>MINOR</v>
      </c>
      <c r="V725" s="20" t="str">
        <f aca="false">IF(U725="CLEAN","None",IF(U725="MINOR","Seller Notify",IF(U725="MODERATE","Listing Suspended","Immediate Removal")))</f>
        <v>Seller Notify</v>
      </c>
    </row>
    <row r="726" customFormat="false" ht="18" hidden="false" customHeight="true" outlineLevel="0" collapsed="false">
      <c r="A726" s="19" t="s">
        <v>6803</v>
      </c>
      <c r="B726" s="19" t="s">
        <v>4617</v>
      </c>
      <c r="C726" s="19" t="s">
        <v>77</v>
      </c>
      <c r="D726" s="19" t="s">
        <v>78</v>
      </c>
      <c r="E726" s="19" t="s">
        <v>161</v>
      </c>
      <c r="F726" s="19" t="s">
        <v>51</v>
      </c>
      <c r="G726" s="19" t="s">
        <v>4619</v>
      </c>
      <c r="H726" s="19" t="s">
        <v>4620</v>
      </c>
      <c r="I726" s="19" t="s">
        <v>4621</v>
      </c>
      <c r="J726" s="19" t="n">
        <v>298.95</v>
      </c>
      <c r="K726" s="19" t="s">
        <v>1604</v>
      </c>
      <c r="L726" s="19"/>
      <c r="M726" s="20" t="str">
        <f aca="false">IF(G726&lt;&gt;"","PASS","FAIL - Missing UPC")</f>
        <v>PASS</v>
      </c>
      <c r="N726" s="20" t="str">
        <f aca="false">IF(AND(G726&lt;&gt;"",H726&lt;&gt;""),IF("0"&amp;G726=H726,"PASS","FAIL - GTIN Mismatch"),"SKIP")</f>
        <v>PASS</v>
      </c>
      <c r="O726" s="20" t="str">
        <f aca="false">IF(I726="","FAIL - No Title",IF(LEN(I726)&lt;=126,"PASS","FAIL - Title &gt;"&amp;126&amp;" chars"))</f>
        <v>PASS</v>
      </c>
      <c r="P726" s="20" t="str">
        <f aca="false">IF(J726&gt;0,IF(J726&lt;5000,"PASS","FLAG - Review Price"),"FAIL - Zero Price")</f>
        <v>PASS</v>
      </c>
      <c r="Q726" s="20" t="str">
        <f aca="false">IF('Raw Catalog'!P724&lt;&gt;"","PASS","FAIL - No Image")</f>
        <v>PASS</v>
      </c>
      <c r="R726" s="20" t="str">
        <f aca="false">IF(F726&lt;&gt;"","PASS","FAIL - No Brand")</f>
        <v>PASS</v>
      </c>
      <c r="S726" s="20" t="str">
        <f aca="true">IF(K726="","FAIL - No Date",IF(TODAY()-DATEVALUE(K726)&lt;=180,"PASS","FLAG - Stale &gt;180d"))</f>
        <v>FLAG - Stale &gt;180d</v>
      </c>
      <c r="T726" s="20" t="n">
        <f aca="false">COUNTIF(M726:S726,"FAIL*")+COUNTIF(M726:S726,"FLAG*")</f>
        <v>1</v>
      </c>
      <c r="U726" s="20" t="str">
        <f aca="false">IF(T726=0,"CLEAN",IF(T726=1,"MINOR",IF(T726&lt;=3,"MODERATE","CRITICAL")))</f>
        <v>MINOR</v>
      </c>
      <c r="V726" s="20" t="str">
        <f aca="false">IF(U726="CLEAN","None",IF(U726="MINOR","Seller Notify",IF(U726="MODERATE","Listing Suspended","Immediate Removal")))</f>
        <v>Seller Notify</v>
      </c>
    </row>
    <row r="727" customFormat="false" ht="18" hidden="false" customHeight="true" outlineLevel="0" collapsed="false">
      <c r="A727" s="19" t="s">
        <v>6804</v>
      </c>
      <c r="B727" s="19" t="s">
        <v>4623</v>
      </c>
      <c r="C727" s="19" t="s">
        <v>113</v>
      </c>
      <c r="D727" s="19" t="s">
        <v>114</v>
      </c>
      <c r="E727" s="19" t="s">
        <v>65</v>
      </c>
      <c r="F727" s="19" t="s">
        <v>438</v>
      </c>
      <c r="G727" s="19" t="s">
        <v>4625</v>
      </c>
      <c r="H727" s="19" t="s">
        <v>4626</v>
      </c>
      <c r="I727" s="19" t="s">
        <v>1657</v>
      </c>
      <c r="J727" s="19" t="n">
        <v>236.11</v>
      </c>
      <c r="K727" s="19" t="s">
        <v>4627</v>
      </c>
      <c r="L727" s="19"/>
      <c r="M727" s="20" t="str">
        <f aca="false">IF(G727&lt;&gt;"","PASS","FAIL - Missing UPC")</f>
        <v>PASS</v>
      </c>
      <c r="N727" s="20" t="str">
        <f aca="false">IF(AND(G727&lt;&gt;"",H727&lt;&gt;""),IF("0"&amp;G727=H727,"PASS","FAIL - GTIN Mismatch"),"SKIP")</f>
        <v>PASS</v>
      </c>
      <c r="O727" s="20" t="str">
        <f aca="false">IF(I727="","FAIL - No Title",IF(LEN(I727)&lt;=126,"PASS","FAIL - Title &gt;"&amp;126&amp;" chars"))</f>
        <v>PASS</v>
      </c>
      <c r="P727" s="20" t="str">
        <f aca="false">IF(J727&gt;0,IF(J727&lt;5000,"PASS","FLAG - Review Price"),"FAIL - Zero Price")</f>
        <v>PASS</v>
      </c>
      <c r="Q727" s="20" t="str">
        <f aca="false">IF('Raw Catalog'!P725&lt;&gt;"","PASS","FAIL - No Image")</f>
        <v>PASS</v>
      </c>
      <c r="R727" s="20" t="str">
        <f aca="false">IF(F727&lt;&gt;"","PASS","FAIL - No Brand")</f>
        <v>PASS</v>
      </c>
      <c r="S727" s="20" t="str">
        <f aca="true">IF(K727="","FAIL - No Date",IF(TODAY()-DATEVALUE(K727)&lt;=180,"PASS","FLAG - Stale &gt;180d"))</f>
        <v>FLAG - Stale &gt;180d</v>
      </c>
      <c r="T727" s="20" t="n">
        <f aca="false">COUNTIF(M727:S727,"FAIL*")+COUNTIF(M727:S727,"FLAG*")</f>
        <v>1</v>
      </c>
      <c r="U727" s="20" t="str">
        <f aca="false">IF(T727=0,"CLEAN",IF(T727=1,"MINOR",IF(T727&lt;=3,"MODERATE","CRITICAL")))</f>
        <v>MINOR</v>
      </c>
      <c r="V727" s="20" t="str">
        <f aca="false">IF(U727="CLEAN","None",IF(U727="MINOR","Seller Notify",IF(U727="MODERATE","Listing Suspended","Immediate Removal")))</f>
        <v>Seller Notify</v>
      </c>
    </row>
    <row r="728" customFormat="false" ht="18" hidden="false" customHeight="true" outlineLevel="0" collapsed="false">
      <c r="A728" s="19" t="s">
        <v>6805</v>
      </c>
      <c r="B728" s="19" t="s">
        <v>4628</v>
      </c>
      <c r="C728" s="19" t="s">
        <v>113</v>
      </c>
      <c r="D728" s="19" t="s">
        <v>114</v>
      </c>
      <c r="E728" s="19" t="s">
        <v>91</v>
      </c>
      <c r="F728" s="19" t="s">
        <v>138</v>
      </c>
      <c r="G728" s="19" t="s">
        <v>4630</v>
      </c>
      <c r="H728" s="19" t="s">
        <v>4631</v>
      </c>
      <c r="I728" s="19" t="s">
        <v>4632</v>
      </c>
      <c r="J728" s="19" t="n">
        <v>2041.11</v>
      </c>
      <c r="K728" s="19" t="s">
        <v>946</v>
      </c>
      <c r="L728" s="19"/>
      <c r="M728" s="20" t="str">
        <f aca="false">IF(G728&lt;&gt;"","PASS","FAIL - Missing UPC")</f>
        <v>PASS</v>
      </c>
      <c r="N728" s="20" t="str">
        <f aca="false">IF(AND(G728&lt;&gt;"",H728&lt;&gt;""),IF("0"&amp;G728=H728,"PASS","FAIL - GTIN Mismatch"),"SKIP")</f>
        <v>PASS</v>
      </c>
      <c r="O728" s="20" t="str">
        <f aca="false">IF(I728="","FAIL - No Title",IF(LEN(I728)&lt;=126,"PASS","FAIL - Title &gt;"&amp;126&amp;" chars"))</f>
        <v>PASS</v>
      </c>
      <c r="P728" s="20" t="str">
        <f aca="false">IF(J728&gt;0,IF(J728&lt;5000,"PASS","FLAG - Review Price"),"FAIL - Zero Price")</f>
        <v>PASS</v>
      </c>
      <c r="Q728" s="20" t="str">
        <f aca="false">IF('Raw Catalog'!P726&lt;&gt;"","PASS","FAIL - No Image")</f>
        <v>PASS</v>
      </c>
      <c r="R728" s="20" t="str">
        <f aca="false">IF(F728&lt;&gt;"","PASS","FAIL - No Brand")</f>
        <v>PASS</v>
      </c>
      <c r="S728" s="20" t="str">
        <f aca="true">IF(K728="","FAIL - No Date",IF(TODAY()-DATEVALUE(K728)&lt;=180,"PASS","FLAG - Stale &gt;180d"))</f>
        <v>FLAG - Stale &gt;180d</v>
      </c>
      <c r="T728" s="20" t="n">
        <f aca="false">COUNTIF(M728:S728,"FAIL*")+COUNTIF(M728:S728,"FLAG*")</f>
        <v>1</v>
      </c>
      <c r="U728" s="20" t="str">
        <f aca="false">IF(T728=0,"CLEAN",IF(T728=1,"MINOR",IF(T728&lt;=3,"MODERATE","CRITICAL")))</f>
        <v>MINOR</v>
      </c>
      <c r="V728" s="20" t="str">
        <f aca="false">IF(U728="CLEAN","None",IF(U728="MINOR","Seller Notify",IF(U728="MODERATE","Listing Suspended","Immediate Removal")))</f>
        <v>Seller Notify</v>
      </c>
    </row>
    <row r="729" customFormat="false" ht="18" hidden="false" customHeight="true" outlineLevel="0" collapsed="false">
      <c r="A729" s="19" t="s">
        <v>6806</v>
      </c>
      <c r="B729" s="19" t="s">
        <v>4633</v>
      </c>
      <c r="C729" s="19" t="s">
        <v>48</v>
      </c>
      <c r="D729" s="19" t="s">
        <v>49</v>
      </c>
      <c r="E729" s="19" t="s">
        <v>161</v>
      </c>
      <c r="F729" s="19" t="s">
        <v>185</v>
      </c>
      <c r="G729" s="19" t="s">
        <v>4635</v>
      </c>
      <c r="H729" s="19" t="s">
        <v>4636</v>
      </c>
      <c r="I729" s="19" t="s">
        <v>4637</v>
      </c>
      <c r="J729" s="19" t="n">
        <v>73</v>
      </c>
      <c r="K729" s="19" t="s">
        <v>1611</v>
      </c>
      <c r="L729" s="19"/>
      <c r="M729" s="20" t="str">
        <f aca="false">IF(G729&lt;&gt;"","PASS","FAIL - Missing UPC")</f>
        <v>PASS</v>
      </c>
      <c r="N729" s="20" t="str">
        <f aca="false">IF(AND(G729&lt;&gt;"",H729&lt;&gt;""),IF("0"&amp;G729=H729,"PASS","FAIL - GTIN Mismatch"),"SKIP")</f>
        <v>PASS</v>
      </c>
      <c r="O729" s="20" t="str">
        <f aca="false">IF(I729="","FAIL - No Title",IF(LEN(I729)&lt;=126,"PASS","FAIL - Title &gt;"&amp;126&amp;" chars"))</f>
        <v>PASS</v>
      </c>
      <c r="P729" s="20" t="str">
        <f aca="false">IF(J729&gt;0,IF(J729&lt;5000,"PASS","FLAG - Review Price"),"FAIL - Zero Price")</f>
        <v>PASS</v>
      </c>
      <c r="Q729" s="20" t="str">
        <f aca="false">IF('Raw Catalog'!P727&lt;&gt;"","PASS","FAIL - No Image")</f>
        <v>PASS</v>
      </c>
      <c r="R729" s="20" t="str">
        <f aca="false">IF(F729&lt;&gt;"","PASS","FAIL - No Brand")</f>
        <v>PASS</v>
      </c>
      <c r="S729" s="20" t="str">
        <f aca="true">IF(K729="","FAIL - No Date",IF(TODAY()-DATEVALUE(K729)&lt;=180,"PASS","FLAG - Stale &gt;180d"))</f>
        <v>FLAG - Stale &gt;180d</v>
      </c>
      <c r="T729" s="20" t="n">
        <f aca="false">COUNTIF(M729:S729,"FAIL*")+COUNTIF(M729:S729,"FLAG*")</f>
        <v>1</v>
      </c>
      <c r="U729" s="20" t="str">
        <f aca="false">IF(T729=0,"CLEAN",IF(T729=1,"MINOR",IF(T729&lt;=3,"MODERATE","CRITICAL")))</f>
        <v>MINOR</v>
      </c>
      <c r="V729" s="20" t="str">
        <f aca="false">IF(U729="CLEAN","None",IF(U729="MINOR","Seller Notify",IF(U729="MODERATE","Listing Suspended","Immediate Removal")))</f>
        <v>Seller Notify</v>
      </c>
    </row>
    <row r="730" customFormat="false" ht="18" hidden="false" customHeight="true" outlineLevel="0" collapsed="false">
      <c r="A730" s="19" t="s">
        <v>6807</v>
      </c>
      <c r="B730" s="19" t="s">
        <v>4638</v>
      </c>
      <c r="C730" s="19" t="s">
        <v>63</v>
      </c>
      <c r="D730" s="19" t="s">
        <v>64</v>
      </c>
      <c r="E730" s="19" t="s">
        <v>79</v>
      </c>
      <c r="F730" s="19" t="s">
        <v>51</v>
      </c>
      <c r="G730" s="19" t="s">
        <v>4640</v>
      </c>
      <c r="H730" s="19" t="s">
        <v>4641</v>
      </c>
      <c r="I730" s="19" t="s">
        <v>4642</v>
      </c>
      <c r="J730" s="19" t="n">
        <v>1107.95</v>
      </c>
      <c r="K730" s="19" t="s">
        <v>4379</v>
      </c>
      <c r="L730" s="19"/>
      <c r="M730" s="20" t="str">
        <f aca="false">IF(G730&lt;&gt;"","PASS","FAIL - Missing UPC")</f>
        <v>PASS</v>
      </c>
      <c r="N730" s="20" t="str">
        <f aca="false">IF(AND(G730&lt;&gt;"",H730&lt;&gt;""),IF("0"&amp;G730=H730,"PASS","FAIL - GTIN Mismatch"),"SKIP")</f>
        <v>PASS</v>
      </c>
      <c r="O730" s="20" t="str">
        <f aca="false">IF(I730="","FAIL - No Title",IF(LEN(I730)&lt;=126,"PASS","FAIL - Title &gt;"&amp;126&amp;" chars"))</f>
        <v>PASS</v>
      </c>
      <c r="P730" s="20" t="str">
        <f aca="false">IF(J730&gt;0,IF(J730&lt;5000,"PASS","FLAG - Review Price"),"FAIL - Zero Price")</f>
        <v>PASS</v>
      </c>
      <c r="Q730" s="20" t="str">
        <f aca="false">IF('Raw Catalog'!P728&lt;&gt;"","PASS","FAIL - No Image")</f>
        <v>PASS</v>
      </c>
      <c r="R730" s="20" t="str">
        <f aca="false">IF(F730&lt;&gt;"","PASS","FAIL - No Brand")</f>
        <v>PASS</v>
      </c>
      <c r="S730" s="20" t="str">
        <f aca="true">IF(K730="","FAIL - No Date",IF(TODAY()-DATEVALUE(K730)&lt;=180,"PASS","FLAG - Stale &gt;180d"))</f>
        <v>FLAG - Stale &gt;180d</v>
      </c>
      <c r="T730" s="20" t="n">
        <f aca="false">COUNTIF(M730:S730,"FAIL*")+COUNTIF(M730:S730,"FLAG*")</f>
        <v>1</v>
      </c>
      <c r="U730" s="20" t="str">
        <f aca="false">IF(T730=0,"CLEAN",IF(T730=1,"MINOR",IF(T730&lt;=3,"MODERATE","CRITICAL")))</f>
        <v>MINOR</v>
      </c>
      <c r="V730" s="20" t="str">
        <f aca="false">IF(U730="CLEAN","None",IF(U730="MINOR","Seller Notify",IF(U730="MODERATE","Listing Suspended","Immediate Removal")))</f>
        <v>Seller Notify</v>
      </c>
    </row>
    <row r="731" customFormat="false" ht="18" hidden="false" customHeight="true" outlineLevel="0" collapsed="false">
      <c r="A731" s="19" t="s">
        <v>6808</v>
      </c>
      <c r="B731" s="19" t="s">
        <v>4644</v>
      </c>
      <c r="C731" s="19" t="s">
        <v>113</v>
      </c>
      <c r="D731" s="19" t="s">
        <v>114</v>
      </c>
      <c r="E731" s="19" t="s">
        <v>50</v>
      </c>
      <c r="F731" s="19" t="s">
        <v>51</v>
      </c>
      <c r="G731" s="19" t="s">
        <v>4646</v>
      </c>
      <c r="H731" s="19" t="s">
        <v>4647</v>
      </c>
      <c r="I731" s="19" t="s">
        <v>4648</v>
      </c>
      <c r="J731" s="19" t="n">
        <v>621.97</v>
      </c>
      <c r="K731" s="19" t="s">
        <v>205</v>
      </c>
      <c r="L731" s="19"/>
      <c r="M731" s="20" t="str">
        <f aca="false">IF(G731&lt;&gt;"","PASS","FAIL - Missing UPC")</f>
        <v>PASS</v>
      </c>
      <c r="N731" s="20" t="str">
        <f aca="false">IF(AND(G731&lt;&gt;"",H731&lt;&gt;""),IF("0"&amp;G731=H731,"PASS","FAIL - GTIN Mismatch"),"SKIP")</f>
        <v>PASS</v>
      </c>
      <c r="O731" s="20" t="str">
        <f aca="false">IF(I731="","FAIL - No Title",IF(LEN(I731)&lt;=126,"PASS","FAIL - Title &gt;"&amp;126&amp;" chars"))</f>
        <v>PASS</v>
      </c>
      <c r="P731" s="20" t="str">
        <f aca="false">IF(J731&gt;0,IF(J731&lt;5000,"PASS","FLAG - Review Price"),"FAIL - Zero Price")</f>
        <v>PASS</v>
      </c>
      <c r="Q731" s="20" t="str">
        <f aca="false">IF('Raw Catalog'!P729&lt;&gt;"","PASS","FAIL - No Image")</f>
        <v>PASS</v>
      </c>
      <c r="R731" s="20" t="str">
        <f aca="false">IF(F731&lt;&gt;"","PASS","FAIL - No Brand")</f>
        <v>PASS</v>
      </c>
      <c r="S731" s="20" t="str">
        <f aca="true">IF(K731="","FAIL - No Date",IF(TODAY()-DATEVALUE(K731)&lt;=180,"PASS","FLAG - Stale &gt;180d"))</f>
        <v>FLAG - Stale &gt;180d</v>
      </c>
      <c r="T731" s="20" t="n">
        <f aca="false">COUNTIF(M731:S731,"FAIL*")+COUNTIF(M731:S731,"FLAG*")</f>
        <v>1</v>
      </c>
      <c r="U731" s="20" t="str">
        <f aca="false">IF(T731=0,"CLEAN",IF(T731=1,"MINOR",IF(T731&lt;=3,"MODERATE","CRITICAL")))</f>
        <v>MINOR</v>
      </c>
      <c r="V731" s="20" t="str">
        <f aca="false">IF(U731="CLEAN","None",IF(U731="MINOR","Seller Notify",IF(U731="MODERATE","Listing Suspended","Immediate Removal")))</f>
        <v>Seller Notify</v>
      </c>
    </row>
    <row r="732" customFormat="false" ht="18" hidden="false" customHeight="true" outlineLevel="0" collapsed="false">
      <c r="A732" s="19" t="s">
        <v>6809</v>
      </c>
      <c r="B732" s="19" t="s">
        <v>2695</v>
      </c>
      <c r="C732" s="19" t="s">
        <v>255</v>
      </c>
      <c r="D732" s="19" t="s">
        <v>256</v>
      </c>
      <c r="E732" s="19" t="s">
        <v>65</v>
      </c>
      <c r="F732" s="19" t="s">
        <v>438</v>
      </c>
      <c r="G732" s="19" t="s">
        <v>2697</v>
      </c>
      <c r="H732" s="19" t="s">
        <v>2698</v>
      </c>
      <c r="I732" s="19" t="s">
        <v>442</v>
      </c>
      <c r="J732" s="19" t="n">
        <v>476.84</v>
      </c>
      <c r="K732" s="19" t="s">
        <v>2699</v>
      </c>
      <c r="L732" s="21" t="s">
        <v>283</v>
      </c>
      <c r="M732" s="20" t="str">
        <f aca="false">IF(G732&lt;&gt;"","PASS","FAIL - Missing UPC")</f>
        <v>PASS</v>
      </c>
      <c r="N732" s="20" t="str">
        <f aca="false">IF(AND(G732&lt;&gt;"",H732&lt;&gt;""),IF("0"&amp;G732=H732,"PASS","FAIL - GTIN Mismatch"),"SKIP")</f>
        <v>PASS</v>
      </c>
      <c r="O732" s="20" t="str">
        <f aca="false">IF(I732="","FAIL - No Title",IF(LEN(I732)&lt;=126,"PASS","FAIL - Title &gt;"&amp;126&amp;" chars"))</f>
        <v>PASS</v>
      </c>
      <c r="P732" s="20" t="str">
        <f aca="false">IF(J732&gt;0,IF(J732&lt;5000,"PASS","FLAG - Review Price"),"FAIL - Zero Price")</f>
        <v>PASS</v>
      </c>
      <c r="Q732" s="20" t="str">
        <f aca="false">IF('Raw Catalog'!P730&lt;&gt;"","PASS","FAIL - No Image")</f>
        <v>PASS</v>
      </c>
      <c r="R732" s="20" t="str">
        <f aca="false">IF(F732&lt;&gt;"","PASS","FAIL - No Brand")</f>
        <v>PASS</v>
      </c>
      <c r="S732" s="20" t="str">
        <f aca="true">IF(K732="","FAIL - No Date",IF(TODAY()-DATEVALUE(K732)&lt;=180,"PASS","FLAG - Stale &gt;180d"))</f>
        <v>FLAG - Stale &gt;180d</v>
      </c>
      <c r="T732" s="20" t="n">
        <f aca="false">COUNTIF(M732:S732,"FAIL*")+COUNTIF(M732:S732,"FLAG*")</f>
        <v>1</v>
      </c>
      <c r="U732" s="20" t="str">
        <f aca="false">IF(T732=0,"CLEAN",IF(T732=1,"MINOR",IF(T732&lt;=3,"MODERATE","CRITICAL")))</f>
        <v>MINOR</v>
      </c>
      <c r="V732" s="20" t="str">
        <f aca="false">IF(U732="CLEAN","None",IF(U732="MINOR","Seller Notify",IF(U732="MODERATE","Listing Suspended","Immediate Removal")))</f>
        <v>Seller Notify</v>
      </c>
    </row>
    <row r="733" customFormat="false" ht="18" hidden="false" customHeight="true" outlineLevel="0" collapsed="false">
      <c r="A733" s="19" t="s">
        <v>6810</v>
      </c>
      <c r="B733" s="19" t="s">
        <v>4650</v>
      </c>
      <c r="C733" s="19" t="s">
        <v>159</v>
      </c>
      <c r="D733" s="19" t="s">
        <v>160</v>
      </c>
      <c r="E733" s="19" t="s">
        <v>79</v>
      </c>
      <c r="F733" s="19" t="s">
        <v>51</v>
      </c>
      <c r="G733" s="19" t="s">
        <v>4652</v>
      </c>
      <c r="H733" s="19" t="s">
        <v>4653</v>
      </c>
      <c r="I733" s="19" t="s">
        <v>4654</v>
      </c>
      <c r="J733" s="19" t="n">
        <v>1264.27</v>
      </c>
      <c r="K733" s="19" t="s">
        <v>4379</v>
      </c>
      <c r="L733" s="19"/>
      <c r="M733" s="20" t="str">
        <f aca="false">IF(G733&lt;&gt;"","PASS","FAIL - Missing UPC")</f>
        <v>PASS</v>
      </c>
      <c r="N733" s="20" t="str">
        <f aca="false">IF(AND(G733&lt;&gt;"",H733&lt;&gt;""),IF("0"&amp;G733=H733,"PASS","FAIL - GTIN Mismatch"),"SKIP")</f>
        <v>PASS</v>
      </c>
      <c r="O733" s="20" t="str">
        <f aca="false">IF(I733="","FAIL - No Title",IF(LEN(I733)&lt;=126,"PASS","FAIL - Title &gt;"&amp;126&amp;" chars"))</f>
        <v>PASS</v>
      </c>
      <c r="P733" s="20" t="str">
        <f aca="false">IF(J733&gt;0,IF(J733&lt;5000,"PASS","FLAG - Review Price"),"FAIL - Zero Price")</f>
        <v>PASS</v>
      </c>
      <c r="Q733" s="20" t="str">
        <f aca="false">IF('Raw Catalog'!P731&lt;&gt;"","PASS","FAIL - No Image")</f>
        <v>PASS</v>
      </c>
      <c r="R733" s="20" t="str">
        <f aca="false">IF(F733&lt;&gt;"","PASS","FAIL - No Brand")</f>
        <v>PASS</v>
      </c>
      <c r="S733" s="20" t="str">
        <f aca="true">IF(K733="","FAIL - No Date",IF(TODAY()-DATEVALUE(K733)&lt;=180,"PASS","FLAG - Stale &gt;180d"))</f>
        <v>FLAG - Stale &gt;180d</v>
      </c>
      <c r="T733" s="20" t="n">
        <f aca="false">COUNTIF(M733:S733,"FAIL*")+COUNTIF(M733:S733,"FLAG*")</f>
        <v>1</v>
      </c>
      <c r="U733" s="20" t="str">
        <f aca="false">IF(T733=0,"CLEAN",IF(T733=1,"MINOR",IF(T733&lt;=3,"MODERATE","CRITICAL")))</f>
        <v>MINOR</v>
      </c>
      <c r="V733" s="20" t="str">
        <f aca="false">IF(U733="CLEAN","None",IF(U733="MINOR","Seller Notify",IF(U733="MODERATE","Listing Suspended","Immediate Removal")))</f>
        <v>Seller Notify</v>
      </c>
    </row>
    <row r="734" customFormat="false" ht="18" hidden="false" customHeight="true" outlineLevel="0" collapsed="false">
      <c r="A734" s="19" t="s">
        <v>6811</v>
      </c>
      <c r="B734" s="19" t="s">
        <v>4655</v>
      </c>
      <c r="C734" s="19" t="s">
        <v>113</v>
      </c>
      <c r="D734" s="19" t="s">
        <v>114</v>
      </c>
      <c r="E734" s="19" t="s">
        <v>50</v>
      </c>
      <c r="F734" s="19" t="s">
        <v>138</v>
      </c>
      <c r="G734" s="19" t="s">
        <v>4657</v>
      </c>
      <c r="H734" s="19" t="s">
        <v>4658</v>
      </c>
      <c r="I734" s="19" t="s">
        <v>4659</v>
      </c>
      <c r="J734" s="19" t="n">
        <v>412.91</v>
      </c>
      <c r="K734" s="19" t="s">
        <v>2224</v>
      </c>
      <c r="L734" s="19"/>
      <c r="M734" s="20" t="str">
        <f aca="false">IF(G734&lt;&gt;"","PASS","FAIL - Missing UPC")</f>
        <v>PASS</v>
      </c>
      <c r="N734" s="20" t="str">
        <f aca="false">IF(AND(G734&lt;&gt;"",H734&lt;&gt;""),IF("0"&amp;G734=H734,"PASS","FAIL - GTIN Mismatch"),"SKIP")</f>
        <v>PASS</v>
      </c>
      <c r="O734" s="20" t="str">
        <f aca="false">IF(I734="","FAIL - No Title",IF(LEN(I734)&lt;=126,"PASS","FAIL - Title &gt;"&amp;126&amp;" chars"))</f>
        <v>PASS</v>
      </c>
      <c r="P734" s="20" t="str">
        <f aca="false">IF(J734&gt;0,IF(J734&lt;5000,"PASS","FLAG - Review Price"),"FAIL - Zero Price")</f>
        <v>PASS</v>
      </c>
      <c r="Q734" s="20" t="str">
        <f aca="false">IF('Raw Catalog'!P732&lt;&gt;"","PASS","FAIL - No Image")</f>
        <v>PASS</v>
      </c>
      <c r="R734" s="20" t="str">
        <f aca="false">IF(F734&lt;&gt;"","PASS","FAIL - No Brand")</f>
        <v>PASS</v>
      </c>
      <c r="S734" s="20" t="str">
        <f aca="true">IF(K734="","FAIL - No Date",IF(TODAY()-DATEVALUE(K734)&lt;=180,"PASS","FLAG - Stale &gt;180d"))</f>
        <v>FLAG - Stale &gt;180d</v>
      </c>
      <c r="T734" s="20" t="n">
        <f aca="false">COUNTIF(M734:S734,"FAIL*")+COUNTIF(M734:S734,"FLAG*")</f>
        <v>1</v>
      </c>
      <c r="U734" s="20" t="str">
        <f aca="false">IF(T734=0,"CLEAN",IF(T734=1,"MINOR",IF(T734&lt;=3,"MODERATE","CRITICAL")))</f>
        <v>MINOR</v>
      </c>
      <c r="V734" s="20" t="str">
        <f aca="false">IF(U734="CLEAN","None",IF(U734="MINOR","Seller Notify",IF(U734="MODERATE","Listing Suspended","Immediate Removal")))</f>
        <v>Seller Notify</v>
      </c>
    </row>
    <row r="735" customFormat="false" ht="18" hidden="false" customHeight="true" outlineLevel="0" collapsed="false">
      <c r="A735" s="19" t="s">
        <v>6812</v>
      </c>
      <c r="B735" s="19" t="s">
        <v>4661</v>
      </c>
      <c r="C735" s="19" t="s">
        <v>173</v>
      </c>
      <c r="D735" s="19" t="s">
        <v>174</v>
      </c>
      <c r="E735" s="19" t="s">
        <v>65</v>
      </c>
      <c r="F735" s="19" t="s">
        <v>371</v>
      </c>
      <c r="G735" s="19" t="s">
        <v>4663</v>
      </c>
      <c r="H735" s="19" t="s">
        <v>4664</v>
      </c>
      <c r="I735" s="19" t="s">
        <v>376</v>
      </c>
      <c r="J735" s="19" t="n">
        <v>99.77</v>
      </c>
      <c r="K735" s="19" t="s">
        <v>2136</v>
      </c>
      <c r="L735" s="19"/>
      <c r="M735" s="20" t="str">
        <f aca="false">IF(G735&lt;&gt;"","PASS","FAIL - Missing UPC")</f>
        <v>PASS</v>
      </c>
      <c r="N735" s="20" t="str">
        <f aca="false">IF(AND(G735&lt;&gt;"",H735&lt;&gt;""),IF("0"&amp;G735=H735,"PASS","FAIL - GTIN Mismatch"),"SKIP")</f>
        <v>PASS</v>
      </c>
      <c r="O735" s="20" t="str">
        <f aca="false">IF(I735="","FAIL - No Title",IF(LEN(I735)&lt;=126,"PASS","FAIL - Title &gt;"&amp;126&amp;" chars"))</f>
        <v>PASS</v>
      </c>
      <c r="P735" s="20" t="str">
        <f aca="false">IF(J735&gt;0,IF(J735&lt;5000,"PASS","FLAG - Review Price"),"FAIL - Zero Price")</f>
        <v>PASS</v>
      </c>
      <c r="Q735" s="20" t="str">
        <f aca="false">IF('Raw Catalog'!P733&lt;&gt;"","PASS","FAIL - No Image")</f>
        <v>PASS</v>
      </c>
      <c r="R735" s="20" t="str">
        <f aca="false">IF(F735&lt;&gt;"","PASS","FAIL - No Brand")</f>
        <v>PASS</v>
      </c>
      <c r="S735" s="20" t="str">
        <f aca="true">IF(K735="","FAIL - No Date",IF(TODAY()-DATEVALUE(K735)&lt;=180,"PASS","FLAG - Stale &gt;180d"))</f>
        <v>FLAG - Stale &gt;180d</v>
      </c>
      <c r="T735" s="20" t="n">
        <f aca="false">COUNTIF(M735:S735,"FAIL*")+COUNTIF(M735:S735,"FLAG*")</f>
        <v>1</v>
      </c>
      <c r="U735" s="20" t="str">
        <f aca="false">IF(T735=0,"CLEAN",IF(T735=1,"MINOR",IF(T735&lt;=3,"MODERATE","CRITICAL")))</f>
        <v>MINOR</v>
      </c>
      <c r="V735" s="20" t="str">
        <f aca="false">IF(U735="CLEAN","None",IF(U735="MINOR","Seller Notify",IF(U735="MODERATE","Listing Suspended","Immediate Removal")))</f>
        <v>Seller Notify</v>
      </c>
    </row>
    <row r="736" customFormat="false" ht="18" hidden="false" customHeight="true" outlineLevel="0" collapsed="false">
      <c r="A736" s="19" t="s">
        <v>6813</v>
      </c>
      <c r="B736" s="19" t="s">
        <v>4665</v>
      </c>
      <c r="C736" s="19" t="s">
        <v>159</v>
      </c>
      <c r="D736" s="19" t="s">
        <v>160</v>
      </c>
      <c r="E736" s="19" t="s">
        <v>50</v>
      </c>
      <c r="F736" s="19" t="s">
        <v>115</v>
      </c>
      <c r="G736" s="19" t="s">
        <v>4667</v>
      </c>
      <c r="H736" s="19" t="s">
        <v>4668</v>
      </c>
      <c r="I736" s="19" t="s">
        <v>4669</v>
      </c>
      <c r="J736" s="19" t="n">
        <v>1148.14</v>
      </c>
      <c r="K736" s="19" t="s">
        <v>741</v>
      </c>
      <c r="L736" s="21" t="s">
        <v>243</v>
      </c>
      <c r="M736" s="20" t="str">
        <f aca="false">IF(G736&lt;&gt;"","PASS","FAIL - Missing UPC")</f>
        <v>PASS</v>
      </c>
      <c r="N736" s="20" t="str">
        <f aca="false">IF(AND(G736&lt;&gt;"",H736&lt;&gt;""),IF("0"&amp;G736=H736,"PASS","FAIL - GTIN Mismatch"),"SKIP")</f>
        <v>FAIL - GTIN Mismatch</v>
      </c>
      <c r="O736" s="20" t="str">
        <f aca="false">IF(I736="","FAIL - No Title",IF(LEN(I736)&lt;=126,"PASS","FAIL - Title &gt;"&amp;126&amp;" chars"))</f>
        <v>PASS</v>
      </c>
      <c r="P736" s="20" t="str">
        <f aca="false">IF(J736&gt;0,IF(J736&lt;5000,"PASS","FLAG - Review Price"),"FAIL - Zero Price")</f>
        <v>PASS</v>
      </c>
      <c r="Q736" s="20" t="str">
        <f aca="false">IF('Raw Catalog'!P734&lt;&gt;"","PASS","FAIL - No Image")</f>
        <v>PASS</v>
      </c>
      <c r="R736" s="20" t="str">
        <f aca="false">IF(F736&lt;&gt;"","PASS","FAIL - No Brand")</f>
        <v>PASS</v>
      </c>
      <c r="S736" s="20" t="str">
        <f aca="true">IF(K736="","FAIL - No Date",IF(TODAY()-DATEVALUE(K736)&lt;=180,"PASS","FLAG - Stale &gt;180d"))</f>
        <v>FLAG - Stale &gt;180d</v>
      </c>
      <c r="T736" s="20" t="n">
        <f aca="false">COUNTIF(M736:S736,"FAIL*")+COUNTIF(M736:S736,"FLAG*")</f>
        <v>2</v>
      </c>
      <c r="U736" s="20" t="str">
        <f aca="false">IF(T736=0,"CLEAN",IF(T736=1,"MINOR",IF(T736&lt;=3,"MODERATE","CRITICAL")))</f>
        <v>MODERATE</v>
      </c>
      <c r="V736" s="20" t="str">
        <f aca="false">IF(U736="CLEAN","None",IF(U736="MINOR","Seller Notify",IF(U736="MODERATE","Listing Suspended","Immediate Removal")))</f>
        <v>Listing Suspended</v>
      </c>
    </row>
    <row r="737" customFormat="false" ht="18" hidden="false" customHeight="true" outlineLevel="0" collapsed="false">
      <c r="A737" s="19" t="s">
        <v>6814</v>
      </c>
      <c r="B737" s="19" t="s">
        <v>4670</v>
      </c>
      <c r="C737" s="19" t="s">
        <v>173</v>
      </c>
      <c r="D737" s="19" t="s">
        <v>174</v>
      </c>
      <c r="E737" s="19" t="s">
        <v>161</v>
      </c>
      <c r="F737" s="19" t="s">
        <v>162</v>
      </c>
      <c r="G737" s="19" t="s">
        <v>4672</v>
      </c>
      <c r="H737" s="19" t="s">
        <v>4673</v>
      </c>
      <c r="I737" s="19" t="s">
        <v>4674</v>
      </c>
      <c r="J737" s="19" t="n">
        <v>400.11</v>
      </c>
      <c r="K737" s="19" t="s">
        <v>4675</v>
      </c>
      <c r="L737" s="21" t="s">
        <v>243</v>
      </c>
      <c r="M737" s="20" t="str">
        <f aca="false">IF(G737&lt;&gt;"","PASS","FAIL - Missing UPC")</f>
        <v>PASS</v>
      </c>
      <c r="N737" s="20" t="str">
        <f aca="false">IF(AND(G737&lt;&gt;"",H737&lt;&gt;""),IF("0"&amp;G737=H737,"PASS","FAIL - GTIN Mismatch"),"SKIP")</f>
        <v>FAIL - GTIN Mismatch</v>
      </c>
      <c r="O737" s="20" t="str">
        <f aca="false">IF(I737="","FAIL - No Title",IF(LEN(I737)&lt;=126,"PASS","FAIL - Title &gt;"&amp;126&amp;" chars"))</f>
        <v>PASS</v>
      </c>
      <c r="P737" s="20" t="str">
        <f aca="false">IF(J737&gt;0,IF(J737&lt;5000,"PASS","FLAG - Review Price"),"FAIL - Zero Price")</f>
        <v>PASS</v>
      </c>
      <c r="Q737" s="20" t="str">
        <f aca="false">IF('Raw Catalog'!P735&lt;&gt;"","PASS","FAIL - No Image")</f>
        <v>PASS</v>
      </c>
      <c r="R737" s="20" t="str">
        <f aca="false">IF(F737&lt;&gt;"","PASS","FAIL - No Brand")</f>
        <v>PASS</v>
      </c>
      <c r="S737" s="20" t="str">
        <f aca="true">IF(K737="","FAIL - No Date",IF(TODAY()-DATEVALUE(K737)&lt;=180,"PASS","FLAG - Stale &gt;180d"))</f>
        <v>FLAG - Stale &gt;180d</v>
      </c>
      <c r="T737" s="20" t="n">
        <f aca="false">COUNTIF(M737:S737,"FAIL*")+COUNTIF(M737:S737,"FLAG*")</f>
        <v>2</v>
      </c>
      <c r="U737" s="20" t="str">
        <f aca="false">IF(T737=0,"CLEAN",IF(T737=1,"MINOR",IF(T737&lt;=3,"MODERATE","CRITICAL")))</f>
        <v>MODERATE</v>
      </c>
      <c r="V737" s="20" t="str">
        <f aca="false">IF(U737="CLEAN","None",IF(U737="MINOR","Seller Notify",IF(U737="MODERATE","Listing Suspended","Immediate Removal")))</f>
        <v>Listing Suspended</v>
      </c>
    </row>
    <row r="738" customFormat="false" ht="18" hidden="false" customHeight="true" outlineLevel="0" collapsed="false">
      <c r="A738" s="19" t="s">
        <v>6815</v>
      </c>
      <c r="B738" s="19" t="s">
        <v>4676</v>
      </c>
      <c r="C738" s="19" t="s">
        <v>159</v>
      </c>
      <c r="D738" s="19" t="s">
        <v>160</v>
      </c>
      <c r="E738" s="19" t="s">
        <v>91</v>
      </c>
      <c r="F738" s="19" t="s">
        <v>419</v>
      </c>
      <c r="G738" s="19" t="s">
        <v>4678</v>
      </c>
      <c r="H738" s="19" t="s">
        <v>4679</v>
      </c>
      <c r="I738" s="19" t="s">
        <v>623</v>
      </c>
      <c r="J738" s="19" t="n">
        <v>773.5</v>
      </c>
      <c r="K738" s="19" t="s">
        <v>1827</v>
      </c>
      <c r="L738" s="19"/>
      <c r="M738" s="20" t="str">
        <f aca="false">IF(G738&lt;&gt;"","PASS","FAIL - Missing UPC")</f>
        <v>PASS</v>
      </c>
      <c r="N738" s="20" t="str">
        <f aca="false">IF(AND(G738&lt;&gt;"",H738&lt;&gt;""),IF("0"&amp;G738=H738,"PASS","FAIL - GTIN Mismatch"),"SKIP")</f>
        <v>PASS</v>
      </c>
      <c r="O738" s="20" t="str">
        <f aca="false">IF(I738="","FAIL - No Title",IF(LEN(I738)&lt;=126,"PASS","FAIL - Title &gt;"&amp;126&amp;" chars"))</f>
        <v>PASS</v>
      </c>
      <c r="P738" s="20" t="str">
        <f aca="false">IF(J738&gt;0,IF(J738&lt;5000,"PASS","FLAG - Review Price"),"FAIL - Zero Price")</f>
        <v>PASS</v>
      </c>
      <c r="Q738" s="20" t="str">
        <f aca="false">IF('Raw Catalog'!P736&lt;&gt;"","PASS","FAIL - No Image")</f>
        <v>PASS</v>
      </c>
      <c r="R738" s="20" t="str">
        <f aca="false">IF(F738&lt;&gt;"","PASS","FAIL - No Brand")</f>
        <v>PASS</v>
      </c>
      <c r="S738" s="20" t="str">
        <f aca="true">IF(K738="","FAIL - No Date",IF(TODAY()-DATEVALUE(K738)&lt;=180,"PASS","FLAG - Stale &gt;180d"))</f>
        <v>FLAG - Stale &gt;180d</v>
      </c>
      <c r="T738" s="20" t="n">
        <f aca="false">COUNTIF(M738:S738,"FAIL*")+COUNTIF(M738:S738,"FLAG*")</f>
        <v>1</v>
      </c>
      <c r="U738" s="20" t="str">
        <f aca="false">IF(T738=0,"CLEAN",IF(T738=1,"MINOR",IF(T738&lt;=3,"MODERATE","CRITICAL")))</f>
        <v>MINOR</v>
      </c>
      <c r="V738" s="20" t="str">
        <f aca="false">IF(U738="CLEAN","None",IF(U738="MINOR","Seller Notify",IF(U738="MODERATE","Listing Suspended","Immediate Removal")))</f>
        <v>Seller Notify</v>
      </c>
    </row>
    <row r="739" customFormat="false" ht="18" hidden="false" customHeight="true" outlineLevel="0" collapsed="false">
      <c r="A739" s="19" t="s">
        <v>6816</v>
      </c>
      <c r="B739" s="19" t="s">
        <v>4680</v>
      </c>
      <c r="C739" s="19" t="s">
        <v>159</v>
      </c>
      <c r="D739" s="19" t="s">
        <v>160</v>
      </c>
      <c r="E739" s="19" t="s">
        <v>50</v>
      </c>
      <c r="F739" s="19" t="s">
        <v>51</v>
      </c>
      <c r="G739" s="19" t="s">
        <v>4682</v>
      </c>
      <c r="H739" s="19" t="s">
        <v>4683</v>
      </c>
      <c r="I739" s="19" t="s">
        <v>4684</v>
      </c>
      <c r="J739" s="19" t="n">
        <v>213.3</v>
      </c>
      <c r="K739" s="19" t="s">
        <v>1283</v>
      </c>
      <c r="L739" s="19"/>
      <c r="M739" s="20" t="str">
        <f aca="false">IF(G739&lt;&gt;"","PASS","FAIL - Missing UPC")</f>
        <v>PASS</v>
      </c>
      <c r="N739" s="20" t="str">
        <f aca="false">IF(AND(G739&lt;&gt;"",H739&lt;&gt;""),IF("0"&amp;G739=H739,"PASS","FAIL - GTIN Mismatch"),"SKIP")</f>
        <v>PASS</v>
      </c>
      <c r="O739" s="20" t="str">
        <f aca="false">IF(I739="","FAIL - No Title",IF(LEN(I739)&lt;=126,"PASS","FAIL - Title &gt;"&amp;126&amp;" chars"))</f>
        <v>PASS</v>
      </c>
      <c r="P739" s="20" t="str">
        <f aca="false">IF(J739&gt;0,IF(J739&lt;5000,"PASS","FLAG - Review Price"),"FAIL - Zero Price")</f>
        <v>PASS</v>
      </c>
      <c r="Q739" s="20" t="str">
        <f aca="false">IF('Raw Catalog'!P737&lt;&gt;"","PASS","FAIL - No Image")</f>
        <v>PASS</v>
      </c>
      <c r="R739" s="20" t="str">
        <f aca="false">IF(F739&lt;&gt;"","PASS","FAIL - No Brand")</f>
        <v>PASS</v>
      </c>
      <c r="S739" s="20" t="str">
        <f aca="true">IF(K739="","FAIL - No Date",IF(TODAY()-DATEVALUE(K739)&lt;=180,"PASS","FLAG - Stale &gt;180d"))</f>
        <v>FLAG - Stale &gt;180d</v>
      </c>
      <c r="T739" s="20" t="n">
        <f aca="false">COUNTIF(M739:S739,"FAIL*")+COUNTIF(M739:S739,"FLAG*")</f>
        <v>1</v>
      </c>
      <c r="U739" s="20" t="str">
        <f aca="false">IF(T739=0,"CLEAN",IF(T739=1,"MINOR",IF(T739&lt;=3,"MODERATE","CRITICAL")))</f>
        <v>MINOR</v>
      </c>
      <c r="V739" s="20" t="str">
        <f aca="false">IF(U739="CLEAN","None",IF(U739="MINOR","Seller Notify",IF(U739="MODERATE","Listing Suspended","Immediate Removal")))</f>
        <v>Seller Notify</v>
      </c>
    </row>
    <row r="740" customFormat="false" ht="18" hidden="false" customHeight="true" outlineLevel="0" collapsed="false">
      <c r="A740" s="19" t="s">
        <v>6817</v>
      </c>
      <c r="B740" s="19" t="s">
        <v>4685</v>
      </c>
      <c r="C740" s="19" t="s">
        <v>63</v>
      </c>
      <c r="D740" s="19" t="s">
        <v>64</v>
      </c>
      <c r="E740" s="19" t="s">
        <v>161</v>
      </c>
      <c r="F740" s="19" t="s">
        <v>162</v>
      </c>
      <c r="G740" s="19" t="s">
        <v>4687</v>
      </c>
      <c r="H740" s="19" t="s">
        <v>4688</v>
      </c>
      <c r="I740" s="19" t="s">
        <v>4689</v>
      </c>
      <c r="J740" s="19" t="n">
        <v>2404.48</v>
      </c>
      <c r="K740" s="19" t="s">
        <v>205</v>
      </c>
      <c r="L740" s="21" t="s">
        <v>343</v>
      </c>
      <c r="M740" s="20" t="str">
        <f aca="false">IF(G740&lt;&gt;"","PASS","FAIL - Missing UPC")</f>
        <v>PASS</v>
      </c>
      <c r="N740" s="20" t="str">
        <f aca="false">IF(AND(G740&lt;&gt;"",H740&lt;&gt;""),IF("0"&amp;G740=H740,"PASS","FAIL - GTIN Mismatch"),"SKIP")</f>
        <v>PASS</v>
      </c>
      <c r="O740" s="20" t="str">
        <f aca="false">IF(I740="","FAIL - No Title",IF(LEN(I740)&lt;=126,"PASS","FAIL - Title &gt;"&amp;126&amp;" chars"))</f>
        <v>PASS</v>
      </c>
      <c r="P740" s="20" t="str">
        <f aca="false">IF(J740&gt;0,IF(J740&lt;5000,"PASS","FLAG - Review Price"),"FAIL - Zero Price")</f>
        <v>PASS</v>
      </c>
      <c r="Q740" s="20" t="str">
        <f aca="false">IF('Raw Catalog'!P738&lt;&gt;"","PASS","FAIL - No Image")</f>
        <v>PASS</v>
      </c>
      <c r="R740" s="20" t="str">
        <f aca="false">IF(F740&lt;&gt;"","PASS","FAIL - No Brand")</f>
        <v>PASS</v>
      </c>
      <c r="S740" s="20" t="str">
        <f aca="true">IF(K740="","FAIL - No Date",IF(TODAY()-DATEVALUE(K740)&lt;=180,"PASS","FLAG - Stale &gt;180d"))</f>
        <v>FLAG - Stale &gt;180d</v>
      </c>
      <c r="T740" s="20" t="n">
        <f aca="false">COUNTIF(M740:S740,"FAIL*")+COUNTIF(M740:S740,"FLAG*")</f>
        <v>1</v>
      </c>
      <c r="U740" s="20" t="str">
        <f aca="false">IF(T740=0,"CLEAN",IF(T740=1,"MINOR",IF(T740&lt;=3,"MODERATE","CRITICAL")))</f>
        <v>MINOR</v>
      </c>
      <c r="V740" s="20" t="str">
        <f aca="false">IF(U740="CLEAN","None",IF(U740="MINOR","Seller Notify",IF(U740="MODERATE","Listing Suspended","Immediate Removal")))</f>
        <v>Seller Notify</v>
      </c>
    </row>
    <row r="741" customFormat="false" ht="18" hidden="false" customHeight="true" outlineLevel="0" collapsed="false">
      <c r="A741" s="19" t="s">
        <v>6818</v>
      </c>
      <c r="B741" s="19" t="s">
        <v>4690</v>
      </c>
      <c r="C741" s="19" t="s">
        <v>77</v>
      </c>
      <c r="D741" s="19" t="s">
        <v>78</v>
      </c>
      <c r="E741" s="19" t="s">
        <v>50</v>
      </c>
      <c r="F741" s="19" t="s">
        <v>138</v>
      </c>
      <c r="G741" s="19" t="s">
        <v>4692</v>
      </c>
      <c r="H741" s="19" t="s">
        <v>4693</v>
      </c>
      <c r="I741" s="19" t="s">
        <v>4694</v>
      </c>
      <c r="J741" s="19" t="n">
        <v>312</v>
      </c>
      <c r="K741" s="19" t="s">
        <v>1921</v>
      </c>
      <c r="L741" s="21" t="s">
        <v>325</v>
      </c>
      <c r="M741" s="20" t="str">
        <f aca="false">IF(G741&lt;&gt;"","PASS","FAIL - Missing UPC")</f>
        <v>PASS</v>
      </c>
      <c r="N741" s="20" t="str">
        <f aca="false">IF(AND(G741&lt;&gt;"",H741&lt;&gt;""),IF("0"&amp;G741=H741,"PASS","FAIL - GTIN Mismatch"),"SKIP")</f>
        <v>PASS</v>
      </c>
      <c r="O741" s="20" t="str">
        <f aca="false">IF(I741="","FAIL - No Title",IF(LEN(I741)&lt;=126,"PASS","FAIL - Title &gt;"&amp;126&amp;" chars"))</f>
        <v>PASS</v>
      </c>
      <c r="P741" s="20" t="str">
        <f aca="false">IF(J741&gt;0,IF(J741&lt;5000,"PASS","FLAG - Review Price"),"FAIL - Zero Price")</f>
        <v>PASS</v>
      </c>
      <c r="Q741" s="20" t="str">
        <f aca="false">IF('Raw Catalog'!P739&lt;&gt;"","PASS","FAIL - No Image")</f>
        <v>PASS</v>
      </c>
      <c r="R741" s="20" t="str">
        <f aca="false">IF(F741&lt;&gt;"","PASS","FAIL - No Brand")</f>
        <v>PASS</v>
      </c>
      <c r="S741" s="20" t="str">
        <f aca="true">IF(K741="","FAIL - No Date",IF(TODAY()-DATEVALUE(K741)&lt;=180,"PASS","FLAG - Stale &gt;180d"))</f>
        <v>FLAG - Stale &gt;180d</v>
      </c>
      <c r="T741" s="20" t="n">
        <f aca="false">COUNTIF(M741:S741,"FAIL*")+COUNTIF(M741:S741,"FLAG*")</f>
        <v>1</v>
      </c>
      <c r="U741" s="20" t="str">
        <f aca="false">IF(T741=0,"CLEAN",IF(T741=1,"MINOR",IF(T741&lt;=3,"MODERATE","CRITICAL")))</f>
        <v>MINOR</v>
      </c>
      <c r="V741" s="20" t="str">
        <f aca="false">IF(U741="CLEAN","None",IF(U741="MINOR","Seller Notify",IF(U741="MODERATE","Listing Suspended","Immediate Removal")))</f>
        <v>Seller Notify</v>
      </c>
    </row>
    <row r="742" customFormat="false" ht="18" hidden="false" customHeight="true" outlineLevel="0" collapsed="false">
      <c r="A742" s="19" t="s">
        <v>6819</v>
      </c>
      <c r="B742" s="19" t="s">
        <v>4696</v>
      </c>
      <c r="C742" s="19" t="s">
        <v>173</v>
      </c>
      <c r="D742" s="19" t="s">
        <v>174</v>
      </c>
      <c r="E742" s="19" t="s">
        <v>91</v>
      </c>
      <c r="F742" s="19" t="s">
        <v>138</v>
      </c>
      <c r="G742" s="19" t="s">
        <v>4698</v>
      </c>
      <c r="H742" s="19" t="s">
        <v>4699</v>
      </c>
      <c r="I742" s="19" t="s">
        <v>4700</v>
      </c>
      <c r="J742" s="19" t="n">
        <v>730.47</v>
      </c>
      <c r="K742" s="19" t="s">
        <v>2876</v>
      </c>
      <c r="L742" s="19"/>
      <c r="M742" s="20" t="str">
        <f aca="false">IF(G742&lt;&gt;"","PASS","FAIL - Missing UPC")</f>
        <v>PASS</v>
      </c>
      <c r="N742" s="20" t="str">
        <f aca="false">IF(AND(G742&lt;&gt;"",H742&lt;&gt;""),IF("0"&amp;G742=H742,"PASS","FAIL - GTIN Mismatch"),"SKIP")</f>
        <v>PASS</v>
      </c>
      <c r="O742" s="20" t="str">
        <f aca="false">IF(I742="","FAIL - No Title",IF(LEN(I742)&lt;=126,"PASS","FAIL - Title &gt;"&amp;126&amp;" chars"))</f>
        <v>PASS</v>
      </c>
      <c r="P742" s="20" t="str">
        <f aca="false">IF(J742&gt;0,IF(J742&lt;5000,"PASS","FLAG - Review Price"),"FAIL - Zero Price")</f>
        <v>PASS</v>
      </c>
      <c r="Q742" s="20" t="str">
        <f aca="false">IF('Raw Catalog'!P740&lt;&gt;"","PASS","FAIL - No Image")</f>
        <v>PASS</v>
      </c>
      <c r="R742" s="20" t="str">
        <f aca="false">IF(F742&lt;&gt;"","PASS","FAIL - No Brand")</f>
        <v>PASS</v>
      </c>
      <c r="S742" s="20" t="str">
        <f aca="true">IF(K742="","FAIL - No Date",IF(TODAY()-DATEVALUE(K742)&lt;=180,"PASS","FLAG - Stale &gt;180d"))</f>
        <v>FLAG - Stale &gt;180d</v>
      </c>
      <c r="T742" s="20" t="n">
        <f aca="false">COUNTIF(M742:S742,"FAIL*")+COUNTIF(M742:S742,"FLAG*")</f>
        <v>1</v>
      </c>
      <c r="U742" s="20" t="str">
        <f aca="false">IF(T742=0,"CLEAN",IF(T742=1,"MINOR",IF(T742&lt;=3,"MODERATE","CRITICAL")))</f>
        <v>MINOR</v>
      </c>
      <c r="V742" s="20" t="str">
        <f aca="false">IF(U742="CLEAN","None",IF(U742="MINOR","Seller Notify",IF(U742="MODERATE","Listing Suspended","Immediate Removal")))</f>
        <v>Seller Notify</v>
      </c>
    </row>
    <row r="743" customFormat="false" ht="18" hidden="false" customHeight="true" outlineLevel="0" collapsed="false">
      <c r="A743" s="19" t="s">
        <v>6820</v>
      </c>
      <c r="B743" s="19" t="s">
        <v>4702</v>
      </c>
      <c r="C743" s="19" t="s">
        <v>113</v>
      </c>
      <c r="D743" s="19" t="s">
        <v>114</v>
      </c>
      <c r="E743" s="19" t="s">
        <v>79</v>
      </c>
      <c r="F743" s="19" t="s">
        <v>465</v>
      </c>
      <c r="G743" s="19" t="s">
        <v>4704</v>
      </c>
      <c r="H743" s="19" t="s">
        <v>4705</v>
      </c>
      <c r="I743" s="19" t="s">
        <v>4706</v>
      </c>
      <c r="J743" s="19" t="n">
        <v>2275.52</v>
      </c>
      <c r="K743" s="19" t="s">
        <v>4707</v>
      </c>
      <c r="L743" s="19"/>
      <c r="M743" s="20" t="str">
        <f aca="false">IF(G743&lt;&gt;"","PASS","FAIL - Missing UPC")</f>
        <v>PASS</v>
      </c>
      <c r="N743" s="20" t="str">
        <f aca="false">IF(AND(G743&lt;&gt;"",H743&lt;&gt;""),IF("0"&amp;G743=H743,"PASS","FAIL - GTIN Mismatch"),"SKIP")</f>
        <v>PASS</v>
      </c>
      <c r="O743" s="20" t="str">
        <f aca="false">IF(I743="","FAIL - No Title",IF(LEN(I743)&lt;=126,"PASS","FAIL - Title &gt;"&amp;126&amp;" chars"))</f>
        <v>PASS</v>
      </c>
      <c r="P743" s="20" t="str">
        <f aca="false">IF(J743&gt;0,IF(J743&lt;5000,"PASS","FLAG - Review Price"),"FAIL - Zero Price")</f>
        <v>PASS</v>
      </c>
      <c r="Q743" s="20" t="str">
        <f aca="false">IF('Raw Catalog'!P741&lt;&gt;"","PASS","FAIL - No Image")</f>
        <v>PASS</v>
      </c>
      <c r="R743" s="20" t="str">
        <f aca="false">IF(F743&lt;&gt;"","PASS","FAIL - No Brand")</f>
        <v>PASS</v>
      </c>
      <c r="S743" s="20" t="str">
        <f aca="true">IF(K743="","FAIL - No Date",IF(TODAY()-DATEVALUE(K743)&lt;=180,"PASS","FLAG - Stale &gt;180d"))</f>
        <v>FLAG - Stale &gt;180d</v>
      </c>
      <c r="T743" s="20" t="n">
        <f aca="false">COUNTIF(M743:S743,"FAIL*")+COUNTIF(M743:S743,"FLAG*")</f>
        <v>1</v>
      </c>
      <c r="U743" s="20" t="str">
        <f aca="false">IF(T743=0,"CLEAN",IF(T743=1,"MINOR",IF(T743&lt;=3,"MODERATE","CRITICAL")))</f>
        <v>MINOR</v>
      </c>
      <c r="V743" s="20" t="str">
        <f aca="false">IF(U743="CLEAN","None",IF(U743="MINOR","Seller Notify",IF(U743="MODERATE","Listing Suspended","Immediate Removal")))</f>
        <v>Seller Notify</v>
      </c>
    </row>
    <row r="744" customFormat="false" ht="18" hidden="false" customHeight="true" outlineLevel="0" collapsed="false">
      <c r="A744" s="19" t="s">
        <v>6821</v>
      </c>
      <c r="B744" s="19" t="s">
        <v>4708</v>
      </c>
      <c r="C744" s="19" t="s">
        <v>159</v>
      </c>
      <c r="D744" s="19" t="s">
        <v>160</v>
      </c>
      <c r="E744" s="19" t="s">
        <v>79</v>
      </c>
      <c r="F744" s="19" t="s">
        <v>465</v>
      </c>
      <c r="G744" s="19" t="s">
        <v>4710</v>
      </c>
      <c r="H744" s="19" t="s">
        <v>4711</v>
      </c>
      <c r="I744" s="19" t="s">
        <v>4712</v>
      </c>
      <c r="J744" s="19" t="n">
        <v>1721.72</v>
      </c>
      <c r="K744" s="19" t="s">
        <v>1384</v>
      </c>
      <c r="L744" s="19"/>
      <c r="M744" s="20" t="str">
        <f aca="false">IF(G744&lt;&gt;"","PASS","FAIL - Missing UPC")</f>
        <v>PASS</v>
      </c>
      <c r="N744" s="20" t="str">
        <f aca="false">IF(AND(G744&lt;&gt;"",H744&lt;&gt;""),IF("0"&amp;G744=H744,"PASS","FAIL - GTIN Mismatch"),"SKIP")</f>
        <v>PASS</v>
      </c>
      <c r="O744" s="20" t="str">
        <f aca="false">IF(I744="","FAIL - No Title",IF(LEN(I744)&lt;=126,"PASS","FAIL - Title &gt;"&amp;126&amp;" chars"))</f>
        <v>PASS</v>
      </c>
      <c r="P744" s="20" t="str">
        <f aca="false">IF(J744&gt;0,IF(J744&lt;5000,"PASS","FLAG - Review Price"),"FAIL - Zero Price")</f>
        <v>PASS</v>
      </c>
      <c r="Q744" s="20" t="str">
        <f aca="false">IF('Raw Catalog'!P742&lt;&gt;"","PASS","FAIL - No Image")</f>
        <v>PASS</v>
      </c>
      <c r="R744" s="20" t="str">
        <f aca="false">IF(F744&lt;&gt;"","PASS","FAIL - No Brand")</f>
        <v>PASS</v>
      </c>
      <c r="S744" s="20" t="str">
        <f aca="true">IF(K744="","FAIL - No Date",IF(TODAY()-DATEVALUE(K744)&lt;=180,"PASS","FLAG - Stale &gt;180d"))</f>
        <v>FLAG - Stale &gt;180d</v>
      </c>
      <c r="T744" s="20" t="n">
        <f aca="false">COUNTIF(M744:S744,"FAIL*")+COUNTIF(M744:S744,"FLAG*")</f>
        <v>1</v>
      </c>
      <c r="U744" s="20" t="str">
        <f aca="false">IF(T744=0,"CLEAN",IF(T744=1,"MINOR",IF(T744&lt;=3,"MODERATE","CRITICAL")))</f>
        <v>MINOR</v>
      </c>
      <c r="V744" s="20" t="str">
        <f aca="false">IF(U744="CLEAN","None",IF(U744="MINOR","Seller Notify",IF(U744="MODERATE","Listing Suspended","Immediate Removal")))</f>
        <v>Seller Notify</v>
      </c>
    </row>
    <row r="745" customFormat="false" ht="18" hidden="false" customHeight="true" outlineLevel="0" collapsed="false">
      <c r="A745" s="19" t="s">
        <v>6822</v>
      </c>
      <c r="B745" s="19" t="s">
        <v>4713</v>
      </c>
      <c r="C745" s="19" t="s">
        <v>159</v>
      </c>
      <c r="D745" s="19" t="s">
        <v>160</v>
      </c>
      <c r="E745" s="19" t="s">
        <v>50</v>
      </c>
      <c r="F745" s="19" t="s">
        <v>51</v>
      </c>
      <c r="G745" s="19" t="s">
        <v>4715</v>
      </c>
      <c r="H745" s="19" t="s">
        <v>4716</v>
      </c>
      <c r="I745" s="19" t="s">
        <v>4648</v>
      </c>
      <c r="J745" s="19" t="n">
        <v>1240.28</v>
      </c>
      <c r="K745" s="19" t="s">
        <v>101</v>
      </c>
      <c r="L745" s="19"/>
      <c r="M745" s="20" t="str">
        <f aca="false">IF(G745&lt;&gt;"","PASS","FAIL - Missing UPC")</f>
        <v>PASS</v>
      </c>
      <c r="N745" s="20" t="str">
        <f aca="false">IF(AND(G745&lt;&gt;"",H745&lt;&gt;""),IF("0"&amp;G745=H745,"PASS","FAIL - GTIN Mismatch"),"SKIP")</f>
        <v>PASS</v>
      </c>
      <c r="O745" s="20" t="str">
        <f aca="false">IF(I745="","FAIL - No Title",IF(LEN(I745)&lt;=126,"PASS","FAIL - Title &gt;"&amp;126&amp;" chars"))</f>
        <v>PASS</v>
      </c>
      <c r="P745" s="20" t="str">
        <f aca="false">IF(J745&gt;0,IF(J745&lt;5000,"PASS","FLAG - Review Price"),"FAIL - Zero Price")</f>
        <v>PASS</v>
      </c>
      <c r="Q745" s="20" t="str">
        <f aca="false">IF('Raw Catalog'!P743&lt;&gt;"","PASS","FAIL - No Image")</f>
        <v>PASS</v>
      </c>
      <c r="R745" s="20" t="str">
        <f aca="false">IF(F745&lt;&gt;"","PASS","FAIL - No Brand")</f>
        <v>PASS</v>
      </c>
      <c r="S745" s="20" t="str">
        <f aca="true">IF(K745="","FAIL - No Date",IF(TODAY()-DATEVALUE(K745)&lt;=180,"PASS","FLAG - Stale &gt;180d"))</f>
        <v>FLAG - Stale &gt;180d</v>
      </c>
      <c r="T745" s="20" t="n">
        <f aca="false">COUNTIF(M745:S745,"FAIL*")+COUNTIF(M745:S745,"FLAG*")</f>
        <v>1</v>
      </c>
      <c r="U745" s="20" t="str">
        <f aca="false">IF(T745=0,"CLEAN",IF(T745=1,"MINOR",IF(T745&lt;=3,"MODERATE","CRITICAL")))</f>
        <v>MINOR</v>
      </c>
      <c r="V745" s="20" t="str">
        <f aca="false">IF(U745="CLEAN","None",IF(U745="MINOR","Seller Notify",IF(U745="MODERATE","Listing Suspended","Immediate Removal")))</f>
        <v>Seller Notify</v>
      </c>
    </row>
    <row r="746" customFormat="false" ht="18" hidden="false" customHeight="true" outlineLevel="0" collapsed="false">
      <c r="A746" s="19" t="s">
        <v>6823</v>
      </c>
      <c r="B746" s="19" t="s">
        <v>4717</v>
      </c>
      <c r="C746" s="19" t="s">
        <v>159</v>
      </c>
      <c r="D746" s="19" t="s">
        <v>160</v>
      </c>
      <c r="E746" s="19" t="s">
        <v>79</v>
      </c>
      <c r="F746" s="19" t="s">
        <v>465</v>
      </c>
      <c r="G746" s="19" t="s">
        <v>4719</v>
      </c>
      <c r="H746" s="19" t="s">
        <v>4720</v>
      </c>
      <c r="I746" s="19" t="s">
        <v>4721</v>
      </c>
      <c r="J746" s="19" t="n">
        <v>1520.27</v>
      </c>
      <c r="K746" s="19" t="s">
        <v>350</v>
      </c>
      <c r="L746" s="19"/>
      <c r="M746" s="20" t="str">
        <f aca="false">IF(G746&lt;&gt;"","PASS","FAIL - Missing UPC")</f>
        <v>PASS</v>
      </c>
      <c r="N746" s="20" t="str">
        <f aca="false">IF(AND(G746&lt;&gt;"",H746&lt;&gt;""),IF("0"&amp;G746=H746,"PASS","FAIL - GTIN Mismatch"),"SKIP")</f>
        <v>PASS</v>
      </c>
      <c r="O746" s="20" t="str">
        <f aca="false">IF(I746="","FAIL - No Title",IF(LEN(I746)&lt;=126,"PASS","FAIL - Title &gt;"&amp;126&amp;" chars"))</f>
        <v>PASS</v>
      </c>
      <c r="P746" s="20" t="str">
        <f aca="false">IF(J746&gt;0,IF(J746&lt;5000,"PASS","FLAG - Review Price"),"FAIL - Zero Price")</f>
        <v>PASS</v>
      </c>
      <c r="Q746" s="20" t="str">
        <f aca="false">IF('Raw Catalog'!P744&lt;&gt;"","PASS","FAIL - No Image")</f>
        <v>PASS</v>
      </c>
      <c r="R746" s="20" t="str">
        <f aca="false">IF(F746&lt;&gt;"","PASS","FAIL - No Brand")</f>
        <v>PASS</v>
      </c>
      <c r="S746" s="20" t="str">
        <f aca="true">IF(K746="","FAIL - No Date",IF(TODAY()-DATEVALUE(K746)&lt;=180,"PASS","FLAG - Stale &gt;180d"))</f>
        <v>FLAG - Stale &gt;180d</v>
      </c>
      <c r="T746" s="20" t="n">
        <f aca="false">COUNTIF(M746:S746,"FAIL*")+COUNTIF(M746:S746,"FLAG*")</f>
        <v>1</v>
      </c>
      <c r="U746" s="20" t="str">
        <f aca="false">IF(T746=0,"CLEAN",IF(T746=1,"MINOR",IF(T746&lt;=3,"MODERATE","CRITICAL")))</f>
        <v>MINOR</v>
      </c>
      <c r="V746" s="20" t="str">
        <f aca="false">IF(U746="CLEAN","None",IF(U746="MINOR","Seller Notify",IF(U746="MODERATE","Listing Suspended","Immediate Removal")))</f>
        <v>Seller Notify</v>
      </c>
    </row>
    <row r="747" customFormat="false" ht="18" hidden="false" customHeight="true" outlineLevel="0" collapsed="false">
      <c r="A747" s="19" t="s">
        <v>6824</v>
      </c>
      <c r="B747" s="19" t="s">
        <v>4723</v>
      </c>
      <c r="C747" s="19" t="s">
        <v>255</v>
      </c>
      <c r="D747" s="19" t="s">
        <v>256</v>
      </c>
      <c r="E747" s="19" t="s">
        <v>79</v>
      </c>
      <c r="F747" s="19" t="s">
        <v>465</v>
      </c>
      <c r="G747" s="19" t="s">
        <v>4725</v>
      </c>
      <c r="H747" s="19" t="s">
        <v>4726</v>
      </c>
      <c r="I747" s="19" t="s">
        <v>4727</v>
      </c>
      <c r="J747" s="19" t="n">
        <v>1889.04</v>
      </c>
      <c r="K747" s="19" t="s">
        <v>1459</v>
      </c>
      <c r="L747" s="19"/>
      <c r="M747" s="20" t="str">
        <f aca="false">IF(G747&lt;&gt;"","PASS","FAIL - Missing UPC")</f>
        <v>PASS</v>
      </c>
      <c r="N747" s="20" t="str">
        <f aca="false">IF(AND(G747&lt;&gt;"",H747&lt;&gt;""),IF("0"&amp;G747=H747,"PASS","FAIL - GTIN Mismatch"),"SKIP")</f>
        <v>PASS</v>
      </c>
      <c r="O747" s="20" t="str">
        <f aca="false">IF(I747="","FAIL - No Title",IF(LEN(I747)&lt;=126,"PASS","FAIL - Title &gt;"&amp;126&amp;" chars"))</f>
        <v>PASS</v>
      </c>
      <c r="P747" s="20" t="str">
        <f aca="false">IF(J747&gt;0,IF(J747&lt;5000,"PASS","FLAG - Review Price"),"FAIL - Zero Price")</f>
        <v>PASS</v>
      </c>
      <c r="Q747" s="20" t="str">
        <f aca="false">IF('Raw Catalog'!P745&lt;&gt;"","PASS","FAIL - No Image")</f>
        <v>PASS</v>
      </c>
      <c r="R747" s="20" t="str">
        <f aca="false">IF(F747&lt;&gt;"","PASS","FAIL - No Brand")</f>
        <v>PASS</v>
      </c>
      <c r="S747" s="20" t="str">
        <f aca="true">IF(K747="","FAIL - No Date",IF(TODAY()-DATEVALUE(K747)&lt;=180,"PASS","FLAG - Stale &gt;180d"))</f>
        <v>FLAG - Stale &gt;180d</v>
      </c>
      <c r="T747" s="20" t="n">
        <f aca="false">COUNTIF(M747:S747,"FAIL*")+COUNTIF(M747:S747,"FLAG*")</f>
        <v>1</v>
      </c>
      <c r="U747" s="20" t="str">
        <f aca="false">IF(T747=0,"CLEAN",IF(T747=1,"MINOR",IF(T747&lt;=3,"MODERATE","CRITICAL")))</f>
        <v>MINOR</v>
      </c>
      <c r="V747" s="20" t="str">
        <f aca="false">IF(U747="CLEAN","None",IF(U747="MINOR","Seller Notify",IF(U747="MODERATE","Listing Suspended","Immediate Removal")))</f>
        <v>Seller Notify</v>
      </c>
    </row>
    <row r="748" customFormat="false" ht="18" hidden="false" customHeight="true" outlineLevel="0" collapsed="false">
      <c r="A748" s="19" t="s">
        <v>6825</v>
      </c>
      <c r="B748" s="19" t="s">
        <v>4728</v>
      </c>
      <c r="C748" s="19" t="s">
        <v>63</v>
      </c>
      <c r="D748" s="19" t="s">
        <v>64</v>
      </c>
      <c r="E748" s="19" t="s">
        <v>50</v>
      </c>
      <c r="F748" s="19" t="s">
        <v>138</v>
      </c>
      <c r="G748" s="19" t="s">
        <v>4730</v>
      </c>
      <c r="H748" s="19" t="s">
        <v>4731</v>
      </c>
      <c r="I748" s="19" t="s">
        <v>4732</v>
      </c>
      <c r="J748" s="19" t="n">
        <v>1273.15</v>
      </c>
      <c r="K748" s="19" t="s">
        <v>4733</v>
      </c>
      <c r="L748" s="19"/>
      <c r="M748" s="20" t="str">
        <f aca="false">IF(G748&lt;&gt;"","PASS","FAIL - Missing UPC")</f>
        <v>PASS</v>
      </c>
      <c r="N748" s="20" t="str">
        <f aca="false">IF(AND(G748&lt;&gt;"",H748&lt;&gt;""),IF("0"&amp;G748=H748,"PASS","FAIL - GTIN Mismatch"),"SKIP")</f>
        <v>PASS</v>
      </c>
      <c r="O748" s="20" t="str">
        <f aca="false">IF(I748="","FAIL - No Title",IF(LEN(I748)&lt;=126,"PASS","FAIL - Title &gt;"&amp;126&amp;" chars"))</f>
        <v>PASS</v>
      </c>
      <c r="P748" s="20" t="str">
        <f aca="false">IF(J748&gt;0,IF(J748&lt;5000,"PASS","FLAG - Review Price"),"FAIL - Zero Price")</f>
        <v>PASS</v>
      </c>
      <c r="Q748" s="20" t="str">
        <f aca="false">IF('Raw Catalog'!P746&lt;&gt;"","PASS","FAIL - No Image")</f>
        <v>PASS</v>
      </c>
      <c r="R748" s="20" t="str">
        <f aca="false">IF(F748&lt;&gt;"","PASS","FAIL - No Brand")</f>
        <v>PASS</v>
      </c>
      <c r="S748" s="20" t="str">
        <f aca="true">IF(K748="","FAIL - No Date",IF(TODAY()-DATEVALUE(K748)&lt;=180,"PASS","FLAG - Stale &gt;180d"))</f>
        <v>FLAG - Stale &gt;180d</v>
      </c>
      <c r="T748" s="20" t="n">
        <f aca="false">COUNTIF(M748:S748,"FAIL*")+COUNTIF(M748:S748,"FLAG*")</f>
        <v>1</v>
      </c>
      <c r="U748" s="20" t="str">
        <f aca="false">IF(T748=0,"CLEAN",IF(T748=1,"MINOR",IF(T748&lt;=3,"MODERATE","CRITICAL")))</f>
        <v>MINOR</v>
      </c>
      <c r="V748" s="20" t="str">
        <f aca="false">IF(U748="CLEAN","None",IF(U748="MINOR","Seller Notify",IF(U748="MODERATE","Listing Suspended","Immediate Removal")))</f>
        <v>Seller Notify</v>
      </c>
    </row>
    <row r="749" customFormat="false" ht="18" hidden="false" customHeight="true" outlineLevel="0" collapsed="false">
      <c r="A749" s="19" t="s">
        <v>6826</v>
      </c>
      <c r="B749" s="19" t="s">
        <v>4734</v>
      </c>
      <c r="C749" s="19" t="s">
        <v>48</v>
      </c>
      <c r="D749" s="19" t="s">
        <v>49</v>
      </c>
      <c r="E749" s="19" t="s">
        <v>65</v>
      </c>
      <c r="F749" s="19" t="s">
        <v>438</v>
      </c>
      <c r="G749" s="19" t="s">
        <v>4736</v>
      </c>
      <c r="H749" s="19" t="s">
        <v>4737</v>
      </c>
      <c r="I749" s="19" t="s">
        <v>1657</v>
      </c>
      <c r="J749" s="19" t="n">
        <v>46.95</v>
      </c>
      <c r="K749" s="19" t="s">
        <v>768</v>
      </c>
      <c r="L749" s="19"/>
      <c r="M749" s="20" t="str">
        <f aca="false">IF(G749&lt;&gt;"","PASS","FAIL - Missing UPC")</f>
        <v>PASS</v>
      </c>
      <c r="N749" s="20" t="str">
        <f aca="false">IF(AND(G749&lt;&gt;"",H749&lt;&gt;""),IF("0"&amp;G749=H749,"PASS","FAIL - GTIN Mismatch"),"SKIP")</f>
        <v>PASS</v>
      </c>
      <c r="O749" s="20" t="str">
        <f aca="false">IF(I749="","FAIL - No Title",IF(LEN(I749)&lt;=126,"PASS","FAIL - Title &gt;"&amp;126&amp;" chars"))</f>
        <v>PASS</v>
      </c>
      <c r="P749" s="20" t="str">
        <f aca="false">IF(J749&gt;0,IF(J749&lt;5000,"PASS","FLAG - Review Price"),"FAIL - Zero Price")</f>
        <v>PASS</v>
      </c>
      <c r="Q749" s="20" t="str">
        <f aca="false">IF('Raw Catalog'!P747&lt;&gt;"","PASS","FAIL - No Image")</f>
        <v>PASS</v>
      </c>
      <c r="R749" s="20" t="str">
        <f aca="false">IF(F749&lt;&gt;"","PASS","FAIL - No Brand")</f>
        <v>PASS</v>
      </c>
      <c r="S749" s="20" t="str">
        <f aca="true">IF(K749="","FAIL - No Date",IF(TODAY()-DATEVALUE(K749)&lt;=180,"PASS","FLAG - Stale &gt;180d"))</f>
        <v>FLAG - Stale &gt;180d</v>
      </c>
      <c r="T749" s="20" t="n">
        <f aca="false">COUNTIF(M749:S749,"FAIL*")+COUNTIF(M749:S749,"FLAG*")</f>
        <v>1</v>
      </c>
      <c r="U749" s="20" t="str">
        <f aca="false">IF(T749=0,"CLEAN",IF(T749=1,"MINOR",IF(T749&lt;=3,"MODERATE","CRITICAL")))</f>
        <v>MINOR</v>
      </c>
      <c r="V749" s="20" t="str">
        <f aca="false">IF(U749="CLEAN","None",IF(U749="MINOR","Seller Notify",IF(U749="MODERATE","Listing Suspended","Immediate Removal")))</f>
        <v>Seller Notify</v>
      </c>
    </row>
    <row r="750" customFormat="false" ht="18" hidden="false" customHeight="true" outlineLevel="0" collapsed="false">
      <c r="A750" s="19" t="s">
        <v>6827</v>
      </c>
      <c r="B750" s="19" t="s">
        <v>4738</v>
      </c>
      <c r="C750" s="19" t="s">
        <v>125</v>
      </c>
      <c r="D750" s="19" t="s">
        <v>126</v>
      </c>
      <c r="E750" s="19" t="s">
        <v>161</v>
      </c>
      <c r="F750" s="19" t="s">
        <v>822</v>
      </c>
      <c r="G750" s="19" t="s">
        <v>4740</v>
      </c>
      <c r="H750" s="19" t="s">
        <v>4741</v>
      </c>
      <c r="I750" s="19" t="s">
        <v>4742</v>
      </c>
      <c r="J750" s="19" t="n">
        <v>323.28</v>
      </c>
      <c r="K750" s="19" t="s">
        <v>360</v>
      </c>
      <c r="L750" s="21" t="s">
        <v>1107</v>
      </c>
      <c r="M750" s="20" t="str">
        <f aca="false">IF(G750&lt;&gt;"","PASS","FAIL - Missing UPC")</f>
        <v>PASS</v>
      </c>
      <c r="N750" s="20" t="str">
        <f aca="false">IF(AND(G750&lt;&gt;"",H750&lt;&gt;""),IF("0"&amp;G750=H750,"PASS","FAIL - GTIN Mismatch"),"SKIP")</f>
        <v>PASS</v>
      </c>
      <c r="O750" s="20" t="str">
        <f aca="false">IF(I750="","FAIL - No Title",IF(LEN(I750)&lt;=126,"PASS","FAIL - Title &gt;"&amp;126&amp;" chars"))</f>
        <v>PASS</v>
      </c>
      <c r="P750" s="20" t="str">
        <f aca="false">IF(J750&gt;0,IF(J750&lt;5000,"PASS","FLAG - Review Price"),"FAIL - Zero Price")</f>
        <v>PASS</v>
      </c>
      <c r="Q750" s="20" t="str">
        <f aca="false">IF('Raw Catalog'!P748&lt;&gt;"","PASS","FAIL - No Image")</f>
        <v>PASS</v>
      </c>
      <c r="R750" s="20" t="str">
        <f aca="false">IF(F750&lt;&gt;"","PASS","FAIL - No Brand")</f>
        <v>PASS</v>
      </c>
      <c r="S750" s="20" t="str">
        <f aca="true">IF(K750="","FAIL - No Date",IF(TODAY()-DATEVALUE(K750)&lt;=180,"PASS","FLAG - Stale &gt;180d"))</f>
        <v>FLAG - Stale &gt;180d</v>
      </c>
      <c r="T750" s="20" t="n">
        <f aca="false">COUNTIF(M750:S750,"FAIL*")+COUNTIF(M750:S750,"FLAG*")</f>
        <v>1</v>
      </c>
      <c r="U750" s="20" t="str">
        <f aca="false">IF(T750=0,"CLEAN",IF(T750=1,"MINOR",IF(T750&lt;=3,"MODERATE","CRITICAL")))</f>
        <v>MINOR</v>
      </c>
      <c r="V750" s="20" t="str">
        <f aca="false">IF(U750="CLEAN","None",IF(U750="MINOR","Seller Notify",IF(U750="MODERATE","Listing Suspended","Immediate Removal")))</f>
        <v>Seller Notify</v>
      </c>
    </row>
    <row r="751" customFormat="false" ht="18" hidden="false" customHeight="true" outlineLevel="0" collapsed="false">
      <c r="A751" s="19" t="s">
        <v>6828</v>
      </c>
      <c r="B751" s="19" t="s">
        <v>4743</v>
      </c>
      <c r="C751" s="19" t="s">
        <v>63</v>
      </c>
      <c r="D751" s="19" t="s">
        <v>64</v>
      </c>
      <c r="E751" s="19" t="s">
        <v>91</v>
      </c>
      <c r="F751" s="19" t="s">
        <v>92</v>
      </c>
      <c r="G751" s="19" t="s">
        <v>4745</v>
      </c>
      <c r="H751" s="19" t="s">
        <v>4746</v>
      </c>
      <c r="I751" s="19" t="s">
        <v>4747</v>
      </c>
      <c r="J751" s="19" t="n">
        <v>3277.05</v>
      </c>
      <c r="K751" s="19" t="s">
        <v>452</v>
      </c>
      <c r="L751" s="19"/>
      <c r="M751" s="20" t="str">
        <f aca="false">IF(G751&lt;&gt;"","PASS","FAIL - Missing UPC")</f>
        <v>PASS</v>
      </c>
      <c r="N751" s="20" t="str">
        <f aca="false">IF(AND(G751&lt;&gt;"",H751&lt;&gt;""),IF("0"&amp;G751=H751,"PASS","FAIL - GTIN Mismatch"),"SKIP")</f>
        <v>PASS</v>
      </c>
      <c r="O751" s="20" t="str">
        <f aca="false">IF(I751="","FAIL - No Title",IF(LEN(I751)&lt;=126,"PASS","FAIL - Title &gt;"&amp;126&amp;" chars"))</f>
        <v>PASS</v>
      </c>
      <c r="P751" s="20" t="str">
        <f aca="false">IF(J751&gt;0,IF(J751&lt;5000,"PASS","FLAG - Review Price"),"FAIL - Zero Price")</f>
        <v>PASS</v>
      </c>
      <c r="Q751" s="20" t="str">
        <f aca="false">IF('Raw Catalog'!P749&lt;&gt;"","PASS","FAIL - No Image")</f>
        <v>PASS</v>
      </c>
      <c r="R751" s="20" t="str">
        <f aca="false">IF(F751&lt;&gt;"","PASS","FAIL - No Brand")</f>
        <v>PASS</v>
      </c>
      <c r="S751" s="20" t="str">
        <f aca="true">IF(K751="","FAIL - No Date",IF(TODAY()-DATEVALUE(K751)&lt;=180,"PASS","FLAG - Stale &gt;180d"))</f>
        <v>FLAG - Stale &gt;180d</v>
      </c>
      <c r="T751" s="20" t="n">
        <f aca="false">COUNTIF(M751:S751,"FAIL*")+COUNTIF(M751:S751,"FLAG*")</f>
        <v>1</v>
      </c>
      <c r="U751" s="20" t="str">
        <f aca="false">IF(T751=0,"CLEAN",IF(T751=1,"MINOR",IF(T751&lt;=3,"MODERATE","CRITICAL")))</f>
        <v>MINOR</v>
      </c>
      <c r="V751" s="20" t="str">
        <f aca="false">IF(U751="CLEAN","None",IF(U751="MINOR","Seller Notify",IF(U751="MODERATE","Listing Suspended","Immediate Removal")))</f>
        <v>Seller Notify</v>
      </c>
    </row>
    <row r="752" customFormat="false" ht="18" hidden="false" customHeight="true" outlineLevel="0" collapsed="false">
      <c r="A752" s="19" t="s">
        <v>6829</v>
      </c>
      <c r="B752" s="19" t="s">
        <v>4748</v>
      </c>
      <c r="C752" s="19" t="s">
        <v>173</v>
      </c>
      <c r="D752" s="19" t="s">
        <v>174</v>
      </c>
      <c r="E752" s="19" t="s">
        <v>91</v>
      </c>
      <c r="F752" s="19" t="s">
        <v>780</v>
      </c>
      <c r="G752" s="19" t="s">
        <v>4750</v>
      </c>
      <c r="H752" s="19" t="s">
        <v>4751</v>
      </c>
      <c r="I752" s="19" t="s">
        <v>4752</v>
      </c>
      <c r="J752" s="19" t="n">
        <v>499.4</v>
      </c>
      <c r="K752" s="19" t="s">
        <v>1292</v>
      </c>
      <c r="L752" s="19"/>
      <c r="M752" s="20" t="str">
        <f aca="false">IF(G752&lt;&gt;"","PASS","FAIL - Missing UPC")</f>
        <v>PASS</v>
      </c>
      <c r="N752" s="20" t="str">
        <f aca="false">IF(AND(G752&lt;&gt;"",H752&lt;&gt;""),IF("0"&amp;G752=H752,"PASS","FAIL - GTIN Mismatch"),"SKIP")</f>
        <v>PASS</v>
      </c>
      <c r="O752" s="20" t="str">
        <f aca="false">IF(I752="","FAIL - No Title",IF(LEN(I752)&lt;=126,"PASS","FAIL - Title &gt;"&amp;126&amp;" chars"))</f>
        <v>PASS</v>
      </c>
      <c r="P752" s="20" t="str">
        <f aca="false">IF(J752&gt;0,IF(J752&lt;5000,"PASS","FLAG - Review Price"),"FAIL - Zero Price")</f>
        <v>PASS</v>
      </c>
      <c r="Q752" s="20" t="str">
        <f aca="false">IF('Raw Catalog'!P750&lt;&gt;"","PASS","FAIL - No Image")</f>
        <v>PASS</v>
      </c>
      <c r="R752" s="20" t="str">
        <f aca="false">IF(F752&lt;&gt;"","PASS","FAIL - No Brand")</f>
        <v>PASS</v>
      </c>
      <c r="S752" s="20" t="str">
        <f aca="true">IF(K752="","FAIL - No Date",IF(TODAY()-DATEVALUE(K752)&lt;=180,"PASS","FLAG - Stale &gt;180d"))</f>
        <v>FLAG - Stale &gt;180d</v>
      </c>
      <c r="T752" s="20" t="n">
        <f aca="false">COUNTIF(M752:S752,"FAIL*")+COUNTIF(M752:S752,"FLAG*")</f>
        <v>1</v>
      </c>
      <c r="U752" s="20" t="str">
        <f aca="false">IF(T752=0,"CLEAN",IF(T752=1,"MINOR",IF(T752&lt;=3,"MODERATE","CRITICAL")))</f>
        <v>MINOR</v>
      </c>
      <c r="V752" s="20" t="str">
        <f aca="false">IF(U752="CLEAN","None",IF(U752="MINOR","Seller Notify",IF(U752="MODERATE","Listing Suspended","Immediate Removal")))</f>
        <v>Seller Notify</v>
      </c>
    </row>
    <row r="753" customFormat="false" ht="18" hidden="false" customHeight="true" outlineLevel="0" collapsed="false">
      <c r="A753" s="19" t="s">
        <v>6830</v>
      </c>
      <c r="B753" s="19" t="s">
        <v>4753</v>
      </c>
      <c r="C753" s="19" t="s">
        <v>48</v>
      </c>
      <c r="D753" s="19" t="s">
        <v>49</v>
      </c>
      <c r="E753" s="19" t="s">
        <v>91</v>
      </c>
      <c r="F753" s="19" t="s">
        <v>138</v>
      </c>
      <c r="G753" s="19" t="s">
        <v>4755</v>
      </c>
      <c r="H753" s="19" t="s">
        <v>4756</v>
      </c>
      <c r="I753" s="19" t="s">
        <v>609</v>
      </c>
      <c r="J753" s="19" t="n">
        <v>879.78</v>
      </c>
      <c r="K753" s="19" t="s">
        <v>2322</v>
      </c>
      <c r="L753" s="19"/>
      <c r="M753" s="20" t="str">
        <f aca="false">IF(G753&lt;&gt;"","PASS","FAIL - Missing UPC")</f>
        <v>PASS</v>
      </c>
      <c r="N753" s="20" t="str">
        <f aca="false">IF(AND(G753&lt;&gt;"",H753&lt;&gt;""),IF("0"&amp;G753=H753,"PASS","FAIL - GTIN Mismatch"),"SKIP")</f>
        <v>PASS</v>
      </c>
      <c r="O753" s="20" t="str">
        <f aca="false">IF(I753="","FAIL - No Title",IF(LEN(I753)&lt;=126,"PASS","FAIL - Title &gt;"&amp;126&amp;" chars"))</f>
        <v>PASS</v>
      </c>
      <c r="P753" s="20" t="str">
        <f aca="false">IF(J753&gt;0,IF(J753&lt;5000,"PASS","FLAG - Review Price"),"FAIL - Zero Price")</f>
        <v>PASS</v>
      </c>
      <c r="Q753" s="20" t="str">
        <f aca="false">IF('Raw Catalog'!P751&lt;&gt;"","PASS","FAIL - No Image")</f>
        <v>PASS</v>
      </c>
      <c r="R753" s="20" t="str">
        <f aca="false">IF(F753&lt;&gt;"","PASS","FAIL - No Brand")</f>
        <v>PASS</v>
      </c>
      <c r="S753" s="20" t="str">
        <f aca="true">IF(K753="","FAIL - No Date",IF(TODAY()-DATEVALUE(K753)&lt;=180,"PASS","FLAG - Stale &gt;180d"))</f>
        <v>FLAG - Stale &gt;180d</v>
      </c>
      <c r="T753" s="20" t="n">
        <f aca="false">COUNTIF(M753:S753,"FAIL*")+COUNTIF(M753:S753,"FLAG*")</f>
        <v>1</v>
      </c>
      <c r="U753" s="20" t="str">
        <f aca="false">IF(T753=0,"CLEAN",IF(T753=1,"MINOR",IF(T753&lt;=3,"MODERATE","CRITICAL")))</f>
        <v>MINOR</v>
      </c>
      <c r="V753" s="20" t="str">
        <f aca="false">IF(U753="CLEAN","None",IF(U753="MINOR","Seller Notify",IF(U753="MODERATE","Listing Suspended","Immediate Removal")))</f>
        <v>Seller Notify</v>
      </c>
    </row>
    <row r="754" customFormat="false" ht="18" hidden="false" customHeight="true" outlineLevel="0" collapsed="false">
      <c r="A754" s="19" t="s">
        <v>6831</v>
      </c>
      <c r="B754" s="19" t="s">
        <v>4757</v>
      </c>
      <c r="C754" s="19" t="s">
        <v>125</v>
      </c>
      <c r="D754" s="19" t="s">
        <v>126</v>
      </c>
      <c r="E754" s="19" t="s">
        <v>91</v>
      </c>
      <c r="F754" s="19" t="s">
        <v>780</v>
      </c>
      <c r="G754" s="19" t="s">
        <v>4759</v>
      </c>
      <c r="H754" s="19" t="s">
        <v>4760</v>
      </c>
      <c r="I754" s="19" t="s">
        <v>1956</v>
      </c>
      <c r="J754" s="19" t="n">
        <v>572.95</v>
      </c>
      <c r="K754" s="19" t="s">
        <v>4761</v>
      </c>
      <c r="L754" s="21" t="s">
        <v>325</v>
      </c>
      <c r="M754" s="20" t="str">
        <f aca="false">IF(G754&lt;&gt;"","PASS","FAIL - Missing UPC")</f>
        <v>PASS</v>
      </c>
      <c r="N754" s="20" t="str">
        <f aca="false">IF(AND(G754&lt;&gt;"",H754&lt;&gt;""),IF("0"&amp;G754=H754,"PASS","FAIL - GTIN Mismatch"),"SKIP")</f>
        <v>PASS</v>
      </c>
      <c r="O754" s="20" t="str">
        <f aca="false">IF(I754="","FAIL - No Title",IF(LEN(I754)&lt;=126,"PASS","FAIL - Title &gt;"&amp;126&amp;" chars"))</f>
        <v>PASS</v>
      </c>
      <c r="P754" s="20" t="str">
        <f aca="false">IF(J754&gt;0,IF(J754&lt;5000,"PASS","FLAG - Review Price"),"FAIL - Zero Price")</f>
        <v>PASS</v>
      </c>
      <c r="Q754" s="20" t="str">
        <f aca="false">IF('Raw Catalog'!P752&lt;&gt;"","PASS","FAIL - No Image")</f>
        <v>PASS</v>
      </c>
      <c r="R754" s="20" t="str">
        <f aca="false">IF(F754&lt;&gt;"","PASS","FAIL - No Brand")</f>
        <v>PASS</v>
      </c>
      <c r="S754" s="20" t="str">
        <f aca="true">IF(K754="","FAIL - No Date",IF(TODAY()-DATEVALUE(K754)&lt;=180,"PASS","FLAG - Stale &gt;180d"))</f>
        <v>FLAG - Stale &gt;180d</v>
      </c>
      <c r="T754" s="20" t="n">
        <f aca="false">COUNTIF(M754:S754,"FAIL*")+COUNTIF(M754:S754,"FLAG*")</f>
        <v>1</v>
      </c>
      <c r="U754" s="20" t="str">
        <f aca="false">IF(T754=0,"CLEAN",IF(T754=1,"MINOR",IF(T754&lt;=3,"MODERATE","CRITICAL")))</f>
        <v>MINOR</v>
      </c>
      <c r="V754" s="20" t="str">
        <f aca="false">IF(U754="CLEAN","None",IF(U754="MINOR","Seller Notify",IF(U754="MODERATE","Listing Suspended","Immediate Removal")))</f>
        <v>Seller Notify</v>
      </c>
    </row>
    <row r="755" customFormat="false" ht="18" hidden="false" customHeight="true" outlineLevel="0" collapsed="false">
      <c r="A755" s="19" t="s">
        <v>6832</v>
      </c>
      <c r="B755" s="19" t="s">
        <v>4762</v>
      </c>
      <c r="C755" s="19" t="s">
        <v>255</v>
      </c>
      <c r="D755" s="19" t="s">
        <v>256</v>
      </c>
      <c r="E755" s="19" t="s">
        <v>91</v>
      </c>
      <c r="F755" s="19" t="s">
        <v>587</v>
      </c>
      <c r="G755" s="19" t="s">
        <v>4764</v>
      </c>
      <c r="H755" s="19" t="s">
        <v>4765</v>
      </c>
      <c r="I755" s="19" t="s">
        <v>591</v>
      </c>
      <c r="J755" s="19" t="n">
        <v>2505.23</v>
      </c>
      <c r="K755" s="19" t="s">
        <v>111</v>
      </c>
      <c r="L755" s="19"/>
      <c r="M755" s="20" t="str">
        <f aca="false">IF(G755&lt;&gt;"","PASS","FAIL - Missing UPC")</f>
        <v>PASS</v>
      </c>
      <c r="N755" s="20" t="str">
        <f aca="false">IF(AND(G755&lt;&gt;"",H755&lt;&gt;""),IF("0"&amp;G755=H755,"PASS","FAIL - GTIN Mismatch"),"SKIP")</f>
        <v>PASS</v>
      </c>
      <c r="O755" s="20" t="str">
        <f aca="false">IF(I755="","FAIL - No Title",IF(LEN(I755)&lt;=126,"PASS","FAIL - Title &gt;"&amp;126&amp;" chars"))</f>
        <v>PASS</v>
      </c>
      <c r="P755" s="20" t="str">
        <f aca="false">IF(J755&gt;0,IF(J755&lt;5000,"PASS","FLAG - Review Price"),"FAIL - Zero Price")</f>
        <v>PASS</v>
      </c>
      <c r="Q755" s="20" t="str">
        <f aca="false">IF('Raw Catalog'!P753&lt;&gt;"","PASS","FAIL - No Image")</f>
        <v>PASS</v>
      </c>
      <c r="R755" s="20" t="str">
        <f aca="false">IF(F755&lt;&gt;"","PASS","FAIL - No Brand")</f>
        <v>PASS</v>
      </c>
      <c r="S755" s="20" t="str">
        <f aca="true">IF(K755="","FAIL - No Date",IF(TODAY()-DATEVALUE(K755)&lt;=180,"PASS","FLAG - Stale &gt;180d"))</f>
        <v>FLAG - Stale &gt;180d</v>
      </c>
      <c r="T755" s="20" t="n">
        <f aca="false">COUNTIF(M755:S755,"FAIL*")+COUNTIF(M755:S755,"FLAG*")</f>
        <v>1</v>
      </c>
      <c r="U755" s="20" t="str">
        <f aca="false">IF(T755=0,"CLEAN",IF(T755=1,"MINOR",IF(T755&lt;=3,"MODERATE","CRITICAL")))</f>
        <v>MINOR</v>
      </c>
      <c r="V755" s="20" t="str">
        <f aca="false">IF(U755="CLEAN","None",IF(U755="MINOR","Seller Notify",IF(U755="MODERATE","Listing Suspended","Immediate Removal")))</f>
        <v>Seller Notify</v>
      </c>
    </row>
    <row r="756" customFormat="false" ht="18" hidden="false" customHeight="true" outlineLevel="0" collapsed="false">
      <c r="A756" s="19" t="s">
        <v>6833</v>
      </c>
      <c r="B756" s="19" t="s">
        <v>4766</v>
      </c>
      <c r="C756" s="19" t="s">
        <v>125</v>
      </c>
      <c r="D756" s="19" t="s">
        <v>126</v>
      </c>
      <c r="E756" s="19" t="s">
        <v>91</v>
      </c>
      <c r="F756" s="19" t="s">
        <v>92</v>
      </c>
      <c r="G756" s="19" t="s">
        <v>4768</v>
      </c>
      <c r="H756" s="19" t="s">
        <v>4769</v>
      </c>
      <c r="I756" s="19" t="s">
        <v>4770</v>
      </c>
      <c r="J756" s="19" t="n">
        <v>21061.4</v>
      </c>
      <c r="K756" s="19" t="s">
        <v>1894</v>
      </c>
      <c r="L756" s="21" t="s">
        <v>343</v>
      </c>
      <c r="M756" s="20" t="str">
        <f aca="false">IF(G756&lt;&gt;"","PASS","FAIL - Missing UPC")</f>
        <v>PASS</v>
      </c>
      <c r="N756" s="20" t="str">
        <f aca="false">IF(AND(G756&lt;&gt;"",H756&lt;&gt;""),IF("0"&amp;G756=H756,"PASS","FAIL - GTIN Mismatch"),"SKIP")</f>
        <v>PASS</v>
      </c>
      <c r="O756" s="20" t="str">
        <f aca="false">IF(I756="","FAIL - No Title",IF(LEN(I756)&lt;=126,"PASS","FAIL - Title &gt;"&amp;126&amp;" chars"))</f>
        <v>PASS</v>
      </c>
      <c r="P756" s="20" t="str">
        <f aca="false">IF(J756&gt;0,IF(J756&lt;5000,"PASS","FLAG - Review Price"),"FAIL - Zero Price")</f>
        <v>FLAG - Review Price</v>
      </c>
      <c r="Q756" s="20" t="str">
        <f aca="false">IF('Raw Catalog'!P754&lt;&gt;"","PASS","FAIL - No Image")</f>
        <v>PASS</v>
      </c>
      <c r="R756" s="20" t="str">
        <f aca="false">IF(F756&lt;&gt;"","PASS","FAIL - No Brand")</f>
        <v>PASS</v>
      </c>
      <c r="S756" s="20" t="str">
        <f aca="true">IF(K756="","FAIL - No Date",IF(TODAY()-DATEVALUE(K756)&lt;=180,"PASS","FLAG - Stale &gt;180d"))</f>
        <v>FLAG - Stale &gt;180d</v>
      </c>
      <c r="T756" s="20" t="n">
        <f aca="false">COUNTIF(M756:S756,"FAIL*")+COUNTIF(M756:S756,"FLAG*")</f>
        <v>2</v>
      </c>
      <c r="U756" s="20" t="str">
        <f aca="false">IF(T756=0,"CLEAN",IF(T756=1,"MINOR",IF(T756&lt;=3,"MODERATE","CRITICAL")))</f>
        <v>MODERATE</v>
      </c>
      <c r="V756" s="20" t="str">
        <f aca="false">IF(U756="CLEAN","None",IF(U756="MINOR","Seller Notify",IF(U756="MODERATE","Listing Suspended","Immediate Removal")))</f>
        <v>Listing Suspended</v>
      </c>
    </row>
    <row r="757" customFormat="false" ht="18" hidden="false" customHeight="true" outlineLevel="0" collapsed="false">
      <c r="A757" s="19" t="s">
        <v>6834</v>
      </c>
      <c r="B757" s="19" t="s">
        <v>4771</v>
      </c>
      <c r="C757" s="19" t="s">
        <v>255</v>
      </c>
      <c r="D757" s="19" t="s">
        <v>256</v>
      </c>
      <c r="E757" s="19" t="s">
        <v>161</v>
      </c>
      <c r="F757" s="19" t="s">
        <v>429</v>
      </c>
      <c r="G757" s="19" t="s">
        <v>4773</v>
      </c>
      <c r="H757" s="19" t="s">
        <v>4774</v>
      </c>
      <c r="I757" s="19" t="s">
        <v>487</v>
      </c>
      <c r="J757" s="19" t="n">
        <v>341.07</v>
      </c>
      <c r="K757" s="19" t="s">
        <v>872</v>
      </c>
      <c r="L757" s="21" t="s">
        <v>1014</v>
      </c>
      <c r="M757" s="20" t="str">
        <f aca="false">IF(G757&lt;&gt;"","PASS","FAIL - Missing UPC")</f>
        <v>PASS</v>
      </c>
      <c r="N757" s="20" t="str">
        <f aca="false">IF(AND(G757&lt;&gt;"",H757&lt;&gt;""),IF("0"&amp;G757=H757,"PASS","FAIL - GTIN Mismatch"),"SKIP")</f>
        <v>PASS</v>
      </c>
      <c r="O757" s="20" t="str">
        <f aca="false">IF(I757="","FAIL - No Title",IF(LEN(I757)&lt;=126,"PASS","FAIL - Title &gt;"&amp;126&amp;" chars"))</f>
        <v>PASS</v>
      </c>
      <c r="P757" s="20" t="str">
        <f aca="false">IF(J757&gt;0,IF(J757&lt;5000,"PASS","FLAG - Review Price"),"FAIL - Zero Price")</f>
        <v>PASS</v>
      </c>
      <c r="Q757" s="20" t="str">
        <f aca="false">IF('Raw Catalog'!P755&lt;&gt;"","PASS","FAIL - No Image")</f>
        <v>FAIL - No Image</v>
      </c>
      <c r="R757" s="20" t="str">
        <f aca="false">IF(F757&lt;&gt;"","PASS","FAIL - No Brand")</f>
        <v>PASS</v>
      </c>
      <c r="S757" s="20" t="str">
        <f aca="true">IF(K757="","FAIL - No Date",IF(TODAY()-DATEVALUE(K757)&lt;=180,"PASS","FLAG - Stale &gt;180d"))</f>
        <v>FLAG - Stale &gt;180d</v>
      </c>
      <c r="T757" s="20" t="n">
        <f aca="false">COUNTIF(M757:S757,"FAIL*")+COUNTIF(M757:S757,"FLAG*")</f>
        <v>2</v>
      </c>
      <c r="U757" s="20" t="str">
        <f aca="false">IF(T757=0,"CLEAN",IF(T757=1,"MINOR",IF(T757&lt;=3,"MODERATE","CRITICAL")))</f>
        <v>MODERATE</v>
      </c>
      <c r="V757" s="20" t="str">
        <f aca="false">IF(U757="CLEAN","None",IF(U757="MINOR","Seller Notify",IF(U757="MODERATE","Listing Suspended","Immediate Removal")))</f>
        <v>Listing Suspended</v>
      </c>
    </row>
    <row r="758" customFormat="false" ht="18" hidden="false" customHeight="true" outlineLevel="0" collapsed="false">
      <c r="A758" s="19" t="s">
        <v>6835</v>
      </c>
      <c r="B758" s="19" t="s">
        <v>4775</v>
      </c>
      <c r="C758" s="19" t="s">
        <v>159</v>
      </c>
      <c r="D758" s="19" t="s">
        <v>160</v>
      </c>
      <c r="E758" s="19" t="s">
        <v>50</v>
      </c>
      <c r="F758" s="19" t="s">
        <v>127</v>
      </c>
      <c r="G758" s="19" t="s">
        <v>4777</v>
      </c>
      <c r="H758" s="19" t="s">
        <v>4778</v>
      </c>
      <c r="I758" s="19" t="s">
        <v>4779</v>
      </c>
      <c r="J758" s="19" t="n">
        <v>1214.5</v>
      </c>
      <c r="K758" s="19" t="s">
        <v>1539</v>
      </c>
      <c r="L758" s="19"/>
      <c r="M758" s="20" t="str">
        <f aca="false">IF(G758&lt;&gt;"","PASS","FAIL - Missing UPC")</f>
        <v>PASS</v>
      </c>
      <c r="N758" s="20" t="str">
        <f aca="false">IF(AND(G758&lt;&gt;"",H758&lt;&gt;""),IF("0"&amp;G758=H758,"PASS","FAIL - GTIN Mismatch"),"SKIP")</f>
        <v>PASS</v>
      </c>
      <c r="O758" s="20" t="str">
        <f aca="false">IF(I758="","FAIL - No Title",IF(LEN(I758)&lt;=126,"PASS","FAIL - Title &gt;"&amp;126&amp;" chars"))</f>
        <v>PASS</v>
      </c>
      <c r="P758" s="20" t="str">
        <f aca="false">IF(J758&gt;0,IF(J758&lt;5000,"PASS","FLAG - Review Price"),"FAIL - Zero Price")</f>
        <v>PASS</v>
      </c>
      <c r="Q758" s="20" t="str">
        <f aca="false">IF('Raw Catalog'!P756&lt;&gt;"","PASS","FAIL - No Image")</f>
        <v>PASS</v>
      </c>
      <c r="R758" s="20" t="str">
        <f aca="false">IF(F758&lt;&gt;"","PASS","FAIL - No Brand")</f>
        <v>PASS</v>
      </c>
      <c r="S758" s="20" t="str">
        <f aca="true">IF(K758="","FAIL - No Date",IF(TODAY()-DATEVALUE(K758)&lt;=180,"PASS","FLAG - Stale &gt;180d"))</f>
        <v>FLAG - Stale &gt;180d</v>
      </c>
      <c r="T758" s="20" t="n">
        <f aca="false">COUNTIF(M758:S758,"FAIL*")+COUNTIF(M758:S758,"FLAG*")</f>
        <v>1</v>
      </c>
      <c r="U758" s="20" t="str">
        <f aca="false">IF(T758=0,"CLEAN",IF(T758=1,"MINOR",IF(T758&lt;=3,"MODERATE","CRITICAL")))</f>
        <v>MINOR</v>
      </c>
      <c r="V758" s="20" t="str">
        <f aca="false">IF(U758="CLEAN","None",IF(U758="MINOR","Seller Notify",IF(U758="MODERATE","Listing Suspended","Immediate Removal")))</f>
        <v>Seller Notify</v>
      </c>
    </row>
    <row r="759" customFormat="false" ht="18" hidden="false" customHeight="true" outlineLevel="0" collapsed="false">
      <c r="A759" s="19" t="s">
        <v>6836</v>
      </c>
      <c r="B759" s="19" t="s">
        <v>4780</v>
      </c>
      <c r="C759" s="19" t="s">
        <v>48</v>
      </c>
      <c r="D759" s="19" t="s">
        <v>49</v>
      </c>
      <c r="E759" s="19" t="s">
        <v>91</v>
      </c>
      <c r="F759" s="19" t="s">
        <v>92</v>
      </c>
      <c r="G759" s="19" t="s">
        <v>4782</v>
      </c>
      <c r="H759" s="19" t="s">
        <v>4783</v>
      </c>
      <c r="I759" s="19" t="s">
        <v>4784</v>
      </c>
      <c r="J759" s="19" t="n">
        <v>929.95</v>
      </c>
      <c r="K759" s="19" t="s">
        <v>1899</v>
      </c>
      <c r="L759" s="19"/>
      <c r="M759" s="20" t="str">
        <f aca="false">IF(G759&lt;&gt;"","PASS","FAIL - Missing UPC")</f>
        <v>PASS</v>
      </c>
      <c r="N759" s="20" t="str">
        <f aca="false">IF(AND(G759&lt;&gt;"",H759&lt;&gt;""),IF("0"&amp;G759=H759,"PASS","FAIL - GTIN Mismatch"),"SKIP")</f>
        <v>PASS</v>
      </c>
      <c r="O759" s="20" t="str">
        <f aca="false">IF(I759="","FAIL - No Title",IF(LEN(I759)&lt;=126,"PASS","FAIL - Title &gt;"&amp;126&amp;" chars"))</f>
        <v>PASS</v>
      </c>
      <c r="P759" s="20" t="str">
        <f aca="false">IF(J759&gt;0,IF(J759&lt;5000,"PASS","FLAG - Review Price"),"FAIL - Zero Price")</f>
        <v>PASS</v>
      </c>
      <c r="Q759" s="20" t="str">
        <f aca="false">IF('Raw Catalog'!P757&lt;&gt;"","PASS","FAIL - No Image")</f>
        <v>PASS</v>
      </c>
      <c r="R759" s="20" t="str">
        <f aca="false">IF(F759&lt;&gt;"","PASS","FAIL - No Brand")</f>
        <v>PASS</v>
      </c>
      <c r="S759" s="20" t="str">
        <f aca="true">IF(K759="","FAIL - No Date",IF(TODAY()-DATEVALUE(K759)&lt;=180,"PASS","FLAG - Stale &gt;180d"))</f>
        <v>FLAG - Stale &gt;180d</v>
      </c>
      <c r="T759" s="20" t="n">
        <f aca="false">COUNTIF(M759:S759,"FAIL*")+COUNTIF(M759:S759,"FLAG*")</f>
        <v>1</v>
      </c>
      <c r="U759" s="20" t="str">
        <f aca="false">IF(T759=0,"CLEAN",IF(T759=1,"MINOR",IF(T759&lt;=3,"MODERATE","CRITICAL")))</f>
        <v>MINOR</v>
      </c>
      <c r="V759" s="20" t="str">
        <f aca="false">IF(U759="CLEAN","None",IF(U759="MINOR","Seller Notify",IF(U759="MODERATE","Listing Suspended","Immediate Removal")))</f>
        <v>Seller Notify</v>
      </c>
    </row>
    <row r="760" customFormat="false" ht="18" hidden="false" customHeight="true" outlineLevel="0" collapsed="false">
      <c r="A760" s="19" t="s">
        <v>6837</v>
      </c>
      <c r="B760" s="19" t="s">
        <v>172</v>
      </c>
      <c r="C760" s="19" t="s">
        <v>125</v>
      </c>
      <c r="D760" s="19" t="s">
        <v>126</v>
      </c>
      <c r="E760" s="19" t="s">
        <v>161</v>
      </c>
      <c r="F760" s="19" t="s">
        <v>51</v>
      </c>
      <c r="G760" s="19" t="s">
        <v>177</v>
      </c>
      <c r="H760" s="19" t="s">
        <v>178</v>
      </c>
      <c r="I760" s="19" t="s">
        <v>179</v>
      </c>
      <c r="J760" s="19" t="n">
        <v>307.98</v>
      </c>
      <c r="K760" s="19" t="s">
        <v>183</v>
      </c>
      <c r="L760" s="21" t="s">
        <v>283</v>
      </c>
      <c r="M760" s="20" t="str">
        <f aca="false">IF(G760&lt;&gt;"","PASS","FAIL - Missing UPC")</f>
        <v>PASS</v>
      </c>
      <c r="N760" s="20" t="str">
        <f aca="false">IF(AND(G760&lt;&gt;"",H760&lt;&gt;""),IF("0"&amp;G760=H760,"PASS","FAIL - GTIN Mismatch"),"SKIP")</f>
        <v>PASS</v>
      </c>
      <c r="O760" s="20" t="str">
        <f aca="false">IF(I760="","FAIL - No Title",IF(LEN(I760)&lt;=126,"PASS","FAIL - Title &gt;"&amp;126&amp;" chars"))</f>
        <v>PASS</v>
      </c>
      <c r="P760" s="20" t="str">
        <f aca="false">IF(J760&gt;0,IF(J760&lt;5000,"PASS","FLAG - Review Price"),"FAIL - Zero Price")</f>
        <v>PASS</v>
      </c>
      <c r="Q760" s="20" t="str">
        <f aca="false">IF('Raw Catalog'!P758&lt;&gt;"","PASS","FAIL - No Image")</f>
        <v>PASS</v>
      </c>
      <c r="R760" s="20" t="str">
        <f aca="false">IF(F760&lt;&gt;"","PASS","FAIL - No Brand")</f>
        <v>PASS</v>
      </c>
      <c r="S760" s="20" t="str">
        <f aca="true">IF(K760="","FAIL - No Date",IF(TODAY()-DATEVALUE(K760)&lt;=180,"PASS","FLAG - Stale &gt;180d"))</f>
        <v>FLAG - Stale &gt;180d</v>
      </c>
      <c r="T760" s="20" t="n">
        <f aca="false">COUNTIF(M760:S760,"FAIL*")+COUNTIF(M760:S760,"FLAG*")</f>
        <v>1</v>
      </c>
      <c r="U760" s="20" t="str">
        <f aca="false">IF(T760=0,"CLEAN",IF(T760=1,"MINOR",IF(T760&lt;=3,"MODERATE","CRITICAL")))</f>
        <v>MINOR</v>
      </c>
      <c r="V760" s="20" t="str">
        <f aca="false">IF(U760="CLEAN","None",IF(U760="MINOR","Seller Notify",IF(U760="MODERATE","Listing Suspended","Immediate Removal")))</f>
        <v>Seller Notify</v>
      </c>
    </row>
    <row r="761" customFormat="false" ht="18" hidden="false" customHeight="true" outlineLevel="0" collapsed="false">
      <c r="A761" s="19" t="s">
        <v>6838</v>
      </c>
      <c r="B761" s="19" t="s">
        <v>4785</v>
      </c>
      <c r="C761" s="19" t="s">
        <v>125</v>
      </c>
      <c r="D761" s="19" t="s">
        <v>126</v>
      </c>
      <c r="E761" s="19" t="s">
        <v>161</v>
      </c>
      <c r="F761" s="19" t="s">
        <v>822</v>
      </c>
      <c r="G761" s="19" t="s">
        <v>4787</v>
      </c>
      <c r="H761" s="19" t="s">
        <v>4788</v>
      </c>
      <c r="I761" s="19" t="s">
        <v>1095</v>
      </c>
      <c r="J761" s="19" t="n">
        <v>330.77</v>
      </c>
      <c r="K761" s="19" t="s">
        <v>872</v>
      </c>
      <c r="L761" s="19"/>
      <c r="M761" s="20" t="str">
        <f aca="false">IF(G761&lt;&gt;"","PASS","FAIL - Missing UPC")</f>
        <v>PASS</v>
      </c>
      <c r="N761" s="20" t="str">
        <f aca="false">IF(AND(G761&lt;&gt;"",H761&lt;&gt;""),IF("0"&amp;G761=H761,"PASS","FAIL - GTIN Mismatch"),"SKIP")</f>
        <v>PASS</v>
      </c>
      <c r="O761" s="20" t="str">
        <f aca="false">IF(I761="","FAIL - No Title",IF(LEN(I761)&lt;=126,"PASS","FAIL - Title &gt;"&amp;126&amp;" chars"))</f>
        <v>PASS</v>
      </c>
      <c r="P761" s="20" t="str">
        <f aca="false">IF(J761&gt;0,IF(J761&lt;5000,"PASS","FLAG - Review Price"),"FAIL - Zero Price")</f>
        <v>PASS</v>
      </c>
      <c r="Q761" s="20" t="str">
        <f aca="false">IF('Raw Catalog'!P759&lt;&gt;"","PASS","FAIL - No Image")</f>
        <v>PASS</v>
      </c>
      <c r="R761" s="20" t="str">
        <f aca="false">IF(F761&lt;&gt;"","PASS","FAIL - No Brand")</f>
        <v>PASS</v>
      </c>
      <c r="S761" s="20" t="str">
        <f aca="true">IF(K761="","FAIL - No Date",IF(TODAY()-DATEVALUE(K761)&lt;=180,"PASS","FLAG - Stale &gt;180d"))</f>
        <v>FLAG - Stale &gt;180d</v>
      </c>
      <c r="T761" s="20" t="n">
        <f aca="false">COUNTIF(M761:S761,"FAIL*")+COUNTIF(M761:S761,"FLAG*")</f>
        <v>1</v>
      </c>
      <c r="U761" s="20" t="str">
        <f aca="false">IF(T761=0,"CLEAN",IF(T761=1,"MINOR",IF(T761&lt;=3,"MODERATE","CRITICAL")))</f>
        <v>MINOR</v>
      </c>
      <c r="V761" s="20" t="str">
        <f aca="false">IF(U761="CLEAN","None",IF(U761="MINOR","Seller Notify",IF(U761="MODERATE","Listing Suspended","Immediate Removal")))</f>
        <v>Seller Notify</v>
      </c>
    </row>
    <row r="762" customFormat="false" ht="18" hidden="false" customHeight="true" outlineLevel="0" collapsed="false">
      <c r="A762" s="19" t="s">
        <v>6839</v>
      </c>
      <c r="B762" s="19" t="s">
        <v>4789</v>
      </c>
      <c r="C762" s="19" t="s">
        <v>159</v>
      </c>
      <c r="D762" s="19" t="s">
        <v>160</v>
      </c>
      <c r="E762" s="19" t="s">
        <v>65</v>
      </c>
      <c r="F762" s="19" t="s">
        <v>227</v>
      </c>
      <c r="G762" s="19" t="s">
        <v>4791</v>
      </c>
      <c r="H762" s="19" t="s">
        <v>4792</v>
      </c>
      <c r="I762" s="19" t="s">
        <v>4793</v>
      </c>
      <c r="J762" s="19" t="n">
        <v>473.03</v>
      </c>
      <c r="K762" s="19" t="s">
        <v>111</v>
      </c>
      <c r="L762" s="19"/>
      <c r="M762" s="20" t="str">
        <f aca="false">IF(G762&lt;&gt;"","PASS","FAIL - Missing UPC")</f>
        <v>PASS</v>
      </c>
      <c r="N762" s="20" t="str">
        <f aca="false">IF(AND(G762&lt;&gt;"",H762&lt;&gt;""),IF("0"&amp;G762=H762,"PASS","FAIL - GTIN Mismatch"),"SKIP")</f>
        <v>PASS</v>
      </c>
      <c r="O762" s="20" t="str">
        <f aca="false">IF(I762="","FAIL - No Title",IF(LEN(I762)&lt;=126,"PASS","FAIL - Title &gt;"&amp;126&amp;" chars"))</f>
        <v>PASS</v>
      </c>
      <c r="P762" s="20" t="str">
        <f aca="false">IF(J762&gt;0,IF(J762&lt;5000,"PASS","FLAG - Review Price"),"FAIL - Zero Price")</f>
        <v>PASS</v>
      </c>
      <c r="Q762" s="20" t="str">
        <f aca="false">IF('Raw Catalog'!P760&lt;&gt;"","PASS","FAIL - No Image")</f>
        <v>PASS</v>
      </c>
      <c r="R762" s="20" t="str">
        <f aca="false">IF(F762&lt;&gt;"","PASS","FAIL - No Brand")</f>
        <v>PASS</v>
      </c>
      <c r="S762" s="20" t="str">
        <f aca="true">IF(K762="","FAIL - No Date",IF(TODAY()-DATEVALUE(K762)&lt;=180,"PASS","FLAG - Stale &gt;180d"))</f>
        <v>FLAG - Stale &gt;180d</v>
      </c>
      <c r="T762" s="20" t="n">
        <f aca="false">COUNTIF(M762:S762,"FAIL*")+COUNTIF(M762:S762,"FLAG*")</f>
        <v>1</v>
      </c>
      <c r="U762" s="20" t="str">
        <f aca="false">IF(T762=0,"CLEAN",IF(T762=1,"MINOR",IF(T762&lt;=3,"MODERATE","CRITICAL")))</f>
        <v>MINOR</v>
      </c>
      <c r="V762" s="20" t="str">
        <f aca="false">IF(U762="CLEAN","None",IF(U762="MINOR","Seller Notify",IF(U762="MODERATE","Listing Suspended","Immediate Removal")))</f>
        <v>Seller Notify</v>
      </c>
    </row>
    <row r="763" customFormat="false" ht="18" hidden="false" customHeight="true" outlineLevel="0" collapsed="false">
      <c r="A763" s="19" t="s">
        <v>6840</v>
      </c>
      <c r="B763" s="19" t="s">
        <v>4796</v>
      </c>
      <c r="C763" s="19" t="s">
        <v>159</v>
      </c>
      <c r="D763" s="19" t="s">
        <v>160</v>
      </c>
      <c r="E763" s="19" t="s">
        <v>161</v>
      </c>
      <c r="F763" s="19" t="s">
        <v>185</v>
      </c>
      <c r="G763" s="19" t="s">
        <v>4798</v>
      </c>
      <c r="H763" s="19" t="s">
        <v>4799</v>
      </c>
      <c r="I763" s="19" t="s">
        <v>4800</v>
      </c>
      <c r="J763" s="19" t="n">
        <v>527.2</v>
      </c>
      <c r="K763" s="19" t="s">
        <v>838</v>
      </c>
      <c r="L763" s="19"/>
      <c r="M763" s="20" t="str">
        <f aca="false">IF(G763&lt;&gt;"","PASS","FAIL - Missing UPC")</f>
        <v>PASS</v>
      </c>
      <c r="N763" s="20" t="str">
        <f aca="false">IF(AND(G763&lt;&gt;"",H763&lt;&gt;""),IF("0"&amp;G763=H763,"PASS","FAIL - GTIN Mismatch"),"SKIP")</f>
        <v>PASS</v>
      </c>
      <c r="O763" s="20" t="str">
        <f aca="false">IF(I763="","FAIL - No Title",IF(LEN(I763)&lt;=126,"PASS","FAIL - Title &gt;"&amp;126&amp;" chars"))</f>
        <v>PASS</v>
      </c>
      <c r="P763" s="20" t="str">
        <f aca="false">IF(J763&gt;0,IF(J763&lt;5000,"PASS","FLAG - Review Price"),"FAIL - Zero Price")</f>
        <v>PASS</v>
      </c>
      <c r="Q763" s="20" t="str">
        <f aca="false">IF('Raw Catalog'!P761&lt;&gt;"","PASS","FAIL - No Image")</f>
        <v>PASS</v>
      </c>
      <c r="R763" s="20" t="str">
        <f aca="false">IF(F763&lt;&gt;"","PASS","FAIL - No Brand")</f>
        <v>PASS</v>
      </c>
      <c r="S763" s="20" t="str">
        <f aca="true">IF(K763="","FAIL - No Date",IF(TODAY()-DATEVALUE(K763)&lt;=180,"PASS","FLAG - Stale &gt;180d"))</f>
        <v>FLAG - Stale &gt;180d</v>
      </c>
      <c r="T763" s="20" t="n">
        <f aca="false">COUNTIF(M763:S763,"FAIL*")+COUNTIF(M763:S763,"FLAG*")</f>
        <v>1</v>
      </c>
      <c r="U763" s="20" t="str">
        <f aca="false">IF(T763=0,"CLEAN",IF(T763=1,"MINOR",IF(T763&lt;=3,"MODERATE","CRITICAL")))</f>
        <v>MINOR</v>
      </c>
      <c r="V763" s="20" t="str">
        <f aca="false">IF(U763="CLEAN","None",IF(U763="MINOR","Seller Notify",IF(U763="MODERATE","Listing Suspended","Immediate Removal")))</f>
        <v>Seller Notify</v>
      </c>
    </row>
    <row r="764" customFormat="false" ht="18" hidden="false" customHeight="true" outlineLevel="0" collapsed="false">
      <c r="A764" s="19" t="s">
        <v>6841</v>
      </c>
      <c r="B764" s="19" t="s">
        <v>4801</v>
      </c>
      <c r="C764" s="19" t="s">
        <v>63</v>
      </c>
      <c r="D764" s="19" t="s">
        <v>64</v>
      </c>
      <c r="E764" s="19" t="s">
        <v>79</v>
      </c>
      <c r="F764" s="19" t="s">
        <v>127</v>
      </c>
      <c r="G764" s="19" t="s">
        <v>4803</v>
      </c>
      <c r="H764" s="19" t="s">
        <v>4804</v>
      </c>
      <c r="I764" s="19" t="s">
        <v>4805</v>
      </c>
      <c r="J764" s="19" t="n">
        <v>1432.26</v>
      </c>
      <c r="K764" s="19" t="s">
        <v>157</v>
      </c>
      <c r="L764" s="19"/>
      <c r="M764" s="20" t="str">
        <f aca="false">IF(G764&lt;&gt;"","PASS","FAIL - Missing UPC")</f>
        <v>PASS</v>
      </c>
      <c r="N764" s="20" t="str">
        <f aca="false">IF(AND(G764&lt;&gt;"",H764&lt;&gt;""),IF("0"&amp;G764=H764,"PASS","FAIL - GTIN Mismatch"),"SKIP")</f>
        <v>PASS</v>
      </c>
      <c r="O764" s="20" t="str">
        <f aca="false">IF(I764="","FAIL - No Title",IF(LEN(I764)&lt;=126,"PASS","FAIL - Title &gt;"&amp;126&amp;" chars"))</f>
        <v>PASS</v>
      </c>
      <c r="P764" s="20" t="str">
        <f aca="false">IF(J764&gt;0,IF(J764&lt;5000,"PASS","FLAG - Review Price"),"FAIL - Zero Price")</f>
        <v>PASS</v>
      </c>
      <c r="Q764" s="20" t="str">
        <f aca="false">IF('Raw Catalog'!P762&lt;&gt;"","PASS","FAIL - No Image")</f>
        <v>PASS</v>
      </c>
      <c r="R764" s="20" t="str">
        <f aca="false">IF(F764&lt;&gt;"","PASS","FAIL - No Brand")</f>
        <v>PASS</v>
      </c>
      <c r="S764" s="20" t="str">
        <f aca="true">IF(K764="","FAIL - No Date",IF(TODAY()-DATEVALUE(K764)&lt;=180,"PASS","FLAG - Stale &gt;180d"))</f>
        <v>FLAG - Stale &gt;180d</v>
      </c>
      <c r="T764" s="20" t="n">
        <f aca="false">COUNTIF(M764:S764,"FAIL*")+COUNTIF(M764:S764,"FLAG*")</f>
        <v>1</v>
      </c>
      <c r="U764" s="20" t="str">
        <f aca="false">IF(T764=0,"CLEAN",IF(T764=1,"MINOR",IF(T764&lt;=3,"MODERATE","CRITICAL")))</f>
        <v>MINOR</v>
      </c>
      <c r="V764" s="20" t="str">
        <f aca="false">IF(U764="CLEAN","None",IF(U764="MINOR","Seller Notify",IF(U764="MODERATE","Listing Suspended","Immediate Removal")))</f>
        <v>Seller Notify</v>
      </c>
    </row>
    <row r="765" customFormat="false" ht="18" hidden="false" customHeight="true" outlineLevel="0" collapsed="false">
      <c r="A765" s="19" t="s">
        <v>6842</v>
      </c>
      <c r="B765" s="19" t="s">
        <v>4807</v>
      </c>
      <c r="C765" s="19" t="s">
        <v>255</v>
      </c>
      <c r="D765" s="19" t="s">
        <v>256</v>
      </c>
      <c r="E765" s="19" t="s">
        <v>79</v>
      </c>
      <c r="F765" s="19" t="s">
        <v>956</v>
      </c>
      <c r="G765" s="19" t="s">
        <v>4809</v>
      </c>
      <c r="H765" s="19" t="s">
        <v>4810</v>
      </c>
      <c r="I765" s="19" t="s">
        <v>4811</v>
      </c>
      <c r="J765" s="19" t="n">
        <v>1237.94</v>
      </c>
      <c r="K765" s="19" t="s">
        <v>4813</v>
      </c>
      <c r="L765" s="21" t="s">
        <v>283</v>
      </c>
      <c r="M765" s="20" t="str">
        <f aca="false">IF(G765&lt;&gt;"","PASS","FAIL - Missing UPC")</f>
        <v>PASS</v>
      </c>
      <c r="N765" s="20" t="str">
        <f aca="false">IF(AND(G765&lt;&gt;"",H765&lt;&gt;""),IF("0"&amp;G765=H765,"PASS","FAIL - GTIN Mismatch"),"SKIP")</f>
        <v>PASS</v>
      </c>
      <c r="O765" s="20" t="str">
        <f aca="false">IF(I765="","FAIL - No Title",IF(LEN(I765)&lt;=126,"PASS","FAIL - Title &gt;"&amp;126&amp;" chars"))</f>
        <v>PASS</v>
      </c>
      <c r="P765" s="20" t="str">
        <f aca="false">IF(J765&gt;0,IF(J765&lt;5000,"PASS","FLAG - Review Price"),"FAIL - Zero Price")</f>
        <v>PASS</v>
      </c>
      <c r="Q765" s="20" t="str">
        <f aca="false">IF('Raw Catalog'!P763&lt;&gt;"","PASS","FAIL - No Image")</f>
        <v>PASS</v>
      </c>
      <c r="R765" s="20" t="str">
        <f aca="false">IF(F765&lt;&gt;"","PASS","FAIL - No Brand")</f>
        <v>PASS</v>
      </c>
      <c r="S765" s="20" t="str">
        <f aca="true">IF(K765="","FAIL - No Date",IF(TODAY()-DATEVALUE(K765)&lt;=180,"PASS","FLAG - Stale &gt;180d"))</f>
        <v>FLAG - Stale &gt;180d</v>
      </c>
      <c r="T765" s="20" t="n">
        <f aca="false">COUNTIF(M765:S765,"FAIL*")+COUNTIF(M765:S765,"FLAG*")</f>
        <v>1</v>
      </c>
      <c r="U765" s="20" t="str">
        <f aca="false">IF(T765=0,"CLEAN",IF(T765=1,"MINOR",IF(T765&lt;=3,"MODERATE","CRITICAL")))</f>
        <v>MINOR</v>
      </c>
      <c r="V765" s="20" t="str">
        <f aca="false">IF(U765="CLEAN","None",IF(U765="MINOR","Seller Notify",IF(U765="MODERATE","Listing Suspended","Immediate Removal")))</f>
        <v>Seller Notify</v>
      </c>
    </row>
    <row r="766" customFormat="false" ht="18" hidden="false" customHeight="true" outlineLevel="0" collapsed="false">
      <c r="A766" s="19" t="s">
        <v>6843</v>
      </c>
      <c r="B766" s="19" t="s">
        <v>4814</v>
      </c>
      <c r="C766" s="19" t="s">
        <v>173</v>
      </c>
      <c r="D766" s="19" t="s">
        <v>174</v>
      </c>
      <c r="E766" s="19" t="s">
        <v>50</v>
      </c>
      <c r="F766" s="19" t="s">
        <v>115</v>
      </c>
      <c r="G766" s="19" t="s">
        <v>4816</v>
      </c>
      <c r="H766" s="19" t="s">
        <v>4817</v>
      </c>
      <c r="I766" s="19" t="s">
        <v>2011</v>
      </c>
      <c r="J766" s="19" t="n">
        <v>853.99</v>
      </c>
      <c r="K766" s="19" t="s">
        <v>4137</v>
      </c>
      <c r="L766" s="19"/>
      <c r="M766" s="20" t="str">
        <f aca="false">IF(G766&lt;&gt;"","PASS","FAIL - Missing UPC")</f>
        <v>PASS</v>
      </c>
      <c r="N766" s="20" t="str">
        <f aca="false">IF(AND(G766&lt;&gt;"",H766&lt;&gt;""),IF("0"&amp;G766=H766,"PASS","FAIL - GTIN Mismatch"),"SKIP")</f>
        <v>PASS</v>
      </c>
      <c r="O766" s="20" t="str">
        <f aca="false">IF(I766="","FAIL - No Title",IF(LEN(I766)&lt;=126,"PASS","FAIL - Title &gt;"&amp;126&amp;" chars"))</f>
        <v>PASS</v>
      </c>
      <c r="P766" s="20" t="str">
        <f aca="false">IF(J766&gt;0,IF(J766&lt;5000,"PASS","FLAG - Review Price"),"FAIL - Zero Price")</f>
        <v>PASS</v>
      </c>
      <c r="Q766" s="20" t="str">
        <f aca="false">IF('Raw Catalog'!P764&lt;&gt;"","PASS","FAIL - No Image")</f>
        <v>PASS</v>
      </c>
      <c r="R766" s="20" t="str">
        <f aca="false">IF(F766&lt;&gt;"","PASS","FAIL - No Brand")</f>
        <v>PASS</v>
      </c>
      <c r="S766" s="20" t="str">
        <f aca="true">IF(K766="","FAIL - No Date",IF(TODAY()-DATEVALUE(K766)&lt;=180,"PASS","FLAG - Stale &gt;180d"))</f>
        <v>FLAG - Stale &gt;180d</v>
      </c>
      <c r="T766" s="20" t="n">
        <f aca="false">COUNTIF(M766:S766,"FAIL*")+COUNTIF(M766:S766,"FLAG*")</f>
        <v>1</v>
      </c>
      <c r="U766" s="20" t="str">
        <f aca="false">IF(T766=0,"CLEAN",IF(T766=1,"MINOR",IF(T766&lt;=3,"MODERATE","CRITICAL")))</f>
        <v>MINOR</v>
      </c>
      <c r="V766" s="20" t="str">
        <f aca="false">IF(U766="CLEAN","None",IF(U766="MINOR","Seller Notify",IF(U766="MODERATE","Listing Suspended","Immediate Removal")))</f>
        <v>Seller Notify</v>
      </c>
    </row>
    <row r="767" customFormat="false" ht="18" hidden="false" customHeight="true" outlineLevel="0" collapsed="false">
      <c r="A767" s="19" t="s">
        <v>6844</v>
      </c>
      <c r="B767" s="19" t="s">
        <v>4818</v>
      </c>
      <c r="C767" s="19" t="s">
        <v>63</v>
      </c>
      <c r="D767" s="19" t="s">
        <v>64</v>
      </c>
      <c r="E767" s="19" t="s">
        <v>50</v>
      </c>
      <c r="F767" s="19" t="s">
        <v>115</v>
      </c>
      <c r="G767" s="19" t="s">
        <v>4820</v>
      </c>
      <c r="H767" s="19" t="s">
        <v>4821</v>
      </c>
      <c r="I767" s="19" t="s">
        <v>4822</v>
      </c>
      <c r="J767" s="19" t="n">
        <v>1253.6</v>
      </c>
      <c r="K767" s="19" t="s">
        <v>2182</v>
      </c>
      <c r="L767" s="19"/>
      <c r="M767" s="20" t="str">
        <f aca="false">IF(G767&lt;&gt;"","PASS","FAIL - Missing UPC")</f>
        <v>PASS</v>
      </c>
      <c r="N767" s="20" t="str">
        <f aca="false">IF(AND(G767&lt;&gt;"",H767&lt;&gt;""),IF("0"&amp;G767=H767,"PASS","FAIL - GTIN Mismatch"),"SKIP")</f>
        <v>PASS</v>
      </c>
      <c r="O767" s="20" t="str">
        <f aca="false">IF(I767="","FAIL - No Title",IF(LEN(I767)&lt;=126,"PASS","FAIL - Title &gt;"&amp;126&amp;" chars"))</f>
        <v>PASS</v>
      </c>
      <c r="P767" s="20" t="str">
        <f aca="false">IF(J767&gt;0,IF(J767&lt;5000,"PASS","FLAG - Review Price"),"FAIL - Zero Price")</f>
        <v>PASS</v>
      </c>
      <c r="Q767" s="20" t="str">
        <f aca="false">IF('Raw Catalog'!P765&lt;&gt;"","PASS","FAIL - No Image")</f>
        <v>PASS</v>
      </c>
      <c r="R767" s="20" t="str">
        <f aca="false">IF(F767&lt;&gt;"","PASS","FAIL - No Brand")</f>
        <v>PASS</v>
      </c>
      <c r="S767" s="20" t="str">
        <f aca="true">IF(K767="","FAIL - No Date",IF(TODAY()-DATEVALUE(K767)&lt;=180,"PASS","FLAG - Stale &gt;180d"))</f>
        <v>FLAG - Stale &gt;180d</v>
      </c>
      <c r="T767" s="20" t="n">
        <f aca="false">COUNTIF(M767:S767,"FAIL*")+COUNTIF(M767:S767,"FLAG*")</f>
        <v>1</v>
      </c>
      <c r="U767" s="20" t="str">
        <f aca="false">IF(T767=0,"CLEAN",IF(T767=1,"MINOR",IF(T767&lt;=3,"MODERATE","CRITICAL")))</f>
        <v>MINOR</v>
      </c>
      <c r="V767" s="20" t="str">
        <f aca="false">IF(U767="CLEAN","None",IF(U767="MINOR","Seller Notify",IF(U767="MODERATE","Listing Suspended","Immediate Removal")))</f>
        <v>Seller Notify</v>
      </c>
    </row>
    <row r="768" customFormat="false" ht="18" hidden="false" customHeight="true" outlineLevel="0" collapsed="false">
      <c r="A768" s="19" t="s">
        <v>6845</v>
      </c>
      <c r="B768" s="19" t="s">
        <v>4823</v>
      </c>
      <c r="C768" s="19" t="s">
        <v>255</v>
      </c>
      <c r="D768" s="19" t="s">
        <v>256</v>
      </c>
      <c r="E768" s="19" t="s">
        <v>79</v>
      </c>
      <c r="F768" s="19" t="s">
        <v>51</v>
      </c>
      <c r="G768" s="19" t="s">
        <v>4825</v>
      </c>
      <c r="H768" s="19" t="s">
        <v>4826</v>
      </c>
      <c r="I768" s="19" t="s">
        <v>4827</v>
      </c>
      <c r="J768" s="19" t="n">
        <v>1257.57</v>
      </c>
      <c r="K768" s="19" t="s">
        <v>2392</v>
      </c>
      <c r="L768" s="19"/>
      <c r="M768" s="20" t="str">
        <f aca="false">IF(G768&lt;&gt;"","PASS","FAIL - Missing UPC")</f>
        <v>PASS</v>
      </c>
      <c r="N768" s="20" t="str">
        <f aca="false">IF(AND(G768&lt;&gt;"",H768&lt;&gt;""),IF("0"&amp;G768=H768,"PASS","FAIL - GTIN Mismatch"),"SKIP")</f>
        <v>PASS</v>
      </c>
      <c r="O768" s="20" t="str">
        <f aca="false">IF(I768="","FAIL - No Title",IF(LEN(I768)&lt;=126,"PASS","FAIL - Title &gt;"&amp;126&amp;" chars"))</f>
        <v>PASS</v>
      </c>
      <c r="P768" s="20" t="str">
        <f aca="false">IF(J768&gt;0,IF(J768&lt;5000,"PASS","FLAG - Review Price"),"FAIL - Zero Price")</f>
        <v>PASS</v>
      </c>
      <c r="Q768" s="20" t="str">
        <f aca="false">IF('Raw Catalog'!P766&lt;&gt;"","PASS","FAIL - No Image")</f>
        <v>PASS</v>
      </c>
      <c r="R768" s="20" t="str">
        <f aca="false">IF(F768&lt;&gt;"","PASS","FAIL - No Brand")</f>
        <v>PASS</v>
      </c>
      <c r="S768" s="20" t="str">
        <f aca="true">IF(K768="","FAIL - No Date",IF(TODAY()-DATEVALUE(K768)&lt;=180,"PASS","FLAG - Stale &gt;180d"))</f>
        <v>FLAG - Stale &gt;180d</v>
      </c>
      <c r="T768" s="20" t="n">
        <f aca="false">COUNTIF(M768:S768,"FAIL*")+COUNTIF(M768:S768,"FLAG*")</f>
        <v>1</v>
      </c>
      <c r="U768" s="20" t="str">
        <f aca="false">IF(T768=0,"CLEAN",IF(T768=1,"MINOR",IF(T768&lt;=3,"MODERATE","CRITICAL")))</f>
        <v>MINOR</v>
      </c>
      <c r="V768" s="20" t="str">
        <f aca="false">IF(U768="CLEAN","None",IF(U768="MINOR","Seller Notify",IF(U768="MODERATE","Listing Suspended","Immediate Removal")))</f>
        <v>Seller Notify</v>
      </c>
    </row>
    <row r="769" customFormat="false" ht="18" hidden="false" customHeight="true" outlineLevel="0" collapsed="false">
      <c r="A769" s="19" t="s">
        <v>6846</v>
      </c>
      <c r="B769" s="19" t="s">
        <v>4829</v>
      </c>
      <c r="C769" s="19" t="s">
        <v>63</v>
      </c>
      <c r="D769" s="19" t="s">
        <v>64</v>
      </c>
      <c r="E769" s="19" t="s">
        <v>91</v>
      </c>
      <c r="F769" s="19" t="s">
        <v>92</v>
      </c>
      <c r="G769" s="19" t="s">
        <v>4831</v>
      </c>
      <c r="H769" s="19" t="s">
        <v>4832</v>
      </c>
      <c r="I769" s="19" t="s">
        <v>4833</v>
      </c>
      <c r="J769" s="19" t="n">
        <v>2451.93</v>
      </c>
      <c r="K769" s="19" t="s">
        <v>687</v>
      </c>
      <c r="L769" s="19"/>
      <c r="M769" s="20" t="str">
        <f aca="false">IF(G769&lt;&gt;"","PASS","FAIL - Missing UPC")</f>
        <v>PASS</v>
      </c>
      <c r="N769" s="20" t="str">
        <f aca="false">IF(AND(G769&lt;&gt;"",H769&lt;&gt;""),IF("0"&amp;G769=H769,"PASS","FAIL - GTIN Mismatch"),"SKIP")</f>
        <v>PASS</v>
      </c>
      <c r="O769" s="20" t="str">
        <f aca="false">IF(I769="","FAIL - No Title",IF(LEN(I769)&lt;=126,"PASS","FAIL - Title &gt;"&amp;126&amp;" chars"))</f>
        <v>PASS</v>
      </c>
      <c r="P769" s="20" t="str">
        <f aca="false">IF(J769&gt;0,IF(J769&lt;5000,"PASS","FLAG - Review Price"),"FAIL - Zero Price")</f>
        <v>PASS</v>
      </c>
      <c r="Q769" s="20" t="str">
        <f aca="false">IF('Raw Catalog'!P767&lt;&gt;"","PASS","FAIL - No Image")</f>
        <v>PASS</v>
      </c>
      <c r="R769" s="20" t="str">
        <f aca="false">IF(F769&lt;&gt;"","PASS","FAIL - No Brand")</f>
        <v>PASS</v>
      </c>
      <c r="S769" s="20" t="str">
        <f aca="true">IF(K769="","FAIL - No Date",IF(TODAY()-DATEVALUE(K769)&lt;=180,"PASS","FLAG - Stale &gt;180d"))</f>
        <v>FLAG - Stale &gt;180d</v>
      </c>
      <c r="T769" s="20" t="n">
        <f aca="false">COUNTIF(M769:S769,"FAIL*")+COUNTIF(M769:S769,"FLAG*")</f>
        <v>1</v>
      </c>
      <c r="U769" s="20" t="str">
        <f aca="false">IF(T769=0,"CLEAN",IF(T769=1,"MINOR",IF(T769&lt;=3,"MODERATE","CRITICAL")))</f>
        <v>MINOR</v>
      </c>
      <c r="V769" s="20" t="str">
        <f aca="false">IF(U769="CLEAN","None",IF(U769="MINOR","Seller Notify",IF(U769="MODERATE","Listing Suspended","Immediate Removal")))</f>
        <v>Seller Notify</v>
      </c>
    </row>
    <row r="770" customFormat="false" ht="18" hidden="false" customHeight="true" outlineLevel="0" collapsed="false">
      <c r="A770" s="19" t="s">
        <v>6847</v>
      </c>
      <c r="B770" s="19" t="s">
        <v>4834</v>
      </c>
      <c r="C770" s="19" t="s">
        <v>173</v>
      </c>
      <c r="D770" s="19" t="s">
        <v>174</v>
      </c>
      <c r="E770" s="19" t="s">
        <v>50</v>
      </c>
      <c r="F770" s="19" t="s">
        <v>51</v>
      </c>
      <c r="G770" s="19" t="s">
        <v>4836</v>
      </c>
      <c r="H770" s="19" t="s">
        <v>4837</v>
      </c>
      <c r="I770" s="19" t="s">
        <v>4838</v>
      </c>
      <c r="J770" s="19" t="n">
        <v>379.91</v>
      </c>
      <c r="K770" s="19" t="s">
        <v>4129</v>
      </c>
      <c r="L770" s="19"/>
      <c r="M770" s="20" t="str">
        <f aca="false">IF(G770&lt;&gt;"","PASS","FAIL - Missing UPC")</f>
        <v>PASS</v>
      </c>
      <c r="N770" s="20" t="str">
        <f aca="false">IF(AND(G770&lt;&gt;"",H770&lt;&gt;""),IF("0"&amp;G770=H770,"PASS","FAIL - GTIN Mismatch"),"SKIP")</f>
        <v>PASS</v>
      </c>
      <c r="O770" s="20" t="str">
        <f aca="false">IF(I770="","FAIL - No Title",IF(LEN(I770)&lt;=126,"PASS","FAIL - Title &gt;"&amp;126&amp;" chars"))</f>
        <v>PASS</v>
      </c>
      <c r="P770" s="20" t="str">
        <f aca="false">IF(J770&gt;0,IF(J770&lt;5000,"PASS","FLAG - Review Price"),"FAIL - Zero Price")</f>
        <v>PASS</v>
      </c>
      <c r="Q770" s="20" t="str">
        <f aca="false">IF('Raw Catalog'!P768&lt;&gt;"","PASS","FAIL - No Image")</f>
        <v>PASS</v>
      </c>
      <c r="R770" s="20" t="str">
        <f aca="false">IF(F770&lt;&gt;"","PASS","FAIL - No Brand")</f>
        <v>PASS</v>
      </c>
      <c r="S770" s="20" t="str">
        <f aca="true">IF(K770="","FAIL - No Date",IF(TODAY()-DATEVALUE(K770)&lt;=180,"PASS","FLAG - Stale &gt;180d"))</f>
        <v>FLAG - Stale &gt;180d</v>
      </c>
      <c r="T770" s="20" t="n">
        <f aca="false">COUNTIF(M770:S770,"FAIL*")+COUNTIF(M770:S770,"FLAG*")</f>
        <v>1</v>
      </c>
      <c r="U770" s="20" t="str">
        <f aca="false">IF(T770=0,"CLEAN",IF(T770=1,"MINOR",IF(T770&lt;=3,"MODERATE","CRITICAL")))</f>
        <v>MINOR</v>
      </c>
      <c r="V770" s="20" t="str">
        <f aca="false">IF(U770="CLEAN","None",IF(U770="MINOR","Seller Notify",IF(U770="MODERATE","Listing Suspended","Immediate Removal")))</f>
        <v>Seller Notify</v>
      </c>
    </row>
    <row r="771" customFormat="false" ht="18" hidden="false" customHeight="true" outlineLevel="0" collapsed="false">
      <c r="A771" s="19" t="s">
        <v>6848</v>
      </c>
      <c r="B771" s="19" t="s">
        <v>663</v>
      </c>
      <c r="C771" s="19" t="s">
        <v>125</v>
      </c>
      <c r="D771" s="19" t="s">
        <v>126</v>
      </c>
      <c r="E771" s="19" t="s">
        <v>161</v>
      </c>
      <c r="F771" s="19" t="s">
        <v>429</v>
      </c>
      <c r="G771" s="19" t="s">
        <v>665</v>
      </c>
      <c r="H771" s="19" t="s">
        <v>666</v>
      </c>
      <c r="I771" s="19" t="s">
        <v>667</v>
      </c>
      <c r="J771" s="19" t="n">
        <v>368.92</v>
      </c>
      <c r="K771" s="19" t="s">
        <v>670</v>
      </c>
      <c r="L771" s="19"/>
      <c r="M771" s="20" t="str">
        <f aca="false">IF(G771&lt;&gt;"","PASS","FAIL - Missing UPC")</f>
        <v>PASS</v>
      </c>
      <c r="N771" s="20" t="str">
        <f aca="false">IF(AND(G771&lt;&gt;"",H771&lt;&gt;""),IF("0"&amp;G771=H771,"PASS","FAIL - GTIN Mismatch"),"SKIP")</f>
        <v>PASS</v>
      </c>
      <c r="O771" s="20" t="str">
        <f aca="false">IF(I771="","FAIL - No Title",IF(LEN(I771)&lt;=126,"PASS","FAIL - Title &gt;"&amp;126&amp;" chars"))</f>
        <v>PASS</v>
      </c>
      <c r="P771" s="20" t="str">
        <f aca="false">IF(J771&gt;0,IF(J771&lt;5000,"PASS","FLAG - Review Price"),"FAIL - Zero Price")</f>
        <v>PASS</v>
      </c>
      <c r="Q771" s="20" t="str">
        <f aca="false">IF('Raw Catalog'!P769&lt;&gt;"","PASS","FAIL - No Image")</f>
        <v>PASS</v>
      </c>
      <c r="R771" s="20" t="str">
        <f aca="false">IF(F771&lt;&gt;"","PASS","FAIL - No Brand")</f>
        <v>PASS</v>
      </c>
      <c r="S771" s="20" t="str">
        <f aca="true">IF(K771="","FAIL - No Date",IF(TODAY()-DATEVALUE(K771)&lt;=180,"PASS","FLAG - Stale &gt;180d"))</f>
        <v>FLAG - Stale &gt;180d</v>
      </c>
      <c r="T771" s="20" t="n">
        <f aca="false">COUNTIF(M771:S771,"FAIL*")+COUNTIF(M771:S771,"FLAG*")</f>
        <v>1</v>
      </c>
      <c r="U771" s="20" t="str">
        <f aca="false">IF(T771=0,"CLEAN",IF(T771=1,"MINOR",IF(T771&lt;=3,"MODERATE","CRITICAL")))</f>
        <v>MINOR</v>
      </c>
      <c r="V771" s="20" t="str">
        <f aca="false">IF(U771="CLEAN","None",IF(U771="MINOR","Seller Notify",IF(U771="MODERATE","Listing Suspended","Immediate Removal")))</f>
        <v>Seller Notify</v>
      </c>
    </row>
    <row r="772" customFormat="false" ht="18" hidden="false" customHeight="true" outlineLevel="0" collapsed="false">
      <c r="A772" s="19" t="s">
        <v>6849</v>
      </c>
      <c r="B772" s="19" t="s">
        <v>4840</v>
      </c>
      <c r="C772" s="19" t="s">
        <v>77</v>
      </c>
      <c r="D772" s="19" t="s">
        <v>78</v>
      </c>
      <c r="E772" s="19" t="s">
        <v>65</v>
      </c>
      <c r="F772" s="19" t="s">
        <v>390</v>
      </c>
      <c r="G772" s="19" t="s">
        <v>4842</v>
      </c>
      <c r="H772" s="19" t="s">
        <v>4843</v>
      </c>
      <c r="I772" s="19" t="s">
        <v>395</v>
      </c>
      <c r="J772" s="19" t="n">
        <v>358.59</v>
      </c>
      <c r="K772" s="19" t="s">
        <v>2261</v>
      </c>
      <c r="L772" s="19"/>
      <c r="M772" s="20" t="str">
        <f aca="false">IF(G772&lt;&gt;"","PASS","FAIL - Missing UPC")</f>
        <v>PASS</v>
      </c>
      <c r="N772" s="20" t="str">
        <f aca="false">IF(AND(G772&lt;&gt;"",H772&lt;&gt;""),IF("0"&amp;G772=H772,"PASS","FAIL - GTIN Mismatch"),"SKIP")</f>
        <v>PASS</v>
      </c>
      <c r="O772" s="20" t="str">
        <f aca="false">IF(I772="","FAIL - No Title",IF(LEN(I772)&lt;=126,"PASS","FAIL - Title &gt;"&amp;126&amp;" chars"))</f>
        <v>PASS</v>
      </c>
      <c r="P772" s="20" t="str">
        <f aca="false">IF(J772&gt;0,IF(J772&lt;5000,"PASS","FLAG - Review Price"),"FAIL - Zero Price")</f>
        <v>PASS</v>
      </c>
      <c r="Q772" s="20" t="str">
        <f aca="false">IF('Raw Catalog'!P770&lt;&gt;"","PASS","FAIL - No Image")</f>
        <v>PASS</v>
      </c>
      <c r="R772" s="20" t="str">
        <f aca="false">IF(F772&lt;&gt;"","PASS","FAIL - No Brand")</f>
        <v>PASS</v>
      </c>
      <c r="S772" s="20" t="str">
        <f aca="true">IF(K772="","FAIL - No Date",IF(TODAY()-DATEVALUE(K772)&lt;=180,"PASS","FLAG - Stale &gt;180d"))</f>
        <v>FLAG - Stale &gt;180d</v>
      </c>
      <c r="T772" s="20" t="n">
        <f aca="false">COUNTIF(M772:S772,"FAIL*")+COUNTIF(M772:S772,"FLAG*")</f>
        <v>1</v>
      </c>
      <c r="U772" s="20" t="str">
        <f aca="false">IF(T772=0,"CLEAN",IF(T772=1,"MINOR",IF(T772&lt;=3,"MODERATE","CRITICAL")))</f>
        <v>MINOR</v>
      </c>
      <c r="V772" s="20" t="str">
        <f aca="false">IF(U772="CLEAN","None",IF(U772="MINOR","Seller Notify",IF(U772="MODERATE","Listing Suspended","Immediate Removal")))</f>
        <v>Seller Notify</v>
      </c>
    </row>
    <row r="773" customFormat="false" ht="18" hidden="false" customHeight="true" outlineLevel="0" collapsed="false">
      <c r="A773" s="19" t="s">
        <v>6850</v>
      </c>
      <c r="B773" s="19" t="s">
        <v>4844</v>
      </c>
      <c r="C773" s="19" t="s">
        <v>77</v>
      </c>
      <c r="D773" s="19" t="s">
        <v>78</v>
      </c>
      <c r="E773" s="19" t="s">
        <v>79</v>
      </c>
      <c r="F773" s="19" t="s">
        <v>513</v>
      </c>
      <c r="G773" s="19" t="s">
        <v>4846</v>
      </c>
      <c r="H773" s="19" t="s">
        <v>4847</v>
      </c>
      <c r="I773" s="19" t="s">
        <v>4848</v>
      </c>
      <c r="J773" s="19" t="n">
        <v>631.8</v>
      </c>
      <c r="K773" s="19" t="s">
        <v>855</v>
      </c>
      <c r="L773" s="19"/>
      <c r="M773" s="20" t="str">
        <f aca="false">IF(G773&lt;&gt;"","PASS","FAIL - Missing UPC")</f>
        <v>PASS</v>
      </c>
      <c r="N773" s="20" t="str">
        <f aca="false">IF(AND(G773&lt;&gt;"",H773&lt;&gt;""),IF("0"&amp;G773=H773,"PASS","FAIL - GTIN Mismatch"),"SKIP")</f>
        <v>PASS</v>
      </c>
      <c r="O773" s="20" t="str">
        <f aca="false">IF(I773="","FAIL - No Title",IF(LEN(I773)&lt;=126,"PASS","FAIL - Title &gt;"&amp;126&amp;" chars"))</f>
        <v>PASS</v>
      </c>
      <c r="P773" s="20" t="str">
        <f aca="false">IF(J773&gt;0,IF(J773&lt;5000,"PASS","FLAG - Review Price"),"FAIL - Zero Price")</f>
        <v>PASS</v>
      </c>
      <c r="Q773" s="20" t="str">
        <f aca="false">IF('Raw Catalog'!P771&lt;&gt;"","PASS","FAIL - No Image")</f>
        <v>PASS</v>
      </c>
      <c r="R773" s="20" t="str">
        <f aca="false">IF(F773&lt;&gt;"","PASS","FAIL - No Brand")</f>
        <v>PASS</v>
      </c>
      <c r="S773" s="20" t="str">
        <f aca="true">IF(K773="","FAIL - No Date",IF(TODAY()-DATEVALUE(K773)&lt;=180,"PASS","FLAG - Stale &gt;180d"))</f>
        <v>FLAG - Stale &gt;180d</v>
      </c>
      <c r="T773" s="20" t="n">
        <f aca="false">COUNTIF(M773:S773,"FAIL*")+COUNTIF(M773:S773,"FLAG*")</f>
        <v>1</v>
      </c>
      <c r="U773" s="20" t="str">
        <f aca="false">IF(T773=0,"CLEAN",IF(T773=1,"MINOR",IF(T773&lt;=3,"MODERATE","CRITICAL")))</f>
        <v>MINOR</v>
      </c>
      <c r="V773" s="20" t="str">
        <f aca="false">IF(U773="CLEAN","None",IF(U773="MINOR","Seller Notify",IF(U773="MODERATE","Listing Suspended","Immediate Removal")))</f>
        <v>Seller Notify</v>
      </c>
    </row>
    <row r="774" customFormat="false" ht="18" hidden="false" customHeight="true" outlineLevel="0" collapsed="false">
      <c r="A774" s="19" t="s">
        <v>6851</v>
      </c>
      <c r="B774" s="19" t="s">
        <v>4850</v>
      </c>
      <c r="C774" s="19" t="s">
        <v>48</v>
      </c>
      <c r="D774" s="19" t="s">
        <v>49</v>
      </c>
      <c r="E774" s="19" t="s">
        <v>161</v>
      </c>
      <c r="F774" s="19" t="s">
        <v>295</v>
      </c>
      <c r="G774" s="19" t="s">
        <v>4852</v>
      </c>
      <c r="H774" s="19" t="s">
        <v>4853</v>
      </c>
      <c r="I774" s="19" t="s">
        <v>4008</v>
      </c>
      <c r="J774" s="19" t="n">
        <v>210.79</v>
      </c>
      <c r="K774" s="19" t="s">
        <v>2333</v>
      </c>
      <c r="L774" s="19"/>
      <c r="M774" s="20" t="str">
        <f aca="false">IF(G774&lt;&gt;"","PASS","FAIL - Missing UPC")</f>
        <v>PASS</v>
      </c>
      <c r="N774" s="20" t="str">
        <f aca="false">IF(AND(G774&lt;&gt;"",H774&lt;&gt;""),IF("0"&amp;G774=H774,"PASS","FAIL - GTIN Mismatch"),"SKIP")</f>
        <v>PASS</v>
      </c>
      <c r="O774" s="20" t="str">
        <f aca="false">IF(I774="","FAIL - No Title",IF(LEN(I774)&lt;=126,"PASS","FAIL - Title &gt;"&amp;126&amp;" chars"))</f>
        <v>PASS</v>
      </c>
      <c r="P774" s="20" t="str">
        <f aca="false">IF(J774&gt;0,IF(J774&lt;5000,"PASS","FLAG - Review Price"),"FAIL - Zero Price")</f>
        <v>PASS</v>
      </c>
      <c r="Q774" s="20" t="str">
        <f aca="false">IF('Raw Catalog'!P772&lt;&gt;"","PASS","FAIL - No Image")</f>
        <v>PASS</v>
      </c>
      <c r="R774" s="20" t="str">
        <f aca="false">IF(F774&lt;&gt;"","PASS","FAIL - No Brand")</f>
        <v>PASS</v>
      </c>
      <c r="S774" s="20" t="str">
        <f aca="true">IF(K774="","FAIL - No Date",IF(TODAY()-DATEVALUE(K774)&lt;=180,"PASS","FLAG - Stale &gt;180d"))</f>
        <v>FLAG - Stale &gt;180d</v>
      </c>
      <c r="T774" s="20" t="n">
        <f aca="false">COUNTIF(M774:S774,"FAIL*")+COUNTIF(M774:S774,"FLAG*")</f>
        <v>1</v>
      </c>
      <c r="U774" s="20" t="str">
        <f aca="false">IF(T774=0,"CLEAN",IF(T774=1,"MINOR",IF(T774&lt;=3,"MODERATE","CRITICAL")))</f>
        <v>MINOR</v>
      </c>
      <c r="V774" s="20" t="str">
        <f aca="false">IF(U774="CLEAN","None",IF(U774="MINOR","Seller Notify",IF(U774="MODERATE","Listing Suspended","Immediate Removal")))</f>
        <v>Seller Notify</v>
      </c>
    </row>
    <row r="775" customFormat="false" ht="18" hidden="false" customHeight="true" outlineLevel="0" collapsed="false">
      <c r="A775" s="19" t="s">
        <v>6852</v>
      </c>
      <c r="B775" s="19" t="s">
        <v>698</v>
      </c>
      <c r="C775" s="19" t="s">
        <v>48</v>
      </c>
      <c r="D775" s="19" t="s">
        <v>49</v>
      </c>
      <c r="E775" s="19" t="s">
        <v>50</v>
      </c>
      <c r="F775" s="19" t="s">
        <v>138</v>
      </c>
      <c r="G775" s="19" t="s">
        <v>700</v>
      </c>
      <c r="H775" s="19" t="s">
        <v>701</v>
      </c>
      <c r="I775" s="19" t="s">
        <v>702</v>
      </c>
      <c r="J775" s="19" t="n">
        <v>1127.11</v>
      </c>
      <c r="K775" s="19" t="s">
        <v>704</v>
      </c>
      <c r="L775" s="21" t="s">
        <v>283</v>
      </c>
      <c r="M775" s="20" t="str">
        <f aca="false">IF(G775&lt;&gt;"","PASS","FAIL - Missing UPC")</f>
        <v>PASS</v>
      </c>
      <c r="N775" s="20" t="str">
        <f aca="false">IF(AND(G775&lt;&gt;"",H775&lt;&gt;""),IF("0"&amp;G775=H775,"PASS","FAIL - GTIN Mismatch"),"SKIP")</f>
        <v>PASS</v>
      </c>
      <c r="O775" s="20" t="str">
        <f aca="false">IF(I775="","FAIL - No Title",IF(LEN(I775)&lt;=126,"PASS","FAIL - Title &gt;"&amp;126&amp;" chars"))</f>
        <v>PASS</v>
      </c>
      <c r="P775" s="20" t="str">
        <f aca="false">IF(J775&gt;0,IF(J775&lt;5000,"PASS","FLAG - Review Price"),"FAIL - Zero Price")</f>
        <v>PASS</v>
      </c>
      <c r="Q775" s="20" t="str">
        <f aca="false">IF('Raw Catalog'!P773&lt;&gt;"","PASS","FAIL - No Image")</f>
        <v>PASS</v>
      </c>
      <c r="R775" s="20" t="str">
        <f aca="false">IF(F775&lt;&gt;"","PASS","FAIL - No Brand")</f>
        <v>PASS</v>
      </c>
      <c r="S775" s="20" t="str">
        <f aca="true">IF(K775="","FAIL - No Date",IF(TODAY()-DATEVALUE(K775)&lt;=180,"PASS","FLAG - Stale &gt;180d"))</f>
        <v>FLAG - Stale &gt;180d</v>
      </c>
      <c r="T775" s="20" t="n">
        <f aca="false">COUNTIF(M775:S775,"FAIL*")+COUNTIF(M775:S775,"FLAG*")</f>
        <v>1</v>
      </c>
      <c r="U775" s="20" t="str">
        <f aca="false">IF(T775=0,"CLEAN",IF(T775=1,"MINOR",IF(T775&lt;=3,"MODERATE","CRITICAL")))</f>
        <v>MINOR</v>
      </c>
      <c r="V775" s="20" t="str">
        <f aca="false">IF(U775="CLEAN","None",IF(U775="MINOR","Seller Notify",IF(U775="MODERATE","Listing Suspended","Immediate Removal")))</f>
        <v>Seller Notify</v>
      </c>
    </row>
    <row r="776" customFormat="false" ht="18" hidden="false" customHeight="true" outlineLevel="0" collapsed="false">
      <c r="A776" s="19" t="s">
        <v>6853</v>
      </c>
      <c r="B776" s="19" t="s">
        <v>4855</v>
      </c>
      <c r="C776" s="19" t="s">
        <v>173</v>
      </c>
      <c r="D776" s="19" t="s">
        <v>174</v>
      </c>
      <c r="E776" s="19" t="s">
        <v>161</v>
      </c>
      <c r="F776" s="19" t="s">
        <v>429</v>
      </c>
      <c r="G776" s="19" t="s">
        <v>4857</v>
      </c>
      <c r="H776" s="19" t="s">
        <v>4858</v>
      </c>
      <c r="I776" s="19" t="s">
        <v>4859</v>
      </c>
      <c r="J776" s="19" t="n">
        <v>295.58</v>
      </c>
      <c r="K776" s="19" t="s">
        <v>491</v>
      </c>
      <c r="L776" s="19"/>
      <c r="M776" s="20" t="str">
        <f aca="false">IF(G776&lt;&gt;"","PASS","FAIL - Missing UPC")</f>
        <v>PASS</v>
      </c>
      <c r="N776" s="20" t="str">
        <f aca="false">IF(AND(G776&lt;&gt;"",H776&lt;&gt;""),IF("0"&amp;G776=H776,"PASS","FAIL - GTIN Mismatch"),"SKIP")</f>
        <v>PASS</v>
      </c>
      <c r="O776" s="20" t="str">
        <f aca="false">IF(I776="","FAIL - No Title",IF(LEN(I776)&lt;=126,"PASS","FAIL - Title &gt;"&amp;126&amp;" chars"))</f>
        <v>PASS</v>
      </c>
      <c r="P776" s="20" t="str">
        <f aca="false">IF(J776&gt;0,IF(J776&lt;5000,"PASS","FLAG - Review Price"),"FAIL - Zero Price")</f>
        <v>PASS</v>
      </c>
      <c r="Q776" s="20" t="str">
        <f aca="false">IF('Raw Catalog'!P774&lt;&gt;"","PASS","FAIL - No Image")</f>
        <v>PASS</v>
      </c>
      <c r="R776" s="20" t="str">
        <f aca="false">IF(F776&lt;&gt;"","PASS","FAIL - No Brand")</f>
        <v>PASS</v>
      </c>
      <c r="S776" s="20" t="str">
        <f aca="true">IF(K776="","FAIL - No Date",IF(TODAY()-DATEVALUE(K776)&lt;=180,"PASS","FLAG - Stale &gt;180d"))</f>
        <v>FLAG - Stale &gt;180d</v>
      </c>
      <c r="T776" s="20" t="n">
        <f aca="false">COUNTIF(M776:S776,"FAIL*")+COUNTIF(M776:S776,"FLAG*")</f>
        <v>1</v>
      </c>
      <c r="U776" s="20" t="str">
        <f aca="false">IF(T776=0,"CLEAN",IF(T776=1,"MINOR",IF(T776&lt;=3,"MODERATE","CRITICAL")))</f>
        <v>MINOR</v>
      </c>
      <c r="V776" s="20" t="str">
        <f aca="false">IF(U776="CLEAN","None",IF(U776="MINOR","Seller Notify",IF(U776="MODERATE","Listing Suspended","Immediate Removal")))</f>
        <v>Seller Notify</v>
      </c>
    </row>
    <row r="777" customFormat="false" ht="18" hidden="false" customHeight="true" outlineLevel="0" collapsed="false">
      <c r="A777" s="19" t="s">
        <v>6854</v>
      </c>
      <c r="B777" s="19" t="s">
        <v>4860</v>
      </c>
      <c r="C777" s="19" t="s">
        <v>77</v>
      </c>
      <c r="D777" s="19" t="s">
        <v>78</v>
      </c>
      <c r="E777" s="19" t="s">
        <v>50</v>
      </c>
      <c r="F777" s="19" t="s">
        <v>127</v>
      </c>
      <c r="G777" s="19" t="s">
        <v>4862</v>
      </c>
      <c r="H777" s="19" t="s">
        <v>4863</v>
      </c>
      <c r="I777" s="19" t="s">
        <v>4864</v>
      </c>
      <c r="J777" s="19" t="n">
        <v>1252.76</v>
      </c>
      <c r="K777" s="19" t="s">
        <v>1510</v>
      </c>
      <c r="L777" s="19"/>
      <c r="M777" s="20" t="str">
        <f aca="false">IF(G777&lt;&gt;"","PASS","FAIL - Missing UPC")</f>
        <v>PASS</v>
      </c>
      <c r="N777" s="20" t="str">
        <f aca="false">IF(AND(G777&lt;&gt;"",H777&lt;&gt;""),IF("0"&amp;G777=H777,"PASS","FAIL - GTIN Mismatch"),"SKIP")</f>
        <v>PASS</v>
      </c>
      <c r="O777" s="20" t="str">
        <f aca="false">IF(I777="","FAIL - No Title",IF(LEN(I777)&lt;=126,"PASS","FAIL - Title &gt;"&amp;126&amp;" chars"))</f>
        <v>PASS</v>
      </c>
      <c r="P777" s="20" t="str">
        <f aca="false">IF(J777&gt;0,IF(J777&lt;5000,"PASS","FLAG - Review Price"),"FAIL - Zero Price")</f>
        <v>PASS</v>
      </c>
      <c r="Q777" s="20" t="str">
        <f aca="false">IF('Raw Catalog'!P775&lt;&gt;"","PASS","FAIL - No Image")</f>
        <v>PASS</v>
      </c>
      <c r="R777" s="20" t="str">
        <f aca="false">IF(F777&lt;&gt;"","PASS","FAIL - No Brand")</f>
        <v>PASS</v>
      </c>
      <c r="S777" s="20" t="str">
        <f aca="true">IF(K777="","FAIL - No Date",IF(TODAY()-DATEVALUE(K777)&lt;=180,"PASS","FLAG - Stale &gt;180d"))</f>
        <v>FLAG - Stale &gt;180d</v>
      </c>
      <c r="T777" s="20" t="n">
        <f aca="false">COUNTIF(M777:S777,"FAIL*")+COUNTIF(M777:S777,"FLAG*")</f>
        <v>1</v>
      </c>
      <c r="U777" s="20" t="str">
        <f aca="false">IF(T777=0,"CLEAN",IF(T777=1,"MINOR",IF(T777&lt;=3,"MODERATE","CRITICAL")))</f>
        <v>MINOR</v>
      </c>
      <c r="V777" s="20" t="str">
        <f aca="false">IF(U777="CLEAN","None",IF(U777="MINOR","Seller Notify",IF(U777="MODERATE","Listing Suspended","Immediate Removal")))</f>
        <v>Seller Notify</v>
      </c>
    </row>
    <row r="778" customFormat="false" ht="18" hidden="false" customHeight="true" outlineLevel="0" collapsed="false">
      <c r="A778" s="19" t="s">
        <v>6855</v>
      </c>
      <c r="B778" s="19" t="s">
        <v>4866</v>
      </c>
      <c r="C778" s="19" t="s">
        <v>159</v>
      </c>
      <c r="D778" s="19" t="s">
        <v>160</v>
      </c>
      <c r="E778" s="19" t="s">
        <v>79</v>
      </c>
      <c r="F778" s="19" t="s">
        <v>51</v>
      </c>
      <c r="G778" s="19" t="s">
        <v>4868</v>
      </c>
      <c r="H778" s="19" t="s">
        <v>4869</v>
      </c>
      <c r="I778" s="19" t="s">
        <v>4870</v>
      </c>
      <c r="J778" s="19" t="n">
        <v>1092.34</v>
      </c>
      <c r="K778" s="19" t="s">
        <v>314</v>
      </c>
      <c r="L778" s="19"/>
      <c r="M778" s="20" t="str">
        <f aca="false">IF(G778&lt;&gt;"","PASS","FAIL - Missing UPC")</f>
        <v>PASS</v>
      </c>
      <c r="N778" s="20" t="str">
        <f aca="false">IF(AND(G778&lt;&gt;"",H778&lt;&gt;""),IF("0"&amp;G778=H778,"PASS","FAIL - GTIN Mismatch"),"SKIP")</f>
        <v>PASS</v>
      </c>
      <c r="O778" s="20" t="str">
        <f aca="false">IF(I778="","FAIL - No Title",IF(LEN(I778)&lt;=126,"PASS","FAIL - Title &gt;"&amp;126&amp;" chars"))</f>
        <v>PASS</v>
      </c>
      <c r="P778" s="20" t="str">
        <f aca="false">IF(J778&gt;0,IF(J778&lt;5000,"PASS","FLAG - Review Price"),"FAIL - Zero Price")</f>
        <v>PASS</v>
      </c>
      <c r="Q778" s="20" t="str">
        <f aca="false">IF('Raw Catalog'!P776&lt;&gt;"","PASS","FAIL - No Image")</f>
        <v>PASS</v>
      </c>
      <c r="R778" s="20" t="str">
        <f aca="false">IF(F778&lt;&gt;"","PASS","FAIL - No Brand")</f>
        <v>PASS</v>
      </c>
      <c r="S778" s="20" t="str">
        <f aca="true">IF(K778="","FAIL - No Date",IF(TODAY()-DATEVALUE(K778)&lt;=180,"PASS","FLAG - Stale &gt;180d"))</f>
        <v>FLAG - Stale &gt;180d</v>
      </c>
      <c r="T778" s="20" t="n">
        <f aca="false">COUNTIF(M778:S778,"FAIL*")+COUNTIF(M778:S778,"FLAG*")</f>
        <v>1</v>
      </c>
      <c r="U778" s="20" t="str">
        <f aca="false">IF(T778=0,"CLEAN",IF(T778=1,"MINOR",IF(T778&lt;=3,"MODERATE","CRITICAL")))</f>
        <v>MINOR</v>
      </c>
      <c r="V778" s="20" t="str">
        <f aca="false">IF(U778="CLEAN","None",IF(U778="MINOR","Seller Notify",IF(U778="MODERATE","Listing Suspended","Immediate Removal")))</f>
        <v>Seller Notify</v>
      </c>
    </row>
    <row r="779" customFormat="false" ht="18" hidden="false" customHeight="true" outlineLevel="0" collapsed="false">
      <c r="A779" s="19" t="s">
        <v>6856</v>
      </c>
      <c r="B779" s="19" t="s">
        <v>4872</v>
      </c>
      <c r="C779" s="19" t="s">
        <v>63</v>
      </c>
      <c r="D779" s="19" t="s">
        <v>64</v>
      </c>
      <c r="E779" s="19" t="s">
        <v>79</v>
      </c>
      <c r="F779" s="19" t="s">
        <v>51</v>
      </c>
      <c r="G779" s="19" t="s">
        <v>4874</v>
      </c>
      <c r="H779" s="19" t="s">
        <v>4875</v>
      </c>
      <c r="I779" s="19" t="s">
        <v>4876</v>
      </c>
      <c r="J779" s="19" t="n">
        <v>1868.47</v>
      </c>
      <c r="K779" s="19" t="s">
        <v>1450</v>
      </c>
      <c r="L779" s="19"/>
      <c r="M779" s="20" t="str">
        <f aca="false">IF(G779&lt;&gt;"","PASS","FAIL - Missing UPC")</f>
        <v>PASS</v>
      </c>
      <c r="N779" s="20" t="str">
        <f aca="false">IF(AND(G779&lt;&gt;"",H779&lt;&gt;""),IF("0"&amp;G779=H779,"PASS","FAIL - GTIN Mismatch"),"SKIP")</f>
        <v>PASS</v>
      </c>
      <c r="O779" s="20" t="str">
        <f aca="false">IF(I779="","FAIL - No Title",IF(LEN(I779)&lt;=126,"PASS","FAIL - Title &gt;"&amp;126&amp;" chars"))</f>
        <v>PASS</v>
      </c>
      <c r="P779" s="20" t="str">
        <f aca="false">IF(J779&gt;0,IF(J779&lt;5000,"PASS","FLAG - Review Price"),"FAIL - Zero Price")</f>
        <v>PASS</v>
      </c>
      <c r="Q779" s="20" t="str">
        <f aca="false">IF('Raw Catalog'!P777&lt;&gt;"","PASS","FAIL - No Image")</f>
        <v>PASS</v>
      </c>
      <c r="R779" s="20" t="str">
        <f aca="false">IF(F779&lt;&gt;"","PASS","FAIL - No Brand")</f>
        <v>PASS</v>
      </c>
      <c r="S779" s="20" t="str">
        <f aca="true">IF(K779="","FAIL - No Date",IF(TODAY()-DATEVALUE(K779)&lt;=180,"PASS","FLAG - Stale &gt;180d"))</f>
        <v>FLAG - Stale &gt;180d</v>
      </c>
      <c r="T779" s="20" t="n">
        <f aca="false">COUNTIF(M779:S779,"FAIL*")+COUNTIF(M779:S779,"FLAG*")</f>
        <v>1</v>
      </c>
      <c r="U779" s="20" t="str">
        <f aca="false">IF(T779=0,"CLEAN",IF(T779=1,"MINOR",IF(T779&lt;=3,"MODERATE","CRITICAL")))</f>
        <v>MINOR</v>
      </c>
      <c r="V779" s="20" t="str">
        <f aca="false">IF(U779="CLEAN","None",IF(U779="MINOR","Seller Notify",IF(U779="MODERATE","Listing Suspended","Immediate Removal")))</f>
        <v>Seller Notify</v>
      </c>
    </row>
    <row r="780" customFormat="false" ht="18" hidden="false" customHeight="true" outlineLevel="0" collapsed="false">
      <c r="A780" s="19" t="s">
        <v>6857</v>
      </c>
      <c r="B780" s="19" t="s">
        <v>4877</v>
      </c>
      <c r="C780" s="19" t="s">
        <v>113</v>
      </c>
      <c r="D780" s="19" t="s">
        <v>114</v>
      </c>
      <c r="E780" s="19" t="s">
        <v>79</v>
      </c>
      <c r="F780" s="19" t="s">
        <v>127</v>
      </c>
      <c r="G780" s="19" t="s">
        <v>4879</v>
      </c>
      <c r="H780" s="19" t="s">
        <v>4880</v>
      </c>
      <c r="I780" s="19" t="s">
        <v>4881</v>
      </c>
      <c r="J780" s="19" t="n">
        <v>1462.93</v>
      </c>
      <c r="K780" s="19" t="s">
        <v>576</v>
      </c>
      <c r="L780" s="21" t="s">
        <v>283</v>
      </c>
      <c r="M780" s="20" t="str">
        <f aca="false">IF(G780&lt;&gt;"","PASS","FAIL - Missing UPC")</f>
        <v>PASS</v>
      </c>
      <c r="N780" s="20" t="str">
        <f aca="false">IF(AND(G780&lt;&gt;"",H780&lt;&gt;""),IF("0"&amp;G780=H780,"PASS","FAIL - GTIN Mismatch"),"SKIP")</f>
        <v>PASS</v>
      </c>
      <c r="O780" s="20" t="str">
        <f aca="false">IF(I780="","FAIL - No Title",IF(LEN(I780)&lt;=126,"PASS","FAIL - Title &gt;"&amp;126&amp;" chars"))</f>
        <v>PASS</v>
      </c>
      <c r="P780" s="20" t="str">
        <f aca="false">IF(J780&gt;0,IF(J780&lt;5000,"PASS","FLAG - Review Price"),"FAIL - Zero Price")</f>
        <v>PASS</v>
      </c>
      <c r="Q780" s="20" t="str">
        <f aca="false">IF('Raw Catalog'!P778&lt;&gt;"","PASS","FAIL - No Image")</f>
        <v>PASS</v>
      </c>
      <c r="R780" s="20" t="str">
        <f aca="false">IF(F780&lt;&gt;"","PASS","FAIL - No Brand")</f>
        <v>PASS</v>
      </c>
      <c r="S780" s="20" t="str">
        <f aca="true">IF(K780="","FAIL - No Date",IF(TODAY()-DATEVALUE(K780)&lt;=180,"PASS","FLAG - Stale &gt;180d"))</f>
        <v>FLAG - Stale &gt;180d</v>
      </c>
      <c r="T780" s="20" t="n">
        <f aca="false">COUNTIF(M780:S780,"FAIL*")+COUNTIF(M780:S780,"FLAG*")</f>
        <v>1</v>
      </c>
      <c r="U780" s="20" t="str">
        <f aca="false">IF(T780=0,"CLEAN",IF(T780=1,"MINOR",IF(T780&lt;=3,"MODERATE","CRITICAL")))</f>
        <v>MINOR</v>
      </c>
      <c r="V780" s="20" t="str">
        <f aca="false">IF(U780="CLEAN","None",IF(U780="MINOR","Seller Notify",IF(U780="MODERATE","Listing Suspended","Immediate Removal")))</f>
        <v>Seller Notify</v>
      </c>
    </row>
    <row r="781" customFormat="false" ht="18" hidden="false" customHeight="true" outlineLevel="0" collapsed="false">
      <c r="A781" s="19" t="s">
        <v>6858</v>
      </c>
      <c r="B781" s="19" t="s">
        <v>4882</v>
      </c>
      <c r="C781" s="19" t="s">
        <v>48</v>
      </c>
      <c r="D781" s="19" t="s">
        <v>49</v>
      </c>
      <c r="E781" s="19" t="s">
        <v>50</v>
      </c>
      <c r="F781" s="19" t="s">
        <v>127</v>
      </c>
      <c r="G781" s="19" t="s">
        <v>4884</v>
      </c>
      <c r="H781" s="19" t="s">
        <v>4885</v>
      </c>
      <c r="I781" s="19" t="s">
        <v>4886</v>
      </c>
      <c r="J781" s="19" t="n">
        <v>387.95</v>
      </c>
      <c r="K781" s="19" t="s">
        <v>611</v>
      </c>
      <c r="L781" s="19"/>
      <c r="M781" s="20" t="str">
        <f aca="false">IF(G781&lt;&gt;"","PASS","FAIL - Missing UPC")</f>
        <v>PASS</v>
      </c>
      <c r="N781" s="20" t="str">
        <f aca="false">IF(AND(G781&lt;&gt;"",H781&lt;&gt;""),IF("0"&amp;G781=H781,"PASS","FAIL - GTIN Mismatch"),"SKIP")</f>
        <v>PASS</v>
      </c>
      <c r="O781" s="20" t="str">
        <f aca="false">IF(I781="","FAIL - No Title",IF(LEN(I781)&lt;=126,"PASS","FAIL - Title &gt;"&amp;126&amp;" chars"))</f>
        <v>PASS</v>
      </c>
      <c r="P781" s="20" t="str">
        <f aca="false">IF(J781&gt;0,IF(J781&lt;5000,"PASS","FLAG - Review Price"),"FAIL - Zero Price")</f>
        <v>PASS</v>
      </c>
      <c r="Q781" s="20" t="str">
        <f aca="false">IF('Raw Catalog'!P779&lt;&gt;"","PASS","FAIL - No Image")</f>
        <v>PASS</v>
      </c>
      <c r="R781" s="20" t="str">
        <f aca="false">IF(F781&lt;&gt;"","PASS","FAIL - No Brand")</f>
        <v>PASS</v>
      </c>
      <c r="S781" s="20" t="str">
        <f aca="true">IF(K781="","FAIL - No Date",IF(TODAY()-DATEVALUE(K781)&lt;=180,"PASS","FLAG - Stale &gt;180d"))</f>
        <v>FLAG - Stale &gt;180d</v>
      </c>
      <c r="T781" s="20" t="n">
        <f aca="false">COUNTIF(M781:S781,"FAIL*")+COUNTIF(M781:S781,"FLAG*")</f>
        <v>1</v>
      </c>
      <c r="U781" s="20" t="str">
        <f aca="false">IF(T781=0,"CLEAN",IF(T781=1,"MINOR",IF(T781&lt;=3,"MODERATE","CRITICAL")))</f>
        <v>MINOR</v>
      </c>
      <c r="V781" s="20" t="str">
        <f aca="false">IF(U781="CLEAN","None",IF(U781="MINOR","Seller Notify",IF(U781="MODERATE","Listing Suspended","Immediate Removal")))</f>
        <v>Seller Notify</v>
      </c>
    </row>
    <row r="782" customFormat="false" ht="18" hidden="false" customHeight="true" outlineLevel="0" collapsed="false">
      <c r="A782" s="19" t="s">
        <v>6859</v>
      </c>
      <c r="B782" s="19" t="s">
        <v>4888</v>
      </c>
      <c r="C782" s="19" t="s">
        <v>77</v>
      </c>
      <c r="D782" s="19" t="s">
        <v>78</v>
      </c>
      <c r="E782" s="19" t="s">
        <v>65</v>
      </c>
      <c r="F782" s="19" t="s">
        <v>138</v>
      </c>
      <c r="G782" s="19" t="s">
        <v>4890</v>
      </c>
      <c r="H782" s="19" t="s">
        <v>4891</v>
      </c>
      <c r="I782" s="19" t="s">
        <v>4732</v>
      </c>
      <c r="J782" s="19" t="n">
        <v>499.97</v>
      </c>
      <c r="K782" s="19" t="s">
        <v>4892</v>
      </c>
      <c r="L782" s="21" t="s">
        <v>453</v>
      </c>
      <c r="M782" s="20" t="str">
        <f aca="false">IF(G782&lt;&gt;"","PASS","FAIL - Missing UPC")</f>
        <v>PASS</v>
      </c>
      <c r="N782" s="20" t="str">
        <f aca="false">IF(AND(G782&lt;&gt;"",H782&lt;&gt;""),IF("0"&amp;G782=H782,"PASS","FAIL - GTIN Mismatch"),"SKIP")</f>
        <v>PASS</v>
      </c>
      <c r="O782" s="20" t="str">
        <f aca="false">IF(I782="","FAIL - No Title",IF(LEN(I782)&lt;=126,"PASS","FAIL - Title &gt;"&amp;126&amp;" chars"))</f>
        <v>PASS</v>
      </c>
      <c r="P782" s="20" t="str">
        <f aca="false">IF(J782&gt;0,IF(J782&lt;5000,"PASS","FLAG - Review Price"),"FAIL - Zero Price")</f>
        <v>PASS</v>
      </c>
      <c r="Q782" s="20" t="str">
        <f aca="false">IF('Raw Catalog'!P780&lt;&gt;"","PASS","FAIL - No Image")</f>
        <v>PASS</v>
      </c>
      <c r="R782" s="20" t="str">
        <f aca="false">IF(F782&lt;&gt;"","PASS","FAIL - No Brand")</f>
        <v>PASS</v>
      </c>
      <c r="S782" s="20" t="str">
        <f aca="true">IF(K782="","FAIL - No Date",IF(TODAY()-DATEVALUE(K782)&lt;=180,"PASS","FLAG - Stale &gt;180d"))</f>
        <v>FLAG - Stale &gt;180d</v>
      </c>
      <c r="T782" s="20" t="n">
        <f aca="false">COUNTIF(M782:S782,"FAIL*")+COUNTIF(M782:S782,"FLAG*")</f>
        <v>1</v>
      </c>
      <c r="U782" s="20" t="str">
        <f aca="false">IF(T782=0,"CLEAN",IF(T782=1,"MINOR",IF(T782&lt;=3,"MODERATE","CRITICAL")))</f>
        <v>MINOR</v>
      </c>
      <c r="V782" s="20" t="str">
        <f aca="false">IF(U782="CLEAN","None",IF(U782="MINOR","Seller Notify",IF(U782="MODERATE","Listing Suspended","Immediate Removal")))</f>
        <v>Seller Notify</v>
      </c>
    </row>
    <row r="783" customFormat="false" ht="18" hidden="false" customHeight="true" outlineLevel="0" collapsed="false">
      <c r="A783" s="19" t="s">
        <v>6860</v>
      </c>
      <c r="B783" s="19" t="s">
        <v>4081</v>
      </c>
      <c r="C783" s="19" t="s">
        <v>77</v>
      </c>
      <c r="D783" s="19" t="s">
        <v>78</v>
      </c>
      <c r="E783" s="19" t="s">
        <v>79</v>
      </c>
      <c r="F783" s="19" t="s">
        <v>1531</v>
      </c>
      <c r="G783" s="19" t="s">
        <v>4083</v>
      </c>
      <c r="H783" s="19" t="s">
        <v>4084</v>
      </c>
      <c r="I783" s="19" t="s">
        <v>4085</v>
      </c>
      <c r="J783" s="19" t="n">
        <v>537.51</v>
      </c>
      <c r="K783" s="19" t="s">
        <v>3708</v>
      </c>
      <c r="L783" s="19"/>
      <c r="M783" s="20" t="str">
        <f aca="false">IF(G783&lt;&gt;"","PASS","FAIL - Missing UPC")</f>
        <v>PASS</v>
      </c>
      <c r="N783" s="20" t="str">
        <f aca="false">IF(AND(G783&lt;&gt;"",H783&lt;&gt;""),IF("0"&amp;G783=H783,"PASS","FAIL - GTIN Mismatch"),"SKIP")</f>
        <v>PASS</v>
      </c>
      <c r="O783" s="20" t="str">
        <f aca="false">IF(I783="","FAIL - No Title",IF(LEN(I783)&lt;=126,"PASS","FAIL - Title &gt;"&amp;126&amp;" chars"))</f>
        <v>PASS</v>
      </c>
      <c r="P783" s="20" t="str">
        <f aca="false">IF(J783&gt;0,IF(J783&lt;5000,"PASS","FLAG - Review Price"),"FAIL - Zero Price")</f>
        <v>PASS</v>
      </c>
      <c r="Q783" s="20" t="str">
        <f aca="false">IF('Raw Catalog'!P781&lt;&gt;"","PASS","FAIL - No Image")</f>
        <v>PASS</v>
      </c>
      <c r="R783" s="20" t="str">
        <f aca="false">IF(F783&lt;&gt;"","PASS","FAIL - No Brand")</f>
        <v>PASS</v>
      </c>
      <c r="S783" s="20" t="str">
        <f aca="true">IF(K783="","FAIL - No Date",IF(TODAY()-DATEVALUE(K783)&lt;=180,"PASS","FLAG - Stale &gt;180d"))</f>
        <v>FLAG - Stale &gt;180d</v>
      </c>
      <c r="T783" s="20" t="n">
        <f aca="false">COUNTIF(M783:S783,"FAIL*")+COUNTIF(M783:S783,"FLAG*")</f>
        <v>1</v>
      </c>
      <c r="U783" s="20" t="str">
        <f aca="false">IF(T783=0,"CLEAN",IF(T783=1,"MINOR",IF(T783&lt;=3,"MODERATE","CRITICAL")))</f>
        <v>MINOR</v>
      </c>
      <c r="V783" s="20" t="str">
        <f aca="false">IF(U783="CLEAN","None",IF(U783="MINOR","Seller Notify",IF(U783="MODERATE","Listing Suspended","Immediate Removal")))</f>
        <v>Seller Notify</v>
      </c>
    </row>
    <row r="784" customFormat="false" ht="18" hidden="false" customHeight="true" outlineLevel="0" collapsed="false">
      <c r="A784" s="19" t="s">
        <v>6861</v>
      </c>
      <c r="B784" s="19" t="s">
        <v>4893</v>
      </c>
      <c r="C784" s="19" t="s">
        <v>63</v>
      </c>
      <c r="D784" s="19" t="s">
        <v>64</v>
      </c>
      <c r="E784" s="19" t="s">
        <v>79</v>
      </c>
      <c r="F784" s="19" t="s">
        <v>465</v>
      </c>
      <c r="G784" s="19" t="s">
        <v>4895</v>
      </c>
      <c r="H784" s="19" t="s">
        <v>4896</v>
      </c>
      <c r="I784" s="19" t="s">
        <v>4897</v>
      </c>
      <c r="J784" s="19" t="n">
        <v>923.04</v>
      </c>
      <c r="K784" s="19" t="s">
        <v>2950</v>
      </c>
      <c r="L784" s="19"/>
      <c r="M784" s="20" t="str">
        <f aca="false">IF(G784&lt;&gt;"","PASS","FAIL - Missing UPC")</f>
        <v>PASS</v>
      </c>
      <c r="N784" s="20" t="str">
        <f aca="false">IF(AND(G784&lt;&gt;"",H784&lt;&gt;""),IF("0"&amp;G784=H784,"PASS","FAIL - GTIN Mismatch"),"SKIP")</f>
        <v>PASS</v>
      </c>
      <c r="O784" s="20" t="str">
        <f aca="false">IF(I784="","FAIL - No Title",IF(LEN(I784)&lt;=126,"PASS","FAIL - Title &gt;"&amp;126&amp;" chars"))</f>
        <v>PASS</v>
      </c>
      <c r="P784" s="20" t="str">
        <f aca="false">IF(J784&gt;0,IF(J784&lt;5000,"PASS","FLAG - Review Price"),"FAIL - Zero Price")</f>
        <v>PASS</v>
      </c>
      <c r="Q784" s="20" t="str">
        <f aca="false">IF('Raw Catalog'!P782&lt;&gt;"","PASS","FAIL - No Image")</f>
        <v>PASS</v>
      </c>
      <c r="R784" s="20" t="str">
        <f aca="false">IF(F784&lt;&gt;"","PASS","FAIL - No Brand")</f>
        <v>PASS</v>
      </c>
      <c r="S784" s="20" t="str">
        <f aca="true">IF(K784="","FAIL - No Date",IF(TODAY()-DATEVALUE(K784)&lt;=180,"PASS","FLAG - Stale &gt;180d"))</f>
        <v>FLAG - Stale &gt;180d</v>
      </c>
      <c r="T784" s="20" t="n">
        <f aca="false">COUNTIF(M784:S784,"FAIL*")+COUNTIF(M784:S784,"FLAG*")</f>
        <v>1</v>
      </c>
      <c r="U784" s="20" t="str">
        <f aca="false">IF(T784=0,"CLEAN",IF(T784=1,"MINOR",IF(T784&lt;=3,"MODERATE","CRITICAL")))</f>
        <v>MINOR</v>
      </c>
      <c r="V784" s="20" t="str">
        <f aca="false">IF(U784="CLEAN","None",IF(U784="MINOR","Seller Notify",IF(U784="MODERATE","Listing Suspended","Immediate Removal")))</f>
        <v>Seller Notify</v>
      </c>
    </row>
    <row r="785" customFormat="false" ht="18" hidden="false" customHeight="true" outlineLevel="0" collapsed="false">
      <c r="A785" s="19" t="s">
        <v>6862</v>
      </c>
      <c r="B785" s="19" t="s">
        <v>4898</v>
      </c>
      <c r="C785" s="19" t="s">
        <v>77</v>
      </c>
      <c r="D785" s="19" t="s">
        <v>78</v>
      </c>
      <c r="E785" s="19" t="s">
        <v>65</v>
      </c>
      <c r="F785" s="19" t="s">
        <v>245</v>
      </c>
      <c r="G785" s="19" t="s">
        <v>4900</v>
      </c>
      <c r="H785" s="19" t="s">
        <v>4901</v>
      </c>
      <c r="I785" s="19" t="s">
        <v>4060</v>
      </c>
      <c r="J785" s="19" t="n">
        <v>423.41</v>
      </c>
      <c r="K785" s="19" t="s">
        <v>3728</v>
      </c>
      <c r="L785" s="21" t="s">
        <v>1014</v>
      </c>
      <c r="M785" s="20" t="str">
        <f aca="false">IF(G785&lt;&gt;"","PASS","FAIL - Missing UPC")</f>
        <v>PASS</v>
      </c>
      <c r="N785" s="20" t="str">
        <f aca="false">IF(AND(G785&lt;&gt;"",H785&lt;&gt;""),IF("0"&amp;G785=H785,"PASS","FAIL - GTIN Mismatch"),"SKIP")</f>
        <v>PASS</v>
      </c>
      <c r="O785" s="20" t="str">
        <f aca="false">IF(I785="","FAIL - No Title",IF(LEN(I785)&lt;=126,"PASS","FAIL - Title &gt;"&amp;126&amp;" chars"))</f>
        <v>PASS</v>
      </c>
      <c r="P785" s="20" t="str">
        <f aca="false">IF(J785&gt;0,IF(J785&lt;5000,"PASS","FLAG - Review Price"),"FAIL - Zero Price")</f>
        <v>PASS</v>
      </c>
      <c r="Q785" s="20" t="str">
        <f aca="false">IF('Raw Catalog'!P783&lt;&gt;"","PASS","FAIL - No Image")</f>
        <v>FAIL - No Image</v>
      </c>
      <c r="R785" s="20" t="str">
        <f aca="false">IF(F785&lt;&gt;"","PASS","FAIL - No Brand")</f>
        <v>PASS</v>
      </c>
      <c r="S785" s="20" t="str">
        <f aca="true">IF(K785="","FAIL - No Date",IF(TODAY()-DATEVALUE(K785)&lt;=180,"PASS","FLAG - Stale &gt;180d"))</f>
        <v>FLAG - Stale &gt;180d</v>
      </c>
      <c r="T785" s="20" t="n">
        <f aca="false">COUNTIF(M785:S785,"FAIL*")+COUNTIF(M785:S785,"FLAG*")</f>
        <v>2</v>
      </c>
      <c r="U785" s="20" t="str">
        <f aca="false">IF(T785=0,"CLEAN",IF(T785=1,"MINOR",IF(T785&lt;=3,"MODERATE","CRITICAL")))</f>
        <v>MODERATE</v>
      </c>
      <c r="V785" s="20" t="str">
        <f aca="false">IF(U785="CLEAN","None",IF(U785="MINOR","Seller Notify",IF(U785="MODERATE","Listing Suspended","Immediate Removal")))</f>
        <v>Listing Suspended</v>
      </c>
    </row>
    <row r="786" customFormat="false" ht="18" hidden="false" customHeight="true" outlineLevel="0" collapsed="false">
      <c r="A786" s="19" t="s">
        <v>6863</v>
      </c>
      <c r="B786" s="19" t="s">
        <v>4902</v>
      </c>
      <c r="C786" s="19" t="s">
        <v>48</v>
      </c>
      <c r="D786" s="19" t="s">
        <v>49</v>
      </c>
      <c r="E786" s="19" t="s">
        <v>79</v>
      </c>
      <c r="F786" s="19" t="s">
        <v>127</v>
      </c>
      <c r="G786" s="19" t="s">
        <v>4904</v>
      </c>
      <c r="H786" s="19" t="s">
        <v>4905</v>
      </c>
      <c r="I786" s="19" t="s">
        <v>1440</v>
      </c>
      <c r="J786" s="19" t="n">
        <v>597.59</v>
      </c>
      <c r="K786" s="19" t="s">
        <v>1510</v>
      </c>
      <c r="L786" s="19"/>
      <c r="M786" s="20" t="str">
        <f aca="false">IF(G786&lt;&gt;"","PASS","FAIL - Missing UPC")</f>
        <v>PASS</v>
      </c>
      <c r="N786" s="20" t="str">
        <f aca="false">IF(AND(G786&lt;&gt;"",H786&lt;&gt;""),IF("0"&amp;G786=H786,"PASS","FAIL - GTIN Mismatch"),"SKIP")</f>
        <v>PASS</v>
      </c>
      <c r="O786" s="20" t="str">
        <f aca="false">IF(I786="","FAIL - No Title",IF(LEN(I786)&lt;=126,"PASS","FAIL - Title &gt;"&amp;126&amp;" chars"))</f>
        <v>PASS</v>
      </c>
      <c r="P786" s="20" t="str">
        <f aca="false">IF(J786&gt;0,IF(J786&lt;5000,"PASS","FLAG - Review Price"),"FAIL - Zero Price")</f>
        <v>PASS</v>
      </c>
      <c r="Q786" s="20" t="str">
        <f aca="false">IF('Raw Catalog'!P784&lt;&gt;"","PASS","FAIL - No Image")</f>
        <v>PASS</v>
      </c>
      <c r="R786" s="20" t="str">
        <f aca="false">IF(F786&lt;&gt;"","PASS","FAIL - No Brand")</f>
        <v>PASS</v>
      </c>
      <c r="S786" s="20" t="str">
        <f aca="true">IF(K786="","FAIL - No Date",IF(TODAY()-DATEVALUE(K786)&lt;=180,"PASS","FLAG - Stale &gt;180d"))</f>
        <v>FLAG - Stale &gt;180d</v>
      </c>
      <c r="T786" s="20" t="n">
        <f aca="false">COUNTIF(M786:S786,"FAIL*")+COUNTIF(M786:S786,"FLAG*")</f>
        <v>1</v>
      </c>
      <c r="U786" s="20" t="str">
        <f aca="false">IF(T786=0,"CLEAN",IF(T786=1,"MINOR",IF(T786&lt;=3,"MODERATE","CRITICAL")))</f>
        <v>MINOR</v>
      </c>
      <c r="V786" s="20" t="str">
        <f aca="false">IF(U786="CLEAN","None",IF(U786="MINOR","Seller Notify",IF(U786="MODERATE","Listing Suspended","Immediate Removal")))</f>
        <v>Seller Notify</v>
      </c>
    </row>
    <row r="787" customFormat="false" ht="18" hidden="false" customHeight="true" outlineLevel="0" collapsed="false">
      <c r="A787" s="19" t="s">
        <v>6864</v>
      </c>
      <c r="B787" s="19" t="s">
        <v>4906</v>
      </c>
      <c r="C787" s="19" t="s">
        <v>255</v>
      </c>
      <c r="D787" s="19" t="s">
        <v>256</v>
      </c>
      <c r="E787" s="19" t="s">
        <v>161</v>
      </c>
      <c r="F787" s="19" t="s">
        <v>822</v>
      </c>
      <c r="G787" s="19" t="s">
        <v>4908</v>
      </c>
      <c r="H787" s="19" t="s">
        <v>4909</v>
      </c>
      <c r="I787" s="19" t="s">
        <v>4910</v>
      </c>
      <c r="J787" s="19" t="n">
        <v>290.13</v>
      </c>
      <c r="K787" s="19" t="s">
        <v>1845</v>
      </c>
      <c r="L787" s="19"/>
      <c r="M787" s="20" t="str">
        <f aca="false">IF(G787&lt;&gt;"","PASS","FAIL - Missing UPC")</f>
        <v>PASS</v>
      </c>
      <c r="N787" s="20" t="str">
        <f aca="false">IF(AND(G787&lt;&gt;"",H787&lt;&gt;""),IF("0"&amp;G787=H787,"PASS","FAIL - GTIN Mismatch"),"SKIP")</f>
        <v>PASS</v>
      </c>
      <c r="O787" s="20" t="str">
        <f aca="false">IF(I787="","FAIL - No Title",IF(LEN(I787)&lt;=126,"PASS","FAIL - Title &gt;"&amp;126&amp;" chars"))</f>
        <v>PASS</v>
      </c>
      <c r="P787" s="20" t="str">
        <f aca="false">IF(J787&gt;0,IF(J787&lt;5000,"PASS","FLAG - Review Price"),"FAIL - Zero Price")</f>
        <v>PASS</v>
      </c>
      <c r="Q787" s="20" t="str">
        <f aca="false">IF('Raw Catalog'!P785&lt;&gt;"","PASS","FAIL - No Image")</f>
        <v>PASS</v>
      </c>
      <c r="R787" s="20" t="str">
        <f aca="false">IF(F787&lt;&gt;"","PASS","FAIL - No Brand")</f>
        <v>PASS</v>
      </c>
      <c r="S787" s="20" t="str">
        <f aca="true">IF(K787="","FAIL - No Date",IF(TODAY()-DATEVALUE(K787)&lt;=180,"PASS","FLAG - Stale &gt;180d"))</f>
        <v>FLAG - Stale &gt;180d</v>
      </c>
      <c r="T787" s="20" t="n">
        <f aca="false">COUNTIF(M787:S787,"FAIL*")+COUNTIF(M787:S787,"FLAG*")</f>
        <v>1</v>
      </c>
      <c r="U787" s="20" t="str">
        <f aca="false">IF(T787=0,"CLEAN",IF(T787=1,"MINOR",IF(T787&lt;=3,"MODERATE","CRITICAL")))</f>
        <v>MINOR</v>
      </c>
      <c r="V787" s="20" t="str">
        <f aca="false">IF(U787="CLEAN","None",IF(U787="MINOR","Seller Notify",IF(U787="MODERATE","Listing Suspended","Immediate Removal")))</f>
        <v>Seller Notify</v>
      </c>
    </row>
    <row r="788" customFormat="false" ht="18" hidden="false" customHeight="true" outlineLevel="0" collapsed="false">
      <c r="A788" s="19" t="s">
        <v>6865</v>
      </c>
      <c r="B788" s="19" t="s">
        <v>4911</v>
      </c>
      <c r="C788" s="19" t="s">
        <v>159</v>
      </c>
      <c r="D788" s="19" t="s">
        <v>160</v>
      </c>
      <c r="E788" s="19" t="s">
        <v>79</v>
      </c>
      <c r="F788" s="19" t="s">
        <v>306</v>
      </c>
      <c r="G788" s="19" t="s">
        <v>4913</v>
      </c>
      <c r="H788" s="19" t="s">
        <v>4914</v>
      </c>
      <c r="I788" s="19" t="s">
        <v>1121</v>
      </c>
      <c r="J788" s="19" t="n">
        <v>485.14</v>
      </c>
      <c r="K788" s="19" t="s">
        <v>1957</v>
      </c>
      <c r="L788" s="21" t="s">
        <v>453</v>
      </c>
      <c r="M788" s="20" t="str">
        <f aca="false">IF(G788&lt;&gt;"","PASS","FAIL - Missing UPC")</f>
        <v>PASS</v>
      </c>
      <c r="N788" s="20" t="str">
        <f aca="false">IF(AND(G788&lt;&gt;"",H788&lt;&gt;""),IF("0"&amp;G788=H788,"PASS","FAIL - GTIN Mismatch"),"SKIP")</f>
        <v>PASS</v>
      </c>
      <c r="O788" s="20" t="str">
        <f aca="false">IF(I788="","FAIL - No Title",IF(LEN(I788)&lt;=126,"PASS","FAIL - Title &gt;"&amp;126&amp;" chars"))</f>
        <v>PASS</v>
      </c>
      <c r="P788" s="20" t="str">
        <f aca="false">IF(J788&gt;0,IF(J788&lt;5000,"PASS","FLAG - Review Price"),"FAIL - Zero Price")</f>
        <v>PASS</v>
      </c>
      <c r="Q788" s="20" t="str">
        <f aca="false">IF('Raw Catalog'!P786&lt;&gt;"","PASS","FAIL - No Image")</f>
        <v>PASS</v>
      </c>
      <c r="R788" s="20" t="str">
        <f aca="false">IF(F788&lt;&gt;"","PASS","FAIL - No Brand")</f>
        <v>PASS</v>
      </c>
      <c r="S788" s="20" t="str">
        <f aca="true">IF(K788="","FAIL - No Date",IF(TODAY()-DATEVALUE(K788)&lt;=180,"PASS","FLAG - Stale &gt;180d"))</f>
        <v>FLAG - Stale &gt;180d</v>
      </c>
      <c r="T788" s="20" t="n">
        <f aca="false">COUNTIF(M788:S788,"FAIL*")+COUNTIF(M788:S788,"FLAG*")</f>
        <v>1</v>
      </c>
      <c r="U788" s="20" t="str">
        <f aca="false">IF(T788=0,"CLEAN",IF(T788=1,"MINOR",IF(T788&lt;=3,"MODERATE","CRITICAL")))</f>
        <v>MINOR</v>
      </c>
      <c r="V788" s="20" t="str">
        <f aca="false">IF(U788="CLEAN","None",IF(U788="MINOR","Seller Notify",IF(U788="MODERATE","Listing Suspended","Immediate Removal")))</f>
        <v>Seller Notify</v>
      </c>
    </row>
    <row r="789" customFormat="false" ht="18" hidden="false" customHeight="true" outlineLevel="0" collapsed="false">
      <c r="A789" s="19" t="s">
        <v>6866</v>
      </c>
      <c r="B789" s="19" t="s">
        <v>4916</v>
      </c>
      <c r="C789" s="19" t="s">
        <v>113</v>
      </c>
      <c r="D789" s="19" t="s">
        <v>114</v>
      </c>
      <c r="E789" s="19" t="s">
        <v>79</v>
      </c>
      <c r="F789" s="19" t="s">
        <v>127</v>
      </c>
      <c r="G789" s="19" t="s">
        <v>4918</v>
      </c>
      <c r="H789" s="19" t="s">
        <v>4919</v>
      </c>
      <c r="I789" s="19" t="s">
        <v>4920</v>
      </c>
      <c r="J789" s="19" t="n">
        <v>654.03</v>
      </c>
      <c r="K789" s="19" t="s">
        <v>452</v>
      </c>
      <c r="L789" s="19"/>
      <c r="M789" s="20" t="str">
        <f aca="false">IF(G789&lt;&gt;"","PASS","FAIL - Missing UPC")</f>
        <v>PASS</v>
      </c>
      <c r="N789" s="20" t="str">
        <f aca="false">IF(AND(G789&lt;&gt;"",H789&lt;&gt;""),IF("0"&amp;G789=H789,"PASS","FAIL - GTIN Mismatch"),"SKIP")</f>
        <v>PASS</v>
      </c>
      <c r="O789" s="20" t="str">
        <f aca="false">IF(I789="","FAIL - No Title",IF(LEN(I789)&lt;=126,"PASS","FAIL - Title &gt;"&amp;126&amp;" chars"))</f>
        <v>PASS</v>
      </c>
      <c r="P789" s="20" t="str">
        <f aca="false">IF(J789&gt;0,IF(J789&lt;5000,"PASS","FLAG - Review Price"),"FAIL - Zero Price")</f>
        <v>PASS</v>
      </c>
      <c r="Q789" s="20" t="str">
        <f aca="false">IF('Raw Catalog'!P787&lt;&gt;"","PASS","FAIL - No Image")</f>
        <v>PASS</v>
      </c>
      <c r="R789" s="20" t="str">
        <f aca="false">IF(F789&lt;&gt;"","PASS","FAIL - No Brand")</f>
        <v>PASS</v>
      </c>
      <c r="S789" s="20" t="str">
        <f aca="true">IF(K789="","FAIL - No Date",IF(TODAY()-DATEVALUE(K789)&lt;=180,"PASS","FLAG - Stale &gt;180d"))</f>
        <v>FLAG - Stale &gt;180d</v>
      </c>
      <c r="T789" s="20" t="n">
        <f aca="false">COUNTIF(M789:S789,"FAIL*")+COUNTIF(M789:S789,"FLAG*")</f>
        <v>1</v>
      </c>
      <c r="U789" s="20" t="str">
        <f aca="false">IF(T789=0,"CLEAN",IF(T789=1,"MINOR",IF(T789&lt;=3,"MODERATE","CRITICAL")))</f>
        <v>MINOR</v>
      </c>
      <c r="V789" s="20" t="str">
        <f aca="false">IF(U789="CLEAN","None",IF(U789="MINOR","Seller Notify",IF(U789="MODERATE","Listing Suspended","Immediate Removal")))</f>
        <v>Seller Notify</v>
      </c>
    </row>
    <row r="790" customFormat="false" ht="18" hidden="false" customHeight="true" outlineLevel="0" collapsed="false">
      <c r="A790" s="19" t="s">
        <v>6867</v>
      </c>
      <c r="B790" s="19" t="s">
        <v>4922</v>
      </c>
      <c r="C790" s="19" t="s">
        <v>159</v>
      </c>
      <c r="D790" s="19" t="s">
        <v>160</v>
      </c>
      <c r="E790" s="19" t="s">
        <v>79</v>
      </c>
      <c r="F790" s="19" t="s">
        <v>196</v>
      </c>
      <c r="G790" s="19" t="s">
        <v>4924</v>
      </c>
      <c r="H790" s="19" t="s">
        <v>4925</v>
      </c>
      <c r="I790" s="19" t="s">
        <v>4926</v>
      </c>
      <c r="J790" s="19" t="n">
        <v>2102.26</v>
      </c>
      <c r="K790" s="19" t="s">
        <v>1116</v>
      </c>
      <c r="L790" s="19"/>
      <c r="M790" s="20" t="str">
        <f aca="false">IF(G790&lt;&gt;"","PASS","FAIL - Missing UPC")</f>
        <v>PASS</v>
      </c>
      <c r="N790" s="20" t="str">
        <f aca="false">IF(AND(G790&lt;&gt;"",H790&lt;&gt;""),IF("0"&amp;G790=H790,"PASS","FAIL - GTIN Mismatch"),"SKIP")</f>
        <v>PASS</v>
      </c>
      <c r="O790" s="20" t="str">
        <f aca="false">IF(I790="","FAIL - No Title",IF(LEN(I790)&lt;=126,"PASS","FAIL - Title &gt;"&amp;126&amp;" chars"))</f>
        <v>PASS</v>
      </c>
      <c r="P790" s="20" t="str">
        <f aca="false">IF(J790&gt;0,IF(J790&lt;5000,"PASS","FLAG - Review Price"),"FAIL - Zero Price")</f>
        <v>PASS</v>
      </c>
      <c r="Q790" s="20" t="str">
        <f aca="false">IF('Raw Catalog'!P788&lt;&gt;"","PASS","FAIL - No Image")</f>
        <v>PASS</v>
      </c>
      <c r="R790" s="20" t="str">
        <f aca="false">IF(F790&lt;&gt;"","PASS","FAIL - No Brand")</f>
        <v>PASS</v>
      </c>
      <c r="S790" s="20" t="str">
        <f aca="true">IF(K790="","FAIL - No Date",IF(TODAY()-DATEVALUE(K790)&lt;=180,"PASS","FLAG - Stale &gt;180d"))</f>
        <v>FLAG - Stale &gt;180d</v>
      </c>
      <c r="T790" s="20" t="n">
        <f aca="false">COUNTIF(M790:S790,"FAIL*")+COUNTIF(M790:S790,"FLAG*")</f>
        <v>1</v>
      </c>
      <c r="U790" s="20" t="str">
        <f aca="false">IF(T790=0,"CLEAN",IF(T790=1,"MINOR",IF(T790&lt;=3,"MODERATE","CRITICAL")))</f>
        <v>MINOR</v>
      </c>
      <c r="V790" s="20" t="str">
        <f aca="false">IF(U790="CLEAN","None",IF(U790="MINOR","Seller Notify",IF(U790="MODERATE","Listing Suspended","Immediate Removal")))</f>
        <v>Seller Notify</v>
      </c>
    </row>
    <row r="791" customFormat="false" ht="18" hidden="false" customHeight="true" outlineLevel="0" collapsed="false">
      <c r="A791" s="19" t="s">
        <v>6868</v>
      </c>
      <c r="B791" s="19" t="s">
        <v>4927</v>
      </c>
      <c r="C791" s="19" t="s">
        <v>173</v>
      </c>
      <c r="D791" s="19" t="s">
        <v>174</v>
      </c>
      <c r="E791" s="19" t="s">
        <v>65</v>
      </c>
      <c r="F791" s="19" t="s">
        <v>245</v>
      </c>
      <c r="G791" s="19" t="s">
        <v>4929</v>
      </c>
      <c r="H791" s="19" t="s">
        <v>4930</v>
      </c>
      <c r="I791" s="19" t="s">
        <v>2606</v>
      </c>
      <c r="J791" s="19" t="n">
        <v>340.73</v>
      </c>
      <c r="K791" s="19" t="s">
        <v>3206</v>
      </c>
      <c r="L791" s="19"/>
      <c r="M791" s="20" t="str">
        <f aca="false">IF(G791&lt;&gt;"","PASS","FAIL - Missing UPC")</f>
        <v>PASS</v>
      </c>
      <c r="N791" s="20" t="str">
        <f aca="false">IF(AND(G791&lt;&gt;"",H791&lt;&gt;""),IF("0"&amp;G791=H791,"PASS","FAIL - GTIN Mismatch"),"SKIP")</f>
        <v>PASS</v>
      </c>
      <c r="O791" s="20" t="str">
        <f aca="false">IF(I791="","FAIL - No Title",IF(LEN(I791)&lt;=126,"PASS","FAIL - Title &gt;"&amp;126&amp;" chars"))</f>
        <v>PASS</v>
      </c>
      <c r="P791" s="20" t="str">
        <f aca="false">IF(J791&gt;0,IF(J791&lt;5000,"PASS","FLAG - Review Price"),"FAIL - Zero Price")</f>
        <v>PASS</v>
      </c>
      <c r="Q791" s="20" t="str">
        <f aca="false">IF('Raw Catalog'!P789&lt;&gt;"","PASS","FAIL - No Image")</f>
        <v>PASS</v>
      </c>
      <c r="R791" s="20" t="str">
        <f aca="false">IF(F791&lt;&gt;"","PASS","FAIL - No Brand")</f>
        <v>PASS</v>
      </c>
      <c r="S791" s="20" t="str">
        <f aca="true">IF(K791="","FAIL - No Date",IF(TODAY()-DATEVALUE(K791)&lt;=180,"PASS","FLAG - Stale &gt;180d"))</f>
        <v>FLAG - Stale &gt;180d</v>
      </c>
      <c r="T791" s="20" t="n">
        <f aca="false">COUNTIF(M791:S791,"FAIL*")+COUNTIF(M791:S791,"FLAG*")</f>
        <v>1</v>
      </c>
      <c r="U791" s="20" t="str">
        <f aca="false">IF(T791=0,"CLEAN",IF(T791=1,"MINOR",IF(T791&lt;=3,"MODERATE","CRITICAL")))</f>
        <v>MINOR</v>
      </c>
      <c r="V791" s="20" t="str">
        <f aca="false">IF(U791="CLEAN","None",IF(U791="MINOR","Seller Notify",IF(U791="MODERATE","Listing Suspended","Immediate Removal")))</f>
        <v>Seller Notify</v>
      </c>
    </row>
    <row r="792" customFormat="false" ht="18" hidden="false" customHeight="true" outlineLevel="0" collapsed="false">
      <c r="A792" s="19" t="s">
        <v>6869</v>
      </c>
      <c r="B792" s="19" t="s">
        <v>4931</v>
      </c>
      <c r="C792" s="19" t="s">
        <v>173</v>
      </c>
      <c r="D792" s="19" t="s">
        <v>174</v>
      </c>
      <c r="E792" s="19" t="s">
        <v>91</v>
      </c>
      <c r="F792" s="19" t="s">
        <v>138</v>
      </c>
      <c r="G792" s="19" t="s">
        <v>4933</v>
      </c>
      <c r="H792" s="19" t="s">
        <v>4934</v>
      </c>
      <c r="I792" s="19" t="s">
        <v>4935</v>
      </c>
      <c r="J792" s="19" t="n">
        <v>3124.66</v>
      </c>
      <c r="K792" s="19" t="s">
        <v>908</v>
      </c>
      <c r="L792" s="21" t="s">
        <v>325</v>
      </c>
      <c r="M792" s="20" t="str">
        <f aca="false">IF(G792&lt;&gt;"","PASS","FAIL - Missing UPC")</f>
        <v>PASS</v>
      </c>
      <c r="N792" s="20" t="str">
        <f aca="false">IF(AND(G792&lt;&gt;"",H792&lt;&gt;""),IF("0"&amp;G792=H792,"PASS","FAIL - GTIN Mismatch"),"SKIP")</f>
        <v>PASS</v>
      </c>
      <c r="O792" s="20" t="str">
        <f aca="false">IF(I792="","FAIL - No Title",IF(LEN(I792)&lt;=126,"PASS","FAIL - Title &gt;"&amp;126&amp;" chars"))</f>
        <v>PASS</v>
      </c>
      <c r="P792" s="20" t="str">
        <f aca="false">IF(J792&gt;0,IF(J792&lt;5000,"PASS","FLAG - Review Price"),"FAIL - Zero Price")</f>
        <v>PASS</v>
      </c>
      <c r="Q792" s="20" t="str">
        <f aca="false">IF('Raw Catalog'!P790&lt;&gt;"","PASS","FAIL - No Image")</f>
        <v>PASS</v>
      </c>
      <c r="R792" s="20" t="str">
        <f aca="false">IF(F792&lt;&gt;"","PASS","FAIL - No Brand")</f>
        <v>PASS</v>
      </c>
      <c r="S792" s="20" t="str">
        <f aca="true">IF(K792="","FAIL - No Date",IF(TODAY()-DATEVALUE(K792)&lt;=180,"PASS","FLAG - Stale &gt;180d"))</f>
        <v>FLAG - Stale &gt;180d</v>
      </c>
      <c r="T792" s="20" t="n">
        <f aca="false">COUNTIF(M792:S792,"FAIL*")+COUNTIF(M792:S792,"FLAG*")</f>
        <v>1</v>
      </c>
      <c r="U792" s="20" t="str">
        <f aca="false">IF(T792=0,"CLEAN",IF(T792=1,"MINOR",IF(T792&lt;=3,"MODERATE","CRITICAL")))</f>
        <v>MINOR</v>
      </c>
      <c r="V792" s="20" t="str">
        <f aca="false">IF(U792="CLEAN","None",IF(U792="MINOR","Seller Notify",IF(U792="MODERATE","Listing Suspended","Immediate Removal")))</f>
        <v>Seller Notify</v>
      </c>
    </row>
    <row r="793" customFormat="false" ht="18" hidden="false" customHeight="true" outlineLevel="0" collapsed="false">
      <c r="A793" s="19" t="s">
        <v>6870</v>
      </c>
      <c r="B793" s="19" t="s">
        <v>4937</v>
      </c>
      <c r="C793" s="19" t="s">
        <v>48</v>
      </c>
      <c r="D793" s="19" t="s">
        <v>49</v>
      </c>
      <c r="E793" s="19" t="s">
        <v>65</v>
      </c>
      <c r="F793" s="19" t="s">
        <v>245</v>
      </c>
      <c r="G793" s="19" t="s">
        <v>4939</v>
      </c>
      <c r="H793" s="19" t="s">
        <v>4940</v>
      </c>
      <c r="I793" s="19" t="s">
        <v>2606</v>
      </c>
      <c r="J793" s="19" t="n">
        <v>486.63</v>
      </c>
      <c r="K793" s="19" t="s">
        <v>3734</v>
      </c>
      <c r="L793" s="19"/>
      <c r="M793" s="20" t="str">
        <f aca="false">IF(G793&lt;&gt;"","PASS","FAIL - Missing UPC")</f>
        <v>PASS</v>
      </c>
      <c r="N793" s="20" t="str">
        <f aca="false">IF(AND(G793&lt;&gt;"",H793&lt;&gt;""),IF("0"&amp;G793=H793,"PASS","FAIL - GTIN Mismatch"),"SKIP")</f>
        <v>PASS</v>
      </c>
      <c r="O793" s="20" t="str">
        <f aca="false">IF(I793="","FAIL - No Title",IF(LEN(I793)&lt;=126,"PASS","FAIL - Title &gt;"&amp;126&amp;" chars"))</f>
        <v>PASS</v>
      </c>
      <c r="P793" s="20" t="str">
        <f aca="false">IF(J793&gt;0,IF(J793&lt;5000,"PASS","FLAG - Review Price"),"FAIL - Zero Price")</f>
        <v>PASS</v>
      </c>
      <c r="Q793" s="20" t="str">
        <f aca="false">IF('Raw Catalog'!P791&lt;&gt;"","PASS","FAIL - No Image")</f>
        <v>PASS</v>
      </c>
      <c r="R793" s="20" t="str">
        <f aca="false">IF(F793&lt;&gt;"","PASS","FAIL - No Brand")</f>
        <v>PASS</v>
      </c>
      <c r="S793" s="20" t="str">
        <f aca="true">IF(K793="","FAIL - No Date",IF(TODAY()-DATEVALUE(K793)&lt;=180,"PASS","FLAG - Stale &gt;180d"))</f>
        <v>FLAG - Stale &gt;180d</v>
      </c>
      <c r="T793" s="20" t="n">
        <f aca="false">COUNTIF(M793:S793,"FAIL*")+COUNTIF(M793:S793,"FLAG*")</f>
        <v>1</v>
      </c>
      <c r="U793" s="20" t="str">
        <f aca="false">IF(T793=0,"CLEAN",IF(T793=1,"MINOR",IF(T793&lt;=3,"MODERATE","CRITICAL")))</f>
        <v>MINOR</v>
      </c>
      <c r="V793" s="20" t="str">
        <f aca="false">IF(U793="CLEAN","None",IF(U793="MINOR","Seller Notify",IF(U793="MODERATE","Listing Suspended","Immediate Removal")))</f>
        <v>Seller Notify</v>
      </c>
    </row>
    <row r="794" customFormat="false" ht="18" hidden="false" customHeight="true" outlineLevel="0" collapsed="false">
      <c r="A794" s="19" t="s">
        <v>6871</v>
      </c>
      <c r="B794" s="19" t="s">
        <v>4941</v>
      </c>
      <c r="C794" s="19" t="s">
        <v>255</v>
      </c>
      <c r="D794" s="19" t="s">
        <v>256</v>
      </c>
      <c r="E794" s="19" t="s">
        <v>91</v>
      </c>
      <c r="F794" s="19" t="s">
        <v>185</v>
      </c>
      <c r="G794" s="19" t="s">
        <v>4943</v>
      </c>
      <c r="H794" s="19" t="s">
        <v>4944</v>
      </c>
      <c r="I794" s="19" t="s">
        <v>4945</v>
      </c>
      <c r="J794" s="19" t="n">
        <v>3098.6</v>
      </c>
      <c r="K794" s="19" t="s">
        <v>806</v>
      </c>
      <c r="L794" s="19"/>
      <c r="M794" s="20" t="str">
        <f aca="false">IF(G794&lt;&gt;"","PASS","FAIL - Missing UPC")</f>
        <v>PASS</v>
      </c>
      <c r="N794" s="20" t="str">
        <f aca="false">IF(AND(G794&lt;&gt;"",H794&lt;&gt;""),IF("0"&amp;G794=H794,"PASS","FAIL - GTIN Mismatch"),"SKIP")</f>
        <v>PASS</v>
      </c>
      <c r="O794" s="20" t="str">
        <f aca="false">IF(I794="","FAIL - No Title",IF(LEN(I794)&lt;=126,"PASS","FAIL - Title &gt;"&amp;126&amp;" chars"))</f>
        <v>PASS</v>
      </c>
      <c r="P794" s="20" t="str">
        <f aca="false">IF(J794&gt;0,IF(J794&lt;5000,"PASS","FLAG - Review Price"),"FAIL - Zero Price")</f>
        <v>PASS</v>
      </c>
      <c r="Q794" s="20" t="str">
        <f aca="false">IF('Raw Catalog'!P792&lt;&gt;"","PASS","FAIL - No Image")</f>
        <v>PASS</v>
      </c>
      <c r="R794" s="20" t="str">
        <f aca="false">IF(F794&lt;&gt;"","PASS","FAIL - No Brand")</f>
        <v>PASS</v>
      </c>
      <c r="S794" s="20" t="str">
        <f aca="true">IF(K794="","FAIL - No Date",IF(TODAY()-DATEVALUE(K794)&lt;=180,"PASS","FLAG - Stale &gt;180d"))</f>
        <v>FLAG - Stale &gt;180d</v>
      </c>
      <c r="T794" s="20" t="n">
        <f aca="false">COUNTIF(M794:S794,"FAIL*")+COUNTIF(M794:S794,"FLAG*")</f>
        <v>1</v>
      </c>
      <c r="U794" s="20" t="str">
        <f aca="false">IF(T794=0,"CLEAN",IF(T794=1,"MINOR",IF(T794&lt;=3,"MODERATE","CRITICAL")))</f>
        <v>MINOR</v>
      </c>
      <c r="V794" s="20" t="str">
        <f aca="false">IF(U794="CLEAN","None",IF(U794="MINOR","Seller Notify",IF(U794="MODERATE","Listing Suspended","Immediate Removal")))</f>
        <v>Seller Notify</v>
      </c>
    </row>
    <row r="795" customFormat="false" ht="18" hidden="false" customHeight="true" outlineLevel="0" collapsed="false">
      <c r="A795" s="19" t="s">
        <v>6872</v>
      </c>
      <c r="B795" s="19" t="s">
        <v>4947</v>
      </c>
      <c r="C795" s="19" t="s">
        <v>159</v>
      </c>
      <c r="D795" s="19" t="s">
        <v>160</v>
      </c>
      <c r="E795" s="19" t="s">
        <v>91</v>
      </c>
      <c r="F795" s="19" t="s">
        <v>780</v>
      </c>
      <c r="G795" s="19" t="s">
        <v>4949</v>
      </c>
      <c r="H795" s="19" t="s">
        <v>4950</v>
      </c>
      <c r="I795" s="19" t="s">
        <v>1066</v>
      </c>
      <c r="J795" s="19" t="n">
        <v>3996.23</v>
      </c>
      <c r="K795" s="19" t="s">
        <v>2164</v>
      </c>
      <c r="L795" s="19"/>
      <c r="M795" s="20" t="str">
        <f aca="false">IF(G795&lt;&gt;"","PASS","FAIL - Missing UPC")</f>
        <v>PASS</v>
      </c>
      <c r="N795" s="20" t="str">
        <f aca="false">IF(AND(G795&lt;&gt;"",H795&lt;&gt;""),IF("0"&amp;G795=H795,"PASS","FAIL - GTIN Mismatch"),"SKIP")</f>
        <v>PASS</v>
      </c>
      <c r="O795" s="20" t="str">
        <f aca="false">IF(I795="","FAIL - No Title",IF(LEN(I795)&lt;=126,"PASS","FAIL - Title &gt;"&amp;126&amp;" chars"))</f>
        <v>PASS</v>
      </c>
      <c r="P795" s="20" t="str">
        <f aca="false">IF(J795&gt;0,IF(J795&lt;5000,"PASS","FLAG - Review Price"),"FAIL - Zero Price")</f>
        <v>PASS</v>
      </c>
      <c r="Q795" s="20" t="str">
        <f aca="false">IF('Raw Catalog'!P793&lt;&gt;"","PASS","FAIL - No Image")</f>
        <v>PASS</v>
      </c>
      <c r="R795" s="20" t="str">
        <f aca="false">IF(F795&lt;&gt;"","PASS","FAIL - No Brand")</f>
        <v>PASS</v>
      </c>
      <c r="S795" s="20" t="str">
        <f aca="true">IF(K795="","FAIL - No Date",IF(TODAY()-DATEVALUE(K795)&lt;=180,"PASS","FLAG - Stale &gt;180d"))</f>
        <v>FLAG - Stale &gt;180d</v>
      </c>
      <c r="T795" s="20" t="n">
        <f aca="false">COUNTIF(M795:S795,"FAIL*")+COUNTIF(M795:S795,"FLAG*")</f>
        <v>1</v>
      </c>
      <c r="U795" s="20" t="str">
        <f aca="false">IF(T795=0,"CLEAN",IF(T795=1,"MINOR",IF(T795&lt;=3,"MODERATE","CRITICAL")))</f>
        <v>MINOR</v>
      </c>
      <c r="V795" s="20" t="str">
        <f aca="false">IF(U795="CLEAN","None",IF(U795="MINOR","Seller Notify",IF(U795="MODERATE","Listing Suspended","Immediate Removal")))</f>
        <v>Seller Notify</v>
      </c>
    </row>
    <row r="796" customFormat="false" ht="18" hidden="false" customHeight="true" outlineLevel="0" collapsed="false">
      <c r="A796" s="19" t="s">
        <v>6873</v>
      </c>
      <c r="B796" s="19" t="s">
        <v>3824</v>
      </c>
      <c r="C796" s="19" t="s">
        <v>63</v>
      </c>
      <c r="D796" s="19" t="s">
        <v>64</v>
      </c>
      <c r="E796" s="19" t="s">
        <v>50</v>
      </c>
      <c r="F796" s="19" t="s">
        <v>138</v>
      </c>
      <c r="G796" s="19" t="s">
        <v>3826</v>
      </c>
      <c r="H796" s="19" t="s">
        <v>3827</v>
      </c>
      <c r="I796" s="19" t="s">
        <v>3828</v>
      </c>
      <c r="J796" s="19" t="n">
        <v>699.45</v>
      </c>
      <c r="K796" s="19" t="s">
        <v>3405</v>
      </c>
      <c r="L796" s="19"/>
      <c r="M796" s="20" t="str">
        <f aca="false">IF(G796&lt;&gt;"","PASS","FAIL - Missing UPC")</f>
        <v>PASS</v>
      </c>
      <c r="N796" s="20" t="str">
        <f aca="false">IF(AND(G796&lt;&gt;"",H796&lt;&gt;""),IF("0"&amp;G796=H796,"PASS","FAIL - GTIN Mismatch"),"SKIP")</f>
        <v>PASS</v>
      </c>
      <c r="O796" s="20" t="str">
        <f aca="false">IF(I796="","FAIL - No Title",IF(LEN(I796)&lt;=126,"PASS","FAIL - Title &gt;"&amp;126&amp;" chars"))</f>
        <v>PASS</v>
      </c>
      <c r="P796" s="20" t="str">
        <f aca="false">IF(J796&gt;0,IF(J796&lt;5000,"PASS","FLAG - Review Price"),"FAIL - Zero Price")</f>
        <v>PASS</v>
      </c>
      <c r="Q796" s="20" t="str">
        <f aca="false">IF('Raw Catalog'!P794&lt;&gt;"","PASS","FAIL - No Image")</f>
        <v>PASS</v>
      </c>
      <c r="R796" s="20" t="str">
        <f aca="false">IF(F796&lt;&gt;"","PASS","FAIL - No Brand")</f>
        <v>PASS</v>
      </c>
      <c r="S796" s="20" t="str">
        <f aca="true">IF(K796="","FAIL - No Date",IF(TODAY()-DATEVALUE(K796)&lt;=180,"PASS","FLAG - Stale &gt;180d"))</f>
        <v>FLAG - Stale &gt;180d</v>
      </c>
      <c r="T796" s="20" t="n">
        <f aca="false">COUNTIF(M796:S796,"FAIL*")+COUNTIF(M796:S796,"FLAG*")</f>
        <v>1</v>
      </c>
      <c r="U796" s="20" t="str">
        <f aca="false">IF(T796=0,"CLEAN",IF(T796=1,"MINOR",IF(T796&lt;=3,"MODERATE","CRITICAL")))</f>
        <v>MINOR</v>
      </c>
      <c r="V796" s="20" t="str">
        <f aca="false">IF(U796="CLEAN","None",IF(U796="MINOR","Seller Notify",IF(U796="MODERATE","Listing Suspended","Immediate Removal")))</f>
        <v>Seller Notify</v>
      </c>
    </row>
    <row r="797" customFormat="false" ht="18" hidden="false" customHeight="true" outlineLevel="0" collapsed="false">
      <c r="A797" s="19" t="s">
        <v>6874</v>
      </c>
      <c r="B797" s="19" t="s">
        <v>4951</v>
      </c>
      <c r="C797" s="19" t="s">
        <v>113</v>
      </c>
      <c r="D797" s="19" t="s">
        <v>114</v>
      </c>
      <c r="E797" s="19" t="s">
        <v>50</v>
      </c>
      <c r="F797" s="19" t="s">
        <v>51</v>
      </c>
      <c r="G797" s="19" t="s">
        <v>4953</v>
      </c>
      <c r="H797" s="19" t="s">
        <v>4954</v>
      </c>
      <c r="I797" s="19" t="s">
        <v>4955</v>
      </c>
      <c r="J797" s="19" t="n">
        <v>1026.43</v>
      </c>
      <c r="K797" s="19" t="s">
        <v>4572</v>
      </c>
      <c r="L797" s="19"/>
      <c r="M797" s="20" t="str">
        <f aca="false">IF(G797&lt;&gt;"","PASS","FAIL - Missing UPC")</f>
        <v>PASS</v>
      </c>
      <c r="N797" s="20" t="str">
        <f aca="false">IF(AND(G797&lt;&gt;"",H797&lt;&gt;""),IF("0"&amp;G797=H797,"PASS","FAIL - GTIN Mismatch"),"SKIP")</f>
        <v>PASS</v>
      </c>
      <c r="O797" s="20" t="str">
        <f aca="false">IF(I797="","FAIL - No Title",IF(LEN(I797)&lt;=126,"PASS","FAIL - Title &gt;"&amp;126&amp;" chars"))</f>
        <v>PASS</v>
      </c>
      <c r="P797" s="20" t="str">
        <f aca="false">IF(J797&gt;0,IF(J797&lt;5000,"PASS","FLAG - Review Price"),"FAIL - Zero Price")</f>
        <v>PASS</v>
      </c>
      <c r="Q797" s="20" t="str">
        <f aca="false">IF('Raw Catalog'!P795&lt;&gt;"","PASS","FAIL - No Image")</f>
        <v>PASS</v>
      </c>
      <c r="R797" s="20" t="str">
        <f aca="false">IF(F797&lt;&gt;"","PASS","FAIL - No Brand")</f>
        <v>PASS</v>
      </c>
      <c r="S797" s="20" t="str">
        <f aca="true">IF(K797="","FAIL - No Date",IF(TODAY()-DATEVALUE(K797)&lt;=180,"PASS","FLAG - Stale &gt;180d"))</f>
        <v>FLAG - Stale &gt;180d</v>
      </c>
      <c r="T797" s="20" t="n">
        <f aca="false">COUNTIF(M797:S797,"FAIL*")+COUNTIF(M797:S797,"FLAG*")</f>
        <v>1</v>
      </c>
      <c r="U797" s="20" t="str">
        <f aca="false">IF(T797=0,"CLEAN",IF(T797=1,"MINOR",IF(T797&lt;=3,"MODERATE","CRITICAL")))</f>
        <v>MINOR</v>
      </c>
      <c r="V797" s="20" t="str">
        <f aca="false">IF(U797="CLEAN","None",IF(U797="MINOR","Seller Notify",IF(U797="MODERATE","Listing Suspended","Immediate Removal")))</f>
        <v>Seller Notify</v>
      </c>
    </row>
    <row r="798" customFormat="false" ht="18" hidden="false" customHeight="true" outlineLevel="0" collapsed="false">
      <c r="A798" s="19" t="s">
        <v>6875</v>
      </c>
      <c r="B798" s="19" t="s">
        <v>4957</v>
      </c>
      <c r="C798" s="19" t="s">
        <v>159</v>
      </c>
      <c r="D798" s="19" t="s">
        <v>160</v>
      </c>
      <c r="E798" s="19" t="s">
        <v>65</v>
      </c>
      <c r="F798" s="19" t="s">
        <v>245</v>
      </c>
      <c r="G798" s="19" t="s">
        <v>4959</v>
      </c>
      <c r="H798" s="19" t="s">
        <v>4960</v>
      </c>
      <c r="I798" s="19" t="s">
        <v>3410</v>
      </c>
      <c r="J798" s="19" t="n">
        <v>205.38</v>
      </c>
      <c r="K798" s="19" t="s">
        <v>930</v>
      </c>
      <c r="L798" s="19"/>
      <c r="M798" s="20" t="str">
        <f aca="false">IF(G798&lt;&gt;"","PASS","FAIL - Missing UPC")</f>
        <v>PASS</v>
      </c>
      <c r="N798" s="20" t="str">
        <f aca="false">IF(AND(G798&lt;&gt;"",H798&lt;&gt;""),IF("0"&amp;G798=H798,"PASS","FAIL - GTIN Mismatch"),"SKIP")</f>
        <v>PASS</v>
      </c>
      <c r="O798" s="20" t="str">
        <f aca="false">IF(I798="","FAIL - No Title",IF(LEN(I798)&lt;=126,"PASS","FAIL - Title &gt;"&amp;126&amp;" chars"))</f>
        <v>PASS</v>
      </c>
      <c r="P798" s="20" t="str">
        <f aca="false">IF(J798&gt;0,IF(J798&lt;5000,"PASS","FLAG - Review Price"),"FAIL - Zero Price")</f>
        <v>PASS</v>
      </c>
      <c r="Q798" s="20" t="str">
        <f aca="false">IF('Raw Catalog'!P796&lt;&gt;"","PASS","FAIL - No Image")</f>
        <v>PASS</v>
      </c>
      <c r="R798" s="20" t="str">
        <f aca="false">IF(F798&lt;&gt;"","PASS","FAIL - No Brand")</f>
        <v>PASS</v>
      </c>
      <c r="S798" s="20" t="str">
        <f aca="true">IF(K798="","FAIL - No Date",IF(TODAY()-DATEVALUE(K798)&lt;=180,"PASS","FLAG - Stale &gt;180d"))</f>
        <v>FLAG - Stale &gt;180d</v>
      </c>
      <c r="T798" s="20" t="n">
        <f aca="false">COUNTIF(M798:S798,"FAIL*")+COUNTIF(M798:S798,"FLAG*")</f>
        <v>1</v>
      </c>
      <c r="U798" s="20" t="str">
        <f aca="false">IF(T798=0,"CLEAN",IF(T798=1,"MINOR",IF(T798&lt;=3,"MODERATE","CRITICAL")))</f>
        <v>MINOR</v>
      </c>
      <c r="V798" s="20" t="str">
        <f aca="false">IF(U798="CLEAN","None",IF(U798="MINOR","Seller Notify",IF(U798="MODERATE","Listing Suspended","Immediate Removal")))</f>
        <v>Seller Notify</v>
      </c>
    </row>
    <row r="799" customFormat="false" ht="18" hidden="false" customHeight="true" outlineLevel="0" collapsed="false">
      <c r="A799" s="19" t="s">
        <v>6876</v>
      </c>
      <c r="B799" s="19" t="s">
        <v>4961</v>
      </c>
      <c r="C799" s="19" t="s">
        <v>173</v>
      </c>
      <c r="D799" s="19" t="s">
        <v>174</v>
      </c>
      <c r="E799" s="19" t="s">
        <v>79</v>
      </c>
      <c r="F799" s="19" t="s">
        <v>1531</v>
      </c>
      <c r="G799" s="19" t="s">
        <v>4963</v>
      </c>
      <c r="H799" s="19" t="s">
        <v>4964</v>
      </c>
      <c r="I799" s="19" t="s">
        <v>4965</v>
      </c>
      <c r="J799" s="19" t="n">
        <v>510.63</v>
      </c>
      <c r="K799" s="19" t="s">
        <v>2998</v>
      </c>
      <c r="L799" s="19"/>
      <c r="M799" s="20" t="str">
        <f aca="false">IF(G799&lt;&gt;"","PASS","FAIL - Missing UPC")</f>
        <v>PASS</v>
      </c>
      <c r="N799" s="20" t="str">
        <f aca="false">IF(AND(G799&lt;&gt;"",H799&lt;&gt;""),IF("0"&amp;G799=H799,"PASS","FAIL - GTIN Mismatch"),"SKIP")</f>
        <v>PASS</v>
      </c>
      <c r="O799" s="20" t="str">
        <f aca="false">IF(I799="","FAIL - No Title",IF(LEN(I799)&lt;=126,"PASS","FAIL - Title &gt;"&amp;126&amp;" chars"))</f>
        <v>PASS</v>
      </c>
      <c r="P799" s="20" t="str">
        <f aca="false">IF(J799&gt;0,IF(J799&lt;5000,"PASS","FLAG - Review Price"),"FAIL - Zero Price")</f>
        <v>PASS</v>
      </c>
      <c r="Q799" s="20" t="str">
        <f aca="false">IF('Raw Catalog'!P797&lt;&gt;"","PASS","FAIL - No Image")</f>
        <v>PASS</v>
      </c>
      <c r="R799" s="20" t="str">
        <f aca="false">IF(F799&lt;&gt;"","PASS","FAIL - No Brand")</f>
        <v>PASS</v>
      </c>
      <c r="S799" s="20" t="str">
        <f aca="true">IF(K799="","FAIL - No Date",IF(TODAY()-DATEVALUE(K799)&lt;=180,"PASS","FLAG - Stale &gt;180d"))</f>
        <v>FLAG - Stale &gt;180d</v>
      </c>
      <c r="T799" s="20" t="n">
        <f aca="false">COUNTIF(M799:S799,"FAIL*")+COUNTIF(M799:S799,"FLAG*")</f>
        <v>1</v>
      </c>
      <c r="U799" s="20" t="str">
        <f aca="false">IF(T799=0,"CLEAN",IF(T799=1,"MINOR",IF(T799&lt;=3,"MODERATE","CRITICAL")))</f>
        <v>MINOR</v>
      </c>
      <c r="V799" s="20" t="str">
        <f aca="false">IF(U799="CLEAN","None",IF(U799="MINOR","Seller Notify",IF(U799="MODERATE","Listing Suspended","Immediate Removal")))</f>
        <v>Seller Notify</v>
      </c>
    </row>
    <row r="800" customFormat="false" ht="18" hidden="false" customHeight="true" outlineLevel="0" collapsed="false">
      <c r="A800" s="19" t="s">
        <v>6877</v>
      </c>
      <c r="B800" s="19" t="s">
        <v>4967</v>
      </c>
      <c r="C800" s="19" t="s">
        <v>63</v>
      </c>
      <c r="D800" s="19" t="s">
        <v>64</v>
      </c>
      <c r="E800" s="19" t="s">
        <v>50</v>
      </c>
      <c r="F800" s="19" t="s">
        <v>115</v>
      </c>
      <c r="G800" s="19" t="s">
        <v>4969</v>
      </c>
      <c r="H800" s="19" t="s">
        <v>4970</v>
      </c>
      <c r="I800" s="19" t="s">
        <v>4971</v>
      </c>
      <c r="J800" s="19" t="n">
        <v>899.97</v>
      </c>
      <c r="K800" s="19" t="s">
        <v>3050</v>
      </c>
      <c r="L800" s="19"/>
      <c r="M800" s="20" t="str">
        <f aca="false">IF(G800&lt;&gt;"","PASS","FAIL - Missing UPC")</f>
        <v>PASS</v>
      </c>
      <c r="N800" s="20" t="str">
        <f aca="false">IF(AND(G800&lt;&gt;"",H800&lt;&gt;""),IF("0"&amp;G800=H800,"PASS","FAIL - GTIN Mismatch"),"SKIP")</f>
        <v>PASS</v>
      </c>
      <c r="O800" s="20" t="str">
        <f aca="false">IF(I800="","FAIL - No Title",IF(LEN(I800)&lt;=126,"PASS","FAIL - Title &gt;"&amp;126&amp;" chars"))</f>
        <v>PASS</v>
      </c>
      <c r="P800" s="20" t="str">
        <f aca="false">IF(J800&gt;0,IF(J800&lt;5000,"PASS","FLAG - Review Price"),"FAIL - Zero Price")</f>
        <v>PASS</v>
      </c>
      <c r="Q800" s="20" t="str">
        <f aca="false">IF('Raw Catalog'!P798&lt;&gt;"","PASS","FAIL - No Image")</f>
        <v>PASS</v>
      </c>
      <c r="R800" s="20" t="str">
        <f aca="false">IF(F800&lt;&gt;"","PASS","FAIL - No Brand")</f>
        <v>PASS</v>
      </c>
      <c r="S800" s="20" t="str">
        <f aca="true">IF(K800="","FAIL - No Date",IF(TODAY()-DATEVALUE(K800)&lt;=180,"PASS","FLAG - Stale &gt;180d"))</f>
        <v>FLAG - Stale &gt;180d</v>
      </c>
      <c r="T800" s="20" t="n">
        <f aca="false">COUNTIF(M800:S800,"FAIL*")+COUNTIF(M800:S800,"FLAG*")</f>
        <v>1</v>
      </c>
      <c r="U800" s="20" t="str">
        <f aca="false">IF(T800=0,"CLEAN",IF(T800=1,"MINOR",IF(T800&lt;=3,"MODERATE","CRITICAL")))</f>
        <v>MINOR</v>
      </c>
      <c r="V800" s="20" t="str">
        <f aca="false">IF(U800="CLEAN","None",IF(U800="MINOR","Seller Notify",IF(U800="MODERATE","Listing Suspended","Immediate Removal")))</f>
        <v>Seller Notify</v>
      </c>
    </row>
    <row r="801" customFormat="false" ht="18" hidden="false" customHeight="true" outlineLevel="0" collapsed="false">
      <c r="A801" s="19" t="s">
        <v>6878</v>
      </c>
      <c r="B801" s="19" t="s">
        <v>4972</v>
      </c>
      <c r="C801" s="19" t="s">
        <v>63</v>
      </c>
      <c r="D801" s="19" t="s">
        <v>64</v>
      </c>
      <c r="E801" s="19" t="s">
        <v>50</v>
      </c>
      <c r="F801" s="19" t="s">
        <v>115</v>
      </c>
      <c r="G801" s="19" t="s">
        <v>4974</v>
      </c>
      <c r="H801" s="19" t="s">
        <v>4975</v>
      </c>
      <c r="I801" s="19" t="s">
        <v>405</v>
      </c>
      <c r="J801" s="19" t="n">
        <v>757.88</v>
      </c>
      <c r="K801" s="19" t="s">
        <v>838</v>
      </c>
      <c r="L801" s="19"/>
      <c r="M801" s="20" t="str">
        <f aca="false">IF(G801&lt;&gt;"","PASS","FAIL - Missing UPC")</f>
        <v>PASS</v>
      </c>
      <c r="N801" s="20" t="str">
        <f aca="false">IF(AND(G801&lt;&gt;"",H801&lt;&gt;""),IF("0"&amp;G801=H801,"PASS","FAIL - GTIN Mismatch"),"SKIP")</f>
        <v>PASS</v>
      </c>
      <c r="O801" s="20" t="str">
        <f aca="false">IF(I801="","FAIL - No Title",IF(LEN(I801)&lt;=126,"PASS","FAIL - Title &gt;"&amp;126&amp;" chars"))</f>
        <v>PASS</v>
      </c>
      <c r="P801" s="20" t="str">
        <f aca="false">IF(J801&gt;0,IF(J801&lt;5000,"PASS","FLAG - Review Price"),"FAIL - Zero Price")</f>
        <v>PASS</v>
      </c>
      <c r="Q801" s="20" t="str">
        <f aca="false">IF('Raw Catalog'!P799&lt;&gt;"","PASS","FAIL - No Image")</f>
        <v>PASS</v>
      </c>
      <c r="R801" s="20" t="str">
        <f aca="false">IF(F801&lt;&gt;"","PASS","FAIL - No Brand")</f>
        <v>PASS</v>
      </c>
      <c r="S801" s="20" t="str">
        <f aca="true">IF(K801="","FAIL - No Date",IF(TODAY()-DATEVALUE(K801)&lt;=180,"PASS","FLAG - Stale &gt;180d"))</f>
        <v>FLAG - Stale &gt;180d</v>
      </c>
      <c r="T801" s="20" t="n">
        <f aca="false">COUNTIF(M801:S801,"FAIL*")+COUNTIF(M801:S801,"FLAG*")</f>
        <v>1</v>
      </c>
      <c r="U801" s="20" t="str">
        <f aca="false">IF(T801=0,"CLEAN",IF(T801=1,"MINOR",IF(T801&lt;=3,"MODERATE","CRITICAL")))</f>
        <v>MINOR</v>
      </c>
      <c r="V801" s="20" t="str">
        <f aca="false">IF(U801="CLEAN","None",IF(U801="MINOR","Seller Notify",IF(U801="MODERATE","Listing Suspended","Immediate Removal")))</f>
        <v>Seller Notify</v>
      </c>
    </row>
    <row r="802" customFormat="false" ht="18" hidden="false" customHeight="true" outlineLevel="0" collapsed="false">
      <c r="A802" s="19" t="s">
        <v>6879</v>
      </c>
      <c r="B802" s="19" t="s">
        <v>4976</v>
      </c>
      <c r="C802" s="19" t="s">
        <v>255</v>
      </c>
      <c r="D802" s="19" t="s">
        <v>256</v>
      </c>
      <c r="E802" s="19" t="s">
        <v>91</v>
      </c>
      <c r="F802" s="19" t="s">
        <v>185</v>
      </c>
      <c r="G802" s="19" t="s">
        <v>4978</v>
      </c>
      <c r="H802" s="19" t="s">
        <v>4979</v>
      </c>
      <c r="I802" s="19" t="s">
        <v>4980</v>
      </c>
      <c r="J802" s="19" t="n">
        <v>399.87</v>
      </c>
      <c r="K802" s="19" t="s">
        <v>838</v>
      </c>
      <c r="L802" s="19"/>
      <c r="M802" s="20" t="str">
        <f aca="false">IF(G802&lt;&gt;"","PASS","FAIL - Missing UPC")</f>
        <v>PASS</v>
      </c>
      <c r="N802" s="20" t="str">
        <f aca="false">IF(AND(G802&lt;&gt;"",H802&lt;&gt;""),IF("0"&amp;G802=H802,"PASS","FAIL - GTIN Mismatch"),"SKIP")</f>
        <v>PASS</v>
      </c>
      <c r="O802" s="20" t="str">
        <f aca="false">IF(I802="","FAIL - No Title",IF(LEN(I802)&lt;=126,"PASS","FAIL - Title &gt;"&amp;126&amp;" chars"))</f>
        <v>PASS</v>
      </c>
      <c r="P802" s="20" t="str">
        <f aca="false">IF(J802&gt;0,IF(J802&lt;5000,"PASS","FLAG - Review Price"),"FAIL - Zero Price")</f>
        <v>PASS</v>
      </c>
      <c r="Q802" s="20" t="str">
        <f aca="false">IF('Raw Catalog'!P800&lt;&gt;"","PASS","FAIL - No Image")</f>
        <v>PASS</v>
      </c>
      <c r="R802" s="20" t="str">
        <f aca="false">IF(F802&lt;&gt;"","PASS","FAIL - No Brand")</f>
        <v>PASS</v>
      </c>
      <c r="S802" s="20" t="str">
        <f aca="true">IF(K802="","FAIL - No Date",IF(TODAY()-DATEVALUE(K802)&lt;=180,"PASS","FLAG - Stale &gt;180d"))</f>
        <v>FLAG - Stale &gt;180d</v>
      </c>
      <c r="T802" s="20" t="n">
        <f aca="false">COUNTIF(M802:S802,"FAIL*")+COUNTIF(M802:S802,"FLAG*")</f>
        <v>1</v>
      </c>
      <c r="U802" s="20" t="str">
        <f aca="false">IF(T802=0,"CLEAN",IF(T802=1,"MINOR",IF(T802&lt;=3,"MODERATE","CRITICAL")))</f>
        <v>MINOR</v>
      </c>
      <c r="V802" s="20" t="str">
        <f aca="false">IF(U802="CLEAN","None",IF(U802="MINOR","Seller Notify",IF(U802="MODERATE","Listing Suspended","Immediate Removal")))</f>
        <v>Seller Notify</v>
      </c>
    </row>
    <row r="803" customFormat="false" ht="18" hidden="false" customHeight="true" outlineLevel="0" collapsed="false">
      <c r="A803" s="19" t="s">
        <v>6880</v>
      </c>
      <c r="B803" s="19" t="s">
        <v>4981</v>
      </c>
      <c r="C803" s="19" t="s">
        <v>125</v>
      </c>
      <c r="D803" s="19" t="s">
        <v>126</v>
      </c>
      <c r="E803" s="19" t="s">
        <v>91</v>
      </c>
      <c r="F803" s="19" t="s">
        <v>138</v>
      </c>
      <c r="G803" s="19" t="s">
        <v>4983</v>
      </c>
      <c r="H803" s="19" t="s">
        <v>4984</v>
      </c>
      <c r="I803" s="19" t="s">
        <v>4985</v>
      </c>
      <c r="J803" s="19" t="n">
        <v>304.22</v>
      </c>
      <c r="K803" s="19" t="s">
        <v>4675</v>
      </c>
      <c r="L803" s="19"/>
      <c r="M803" s="20" t="str">
        <f aca="false">IF(G803&lt;&gt;"","PASS","FAIL - Missing UPC")</f>
        <v>PASS</v>
      </c>
      <c r="N803" s="20" t="str">
        <f aca="false">IF(AND(G803&lt;&gt;"",H803&lt;&gt;""),IF("0"&amp;G803=H803,"PASS","FAIL - GTIN Mismatch"),"SKIP")</f>
        <v>PASS</v>
      </c>
      <c r="O803" s="20" t="str">
        <f aca="false">IF(I803="","FAIL - No Title",IF(LEN(I803)&lt;=126,"PASS","FAIL - Title &gt;"&amp;126&amp;" chars"))</f>
        <v>PASS</v>
      </c>
      <c r="P803" s="20" t="str">
        <f aca="false">IF(J803&gt;0,IF(J803&lt;5000,"PASS","FLAG - Review Price"),"FAIL - Zero Price")</f>
        <v>PASS</v>
      </c>
      <c r="Q803" s="20" t="str">
        <f aca="false">IF('Raw Catalog'!P801&lt;&gt;"","PASS","FAIL - No Image")</f>
        <v>PASS</v>
      </c>
      <c r="R803" s="20" t="str">
        <f aca="false">IF(F803&lt;&gt;"","PASS","FAIL - No Brand")</f>
        <v>PASS</v>
      </c>
      <c r="S803" s="20" t="str">
        <f aca="true">IF(K803="","FAIL - No Date",IF(TODAY()-DATEVALUE(K803)&lt;=180,"PASS","FLAG - Stale &gt;180d"))</f>
        <v>FLAG - Stale &gt;180d</v>
      </c>
      <c r="T803" s="20" t="n">
        <f aca="false">COUNTIF(M803:S803,"FAIL*")+COUNTIF(M803:S803,"FLAG*")</f>
        <v>1</v>
      </c>
      <c r="U803" s="20" t="str">
        <f aca="false">IF(T803=0,"CLEAN",IF(T803=1,"MINOR",IF(T803&lt;=3,"MODERATE","CRITICAL")))</f>
        <v>MINOR</v>
      </c>
      <c r="V803" s="20" t="str">
        <f aca="false">IF(U803="CLEAN","None",IF(U803="MINOR","Seller Notify",IF(U803="MODERATE","Listing Suspended","Immediate Removal")))</f>
        <v>Seller Notify</v>
      </c>
    </row>
    <row r="804" customFormat="false" ht="18" hidden="false" customHeight="true" outlineLevel="0" collapsed="false">
      <c r="A804" s="19" t="s">
        <v>6881</v>
      </c>
      <c r="B804" s="19" t="s">
        <v>4987</v>
      </c>
      <c r="C804" s="19" t="s">
        <v>173</v>
      </c>
      <c r="D804" s="19" t="s">
        <v>174</v>
      </c>
      <c r="E804" s="19" t="s">
        <v>161</v>
      </c>
      <c r="F804" s="19" t="s">
        <v>306</v>
      </c>
      <c r="G804" s="19" t="s">
        <v>4989</v>
      </c>
      <c r="H804" s="19" t="s">
        <v>4990</v>
      </c>
      <c r="I804" s="19" t="s">
        <v>4991</v>
      </c>
      <c r="J804" s="19" t="n">
        <v>218.84</v>
      </c>
      <c r="K804" s="19" t="s">
        <v>1964</v>
      </c>
      <c r="L804" s="19"/>
      <c r="M804" s="20" t="str">
        <f aca="false">IF(G804&lt;&gt;"","PASS","FAIL - Missing UPC")</f>
        <v>PASS</v>
      </c>
      <c r="N804" s="20" t="str">
        <f aca="false">IF(AND(G804&lt;&gt;"",H804&lt;&gt;""),IF("0"&amp;G804=H804,"PASS","FAIL - GTIN Mismatch"),"SKIP")</f>
        <v>PASS</v>
      </c>
      <c r="O804" s="20" t="str">
        <f aca="false">IF(I804="","FAIL - No Title",IF(LEN(I804)&lt;=126,"PASS","FAIL - Title &gt;"&amp;126&amp;" chars"))</f>
        <v>PASS</v>
      </c>
      <c r="P804" s="20" t="str">
        <f aca="false">IF(J804&gt;0,IF(J804&lt;5000,"PASS","FLAG - Review Price"),"FAIL - Zero Price")</f>
        <v>PASS</v>
      </c>
      <c r="Q804" s="20" t="str">
        <f aca="false">IF('Raw Catalog'!P802&lt;&gt;"","PASS","FAIL - No Image")</f>
        <v>PASS</v>
      </c>
      <c r="R804" s="20" t="str">
        <f aca="false">IF(F804&lt;&gt;"","PASS","FAIL - No Brand")</f>
        <v>PASS</v>
      </c>
      <c r="S804" s="20" t="str">
        <f aca="true">IF(K804="","FAIL - No Date",IF(TODAY()-DATEVALUE(K804)&lt;=180,"PASS","FLAG - Stale &gt;180d"))</f>
        <v>FLAG - Stale &gt;180d</v>
      </c>
      <c r="T804" s="20" t="n">
        <f aca="false">COUNTIF(M804:S804,"FAIL*")+COUNTIF(M804:S804,"FLAG*")</f>
        <v>1</v>
      </c>
      <c r="U804" s="20" t="str">
        <f aca="false">IF(T804=0,"CLEAN",IF(T804=1,"MINOR",IF(T804&lt;=3,"MODERATE","CRITICAL")))</f>
        <v>MINOR</v>
      </c>
      <c r="V804" s="20" t="str">
        <f aca="false">IF(U804="CLEAN","None",IF(U804="MINOR","Seller Notify",IF(U804="MODERATE","Listing Suspended","Immediate Removal")))</f>
        <v>Seller Notify</v>
      </c>
    </row>
    <row r="805" customFormat="false" ht="18" hidden="false" customHeight="true" outlineLevel="0" collapsed="false">
      <c r="A805" s="19" t="s">
        <v>6882</v>
      </c>
      <c r="B805" s="19" t="s">
        <v>4992</v>
      </c>
      <c r="C805" s="19" t="s">
        <v>113</v>
      </c>
      <c r="D805" s="19" t="s">
        <v>114</v>
      </c>
      <c r="E805" s="19" t="s">
        <v>65</v>
      </c>
      <c r="F805" s="19"/>
      <c r="G805" s="19" t="s">
        <v>4994</v>
      </c>
      <c r="H805" s="19" t="s">
        <v>4995</v>
      </c>
      <c r="I805" s="19" t="s">
        <v>278</v>
      </c>
      <c r="J805" s="19" t="n">
        <v>415.58</v>
      </c>
      <c r="K805" s="19" t="s">
        <v>2215</v>
      </c>
      <c r="L805" s="21" t="s">
        <v>89</v>
      </c>
      <c r="M805" s="20" t="str">
        <f aca="false">IF(G805&lt;&gt;"","PASS","FAIL - Missing UPC")</f>
        <v>PASS</v>
      </c>
      <c r="N805" s="20" t="str">
        <f aca="false">IF(AND(G805&lt;&gt;"",H805&lt;&gt;""),IF("0"&amp;G805=H805,"PASS","FAIL - GTIN Mismatch"),"SKIP")</f>
        <v>PASS</v>
      </c>
      <c r="O805" s="20" t="str">
        <f aca="false">IF(I805="","FAIL - No Title",IF(LEN(I805)&lt;=126,"PASS","FAIL - Title &gt;"&amp;126&amp;" chars"))</f>
        <v>PASS</v>
      </c>
      <c r="P805" s="20" t="str">
        <f aca="false">IF(J805&gt;0,IF(J805&lt;5000,"PASS","FLAG - Review Price"),"FAIL - Zero Price")</f>
        <v>PASS</v>
      </c>
      <c r="Q805" s="20" t="str">
        <f aca="false">IF('Raw Catalog'!P803&lt;&gt;"","PASS","FAIL - No Image")</f>
        <v>PASS</v>
      </c>
      <c r="R805" s="20" t="str">
        <f aca="false">IF(F805&lt;&gt;"","PASS","FAIL - No Brand")</f>
        <v>FAIL - No Brand</v>
      </c>
      <c r="S805" s="20" t="str">
        <f aca="true">IF(K805="","FAIL - No Date",IF(TODAY()-DATEVALUE(K805)&lt;=180,"PASS","FLAG - Stale &gt;180d"))</f>
        <v>FLAG - Stale &gt;180d</v>
      </c>
      <c r="T805" s="20" t="n">
        <f aca="false">COUNTIF(M805:S805,"FAIL*")+COUNTIF(M805:S805,"FLAG*")</f>
        <v>2</v>
      </c>
      <c r="U805" s="20" t="str">
        <f aca="false">IF(T805=0,"CLEAN",IF(T805=1,"MINOR",IF(T805&lt;=3,"MODERATE","CRITICAL")))</f>
        <v>MODERATE</v>
      </c>
      <c r="V805" s="20" t="str">
        <f aca="false">IF(U805="CLEAN","None",IF(U805="MINOR","Seller Notify",IF(U805="MODERATE","Listing Suspended","Immediate Removal")))</f>
        <v>Listing Suspended</v>
      </c>
    </row>
    <row r="806" customFormat="false" ht="18" hidden="false" customHeight="true" outlineLevel="0" collapsed="false">
      <c r="A806" s="19" t="s">
        <v>6883</v>
      </c>
      <c r="B806" s="19" t="s">
        <v>4996</v>
      </c>
      <c r="C806" s="19" t="s">
        <v>125</v>
      </c>
      <c r="D806" s="19" t="s">
        <v>126</v>
      </c>
      <c r="E806" s="19" t="s">
        <v>79</v>
      </c>
      <c r="F806" s="19" t="s">
        <v>956</v>
      </c>
      <c r="G806" s="19" t="s">
        <v>4998</v>
      </c>
      <c r="H806" s="19" t="s">
        <v>4999</v>
      </c>
      <c r="I806" s="19" t="s">
        <v>5000</v>
      </c>
      <c r="J806" s="19" t="n">
        <v>612</v>
      </c>
      <c r="K806" s="19" t="s">
        <v>4130</v>
      </c>
      <c r="L806" s="21" t="s">
        <v>325</v>
      </c>
      <c r="M806" s="20" t="str">
        <f aca="false">IF(G806&lt;&gt;"","PASS","FAIL - Missing UPC")</f>
        <v>PASS</v>
      </c>
      <c r="N806" s="20" t="str">
        <f aca="false">IF(AND(G806&lt;&gt;"",H806&lt;&gt;""),IF("0"&amp;G806=H806,"PASS","FAIL - GTIN Mismatch"),"SKIP")</f>
        <v>PASS</v>
      </c>
      <c r="O806" s="20" t="str">
        <f aca="false">IF(I806="","FAIL - No Title",IF(LEN(I806)&lt;=126,"PASS","FAIL - Title &gt;"&amp;126&amp;" chars"))</f>
        <v>PASS</v>
      </c>
      <c r="P806" s="20" t="str">
        <f aca="false">IF(J806&gt;0,IF(J806&lt;5000,"PASS","FLAG - Review Price"),"FAIL - Zero Price")</f>
        <v>PASS</v>
      </c>
      <c r="Q806" s="20" t="str">
        <f aca="false">IF('Raw Catalog'!P804&lt;&gt;"","PASS","FAIL - No Image")</f>
        <v>PASS</v>
      </c>
      <c r="R806" s="20" t="str">
        <f aca="false">IF(F806&lt;&gt;"","PASS","FAIL - No Brand")</f>
        <v>PASS</v>
      </c>
      <c r="S806" s="20" t="str">
        <f aca="true">IF(K806="","FAIL - No Date",IF(TODAY()-DATEVALUE(K806)&lt;=180,"PASS","FLAG - Stale &gt;180d"))</f>
        <v>FLAG - Stale &gt;180d</v>
      </c>
      <c r="T806" s="20" t="n">
        <f aca="false">COUNTIF(M806:S806,"FAIL*")+COUNTIF(M806:S806,"FLAG*")</f>
        <v>1</v>
      </c>
      <c r="U806" s="20" t="str">
        <f aca="false">IF(T806=0,"CLEAN",IF(T806=1,"MINOR",IF(T806&lt;=3,"MODERATE","CRITICAL")))</f>
        <v>MINOR</v>
      </c>
      <c r="V806" s="20" t="str">
        <f aca="false">IF(U806="CLEAN","None",IF(U806="MINOR","Seller Notify",IF(U806="MODERATE","Listing Suspended","Immediate Removal")))</f>
        <v>Seller Notify</v>
      </c>
    </row>
    <row r="807" customFormat="false" ht="18" hidden="false" customHeight="true" outlineLevel="0" collapsed="false">
      <c r="A807" s="19" t="s">
        <v>6884</v>
      </c>
      <c r="B807" s="19" t="s">
        <v>5002</v>
      </c>
      <c r="C807" s="19" t="s">
        <v>159</v>
      </c>
      <c r="D807" s="19" t="s">
        <v>160</v>
      </c>
      <c r="E807" s="19" t="s">
        <v>50</v>
      </c>
      <c r="F807" s="19" t="s">
        <v>138</v>
      </c>
      <c r="G807" s="19" t="s">
        <v>5004</v>
      </c>
      <c r="H807" s="19" t="s">
        <v>5005</v>
      </c>
      <c r="I807" s="19" t="s">
        <v>1502</v>
      </c>
      <c r="J807" s="19" t="n">
        <v>386.25</v>
      </c>
      <c r="K807" s="19" t="s">
        <v>293</v>
      </c>
      <c r="L807" s="19"/>
      <c r="M807" s="20" t="str">
        <f aca="false">IF(G807&lt;&gt;"","PASS","FAIL - Missing UPC")</f>
        <v>PASS</v>
      </c>
      <c r="N807" s="20" t="str">
        <f aca="false">IF(AND(G807&lt;&gt;"",H807&lt;&gt;""),IF("0"&amp;G807=H807,"PASS","FAIL - GTIN Mismatch"),"SKIP")</f>
        <v>PASS</v>
      </c>
      <c r="O807" s="20" t="str">
        <f aca="false">IF(I807="","FAIL - No Title",IF(LEN(I807)&lt;=126,"PASS","FAIL - Title &gt;"&amp;126&amp;" chars"))</f>
        <v>PASS</v>
      </c>
      <c r="P807" s="20" t="str">
        <f aca="false">IF(J807&gt;0,IF(J807&lt;5000,"PASS","FLAG - Review Price"),"FAIL - Zero Price")</f>
        <v>PASS</v>
      </c>
      <c r="Q807" s="20" t="str">
        <f aca="false">IF('Raw Catalog'!P805&lt;&gt;"","PASS","FAIL - No Image")</f>
        <v>PASS</v>
      </c>
      <c r="R807" s="20" t="str">
        <f aca="false">IF(F807&lt;&gt;"","PASS","FAIL - No Brand")</f>
        <v>PASS</v>
      </c>
      <c r="S807" s="20" t="str">
        <f aca="true">IF(K807="","FAIL - No Date",IF(TODAY()-DATEVALUE(K807)&lt;=180,"PASS","FLAG - Stale &gt;180d"))</f>
        <v>FLAG - Stale &gt;180d</v>
      </c>
      <c r="T807" s="20" t="n">
        <f aca="false">COUNTIF(M807:S807,"FAIL*")+COUNTIF(M807:S807,"FLAG*")</f>
        <v>1</v>
      </c>
      <c r="U807" s="20" t="str">
        <f aca="false">IF(T807=0,"CLEAN",IF(T807=1,"MINOR",IF(T807&lt;=3,"MODERATE","CRITICAL")))</f>
        <v>MINOR</v>
      </c>
      <c r="V807" s="20" t="str">
        <f aca="false">IF(U807="CLEAN","None",IF(U807="MINOR","Seller Notify",IF(U807="MODERATE","Listing Suspended","Immediate Removal")))</f>
        <v>Seller Notify</v>
      </c>
    </row>
    <row r="808" customFormat="false" ht="18" hidden="false" customHeight="true" outlineLevel="0" collapsed="false">
      <c r="A808" s="19" t="s">
        <v>6885</v>
      </c>
      <c r="B808" s="19" t="s">
        <v>5007</v>
      </c>
      <c r="C808" s="19" t="s">
        <v>173</v>
      </c>
      <c r="D808" s="19" t="s">
        <v>174</v>
      </c>
      <c r="E808" s="19" t="s">
        <v>50</v>
      </c>
      <c r="F808" s="19" t="s">
        <v>127</v>
      </c>
      <c r="G808" s="19" t="s">
        <v>5009</v>
      </c>
      <c r="H808" s="19" t="s">
        <v>5010</v>
      </c>
      <c r="I808" s="19" t="s">
        <v>5011</v>
      </c>
      <c r="J808" s="19" t="n">
        <v>355.11</v>
      </c>
      <c r="K808" s="19" t="s">
        <v>5012</v>
      </c>
      <c r="L808" s="19"/>
      <c r="M808" s="20" t="str">
        <f aca="false">IF(G808&lt;&gt;"","PASS","FAIL - Missing UPC")</f>
        <v>PASS</v>
      </c>
      <c r="N808" s="20" t="str">
        <f aca="false">IF(AND(G808&lt;&gt;"",H808&lt;&gt;""),IF("0"&amp;G808=H808,"PASS","FAIL - GTIN Mismatch"),"SKIP")</f>
        <v>PASS</v>
      </c>
      <c r="O808" s="20" t="str">
        <f aca="false">IF(I808="","FAIL - No Title",IF(LEN(I808)&lt;=126,"PASS","FAIL - Title &gt;"&amp;126&amp;" chars"))</f>
        <v>PASS</v>
      </c>
      <c r="P808" s="20" t="str">
        <f aca="false">IF(J808&gt;0,IF(J808&lt;5000,"PASS","FLAG - Review Price"),"FAIL - Zero Price")</f>
        <v>PASS</v>
      </c>
      <c r="Q808" s="20" t="str">
        <f aca="false">IF('Raw Catalog'!P806&lt;&gt;"","PASS","FAIL - No Image")</f>
        <v>PASS</v>
      </c>
      <c r="R808" s="20" t="str">
        <f aca="false">IF(F808&lt;&gt;"","PASS","FAIL - No Brand")</f>
        <v>PASS</v>
      </c>
      <c r="S808" s="20" t="str">
        <f aca="true">IF(K808="","FAIL - No Date",IF(TODAY()-DATEVALUE(K808)&lt;=180,"PASS","FLAG - Stale &gt;180d"))</f>
        <v>FLAG - Stale &gt;180d</v>
      </c>
      <c r="T808" s="20" t="n">
        <f aca="false">COUNTIF(M808:S808,"FAIL*")+COUNTIF(M808:S808,"FLAG*")</f>
        <v>1</v>
      </c>
      <c r="U808" s="20" t="str">
        <f aca="false">IF(T808=0,"CLEAN",IF(T808=1,"MINOR",IF(T808&lt;=3,"MODERATE","CRITICAL")))</f>
        <v>MINOR</v>
      </c>
      <c r="V808" s="20" t="str">
        <f aca="false">IF(U808="CLEAN","None",IF(U808="MINOR","Seller Notify",IF(U808="MODERATE","Listing Suspended","Immediate Removal")))</f>
        <v>Seller Notify</v>
      </c>
    </row>
    <row r="809" customFormat="false" ht="18" hidden="false" customHeight="true" outlineLevel="0" collapsed="false">
      <c r="A809" s="19" t="s">
        <v>6886</v>
      </c>
      <c r="B809" s="19" t="s">
        <v>5013</v>
      </c>
      <c r="C809" s="19" t="s">
        <v>48</v>
      </c>
      <c r="D809" s="19" t="s">
        <v>49</v>
      </c>
      <c r="E809" s="19" t="s">
        <v>65</v>
      </c>
      <c r="F809" s="19" t="s">
        <v>438</v>
      </c>
      <c r="G809" s="19" t="s">
        <v>5015</v>
      </c>
      <c r="H809" s="19" t="s">
        <v>5016</v>
      </c>
      <c r="I809" s="19" t="s">
        <v>2220</v>
      </c>
      <c r="J809" s="19" t="n">
        <v>109.42</v>
      </c>
      <c r="K809" s="19" t="s">
        <v>2268</v>
      </c>
      <c r="L809" s="19"/>
      <c r="M809" s="20" t="str">
        <f aca="false">IF(G809&lt;&gt;"","PASS","FAIL - Missing UPC")</f>
        <v>PASS</v>
      </c>
      <c r="N809" s="20" t="str">
        <f aca="false">IF(AND(G809&lt;&gt;"",H809&lt;&gt;""),IF("0"&amp;G809=H809,"PASS","FAIL - GTIN Mismatch"),"SKIP")</f>
        <v>PASS</v>
      </c>
      <c r="O809" s="20" t="str">
        <f aca="false">IF(I809="","FAIL - No Title",IF(LEN(I809)&lt;=126,"PASS","FAIL - Title &gt;"&amp;126&amp;" chars"))</f>
        <v>PASS</v>
      </c>
      <c r="P809" s="20" t="str">
        <f aca="false">IF(J809&gt;0,IF(J809&lt;5000,"PASS","FLAG - Review Price"),"FAIL - Zero Price")</f>
        <v>PASS</v>
      </c>
      <c r="Q809" s="20" t="str">
        <f aca="false">IF('Raw Catalog'!P807&lt;&gt;"","PASS","FAIL - No Image")</f>
        <v>PASS</v>
      </c>
      <c r="R809" s="20" t="str">
        <f aca="false">IF(F809&lt;&gt;"","PASS","FAIL - No Brand")</f>
        <v>PASS</v>
      </c>
      <c r="S809" s="20" t="str">
        <f aca="true">IF(K809="","FAIL - No Date",IF(TODAY()-DATEVALUE(K809)&lt;=180,"PASS","FLAG - Stale &gt;180d"))</f>
        <v>FLAG - Stale &gt;180d</v>
      </c>
      <c r="T809" s="20" t="n">
        <f aca="false">COUNTIF(M809:S809,"FAIL*")+COUNTIF(M809:S809,"FLAG*")</f>
        <v>1</v>
      </c>
      <c r="U809" s="20" t="str">
        <f aca="false">IF(T809=0,"CLEAN",IF(T809=1,"MINOR",IF(T809&lt;=3,"MODERATE","CRITICAL")))</f>
        <v>MINOR</v>
      </c>
      <c r="V809" s="20" t="str">
        <f aca="false">IF(U809="CLEAN","None",IF(U809="MINOR","Seller Notify",IF(U809="MODERATE","Listing Suspended","Immediate Removal")))</f>
        <v>Seller Notify</v>
      </c>
    </row>
    <row r="810" customFormat="false" ht="18" hidden="false" customHeight="true" outlineLevel="0" collapsed="false">
      <c r="A810" s="19" t="s">
        <v>6887</v>
      </c>
      <c r="B810" s="19" t="s">
        <v>5017</v>
      </c>
      <c r="C810" s="19" t="s">
        <v>48</v>
      </c>
      <c r="D810" s="19" t="s">
        <v>49</v>
      </c>
      <c r="E810" s="19" t="s">
        <v>91</v>
      </c>
      <c r="F810" s="19" t="s">
        <v>245</v>
      </c>
      <c r="G810" s="19" t="s">
        <v>5019</v>
      </c>
      <c r="H810" s="19" t="s">
        <v>5020</v>
      </c>
      <c r="I810" s="19" t="s">
        <v>1832</v>
      </c>
      <c r="J810" s="19" t="n">
        <v>498.64</v>
      </c>
      <c r="K810" s="19" t="s">
        <v>2392</v>
      </c>
      <c r="L810" s="21" t="s">
        <v>453</v>
      </c>
      <c r="M810" s="20" t="str">
        <f aca="false">IF(G810&lt;&gt;"","PASS","FAIL - Missing UPC")</f>
        <v>PASS</v>
      </c>
      <c r="N810" s="20" t="str">
        <f aca="false">IF(AND(G810&lt;&gt;"",H810&lt;&gt;""),IF("0"&amp;G810=H810,"PASS","FAIL - GTIN Mismatch"),"SKIP")</f>
        <v>PASS</v>
      </c>
      <c r="O810" s="20" t="str">
        <f aca="false">IF(I810="","FAIL - No Title",IF(LEN(I810)&lt;=126,"PASS","FAIL - Title &gt;"&amp;126&amp;" chars"))</f>
        <v>PASS</v>
      </c>
      <c r="P810" s="20" t="str">
        <f aca="false">IF(J810&gt;0,IF(J810&lt;5000,"PASS","FLAG - Review Price"),"FAIL - Zero Price")</f>
        <v>PASS</v>
      </c>
      <c r="Q810" s="20" t="str">
        <f aca="false">IF('Raw Catalog'!P808&lt;&gt;"","PASS","FAIL - No Image")</f>
        <v>PASS</v>
      </c>
      <c r="R810" s="20" t="str">
        <f aca="false">IF(F810&lt;&gt;"","PASS","FAIL - No Brand")</f>
        <v>PASS</v>
      </c>
      <c r="S810" s="20" t="str">
        <f aca="true">IF(K810="","FAIL - No Date",IF(TODAY()-DATEVALUE(K810)&lt;=180,"PASS","FLAG - Stale &gt;180d"))</f>
        <v>FLAG - Stale &gt;180d</v>
      </c>
      <c r="T810" s="20" t="n">
        <f aca="false">COUNTIF(M810:S810,"FAIL*")+COUNTIF(M810:S810,"FLAG*")</f>
        <v>1</v>
      </c>
      <c r="U810" s="20" t="str">
        <f aca="false">IF(T810=0,"CLEAN",IF(T810=1,"MINOR",IF(T810&lt;=3,"MODERATE","CRITICAL")))</f>
        <v>MINOR</v>
      </c>
      <c r="V810" s="20" t="str">
        <f aca="false">IF(U810="CLEAN","None",IF(U810="MINOR","Seller Notify",IF(U810="MODERATE","Listing Suspended","Immediate Removal")))</f>
        <v>Seller Notify</v>
      </c>
    </row>
    <row r="811" customFormat="false" ht="18" hidden="false" customHeight="true" outlineLevel="0" collapsed="false">
      <c r="A811" s="19" t="s">
        <v>6888</v>
      </c>
      <c r="B811" s="19" t="s">
        <v>5021</v>
      </c>
      <c r="C811" s="19" t="s">
        <v>125</v>
      </c>
      <c r="D811" s="19" t="s">
        <v>126</v>
      </c>
      <c r="E811" s="19" t="s">
        <v>161</v>
      </c>
      <c r="F811" s="19" t="s">
        <v>51</v>
      </c>
      <c r="G811" s="19" t="s">
        <v>5023</v>
      </c>
      <c r="H811" s="19" t="s">
        <v>5024</v>
      </c>
      <c r="I811" s="19" t="s">
        <v>4577</v>
      </c>
      <c r="J811" s="19" t="n">
        <v>546.99</v>
      </c>
      <c r="K811" s="19" t="s">
        <v>1157</v>
      </c>
      <c r="L811" s="19"/>
      <c r="M811" s="20" t="str">
        <f aca="false">IF(G811&lt;&gt;"","PASS","FAIL - Missing UPC")</f>
        <v>PASS</v>
      </c>
      <c r="N811" s="20" t="str">
        <f aca="false">IF(AND(G811&lt;&gt;"",H811&lt;&gt;""),IF("0"&amp;G811=H811,"PASS","FAIL - GTIN Mismatch"),"SKIP")</f>
        <v>PASS</v>
      </c>
      <c r="O811" s="20" t="str">
        <f aca="false">IF(I811="","FAIL - No Title",IF(LEN(I811)&lt;=126,"PASS","FAIL - Title &gt;"&amp;126&amp;" chars"))</f>
        <v>PASS</v>
      </c>
      <c r="P811" s="20" t="str">
        <f aca="false">IF(J811&gt;0,IF(J811&lt;5000,"PASS","FLAG - Review Price"),"FAIL - Zero Price")</f>
        <v>PASS</v>
      </c>
      <c r="Q811" s="20" t="str">
        <f aca="false">IF('Raw Catalog'!P809&lt;&gt;"","PASS","FAIL - No Image")</f>
        <v>PASS</v>
      </c>
      <c r="R811" s="20" t="str">
        <f aca="false">IF(F811&lt;&gt;"","PASS","FAIL - No Brand")</f>
        <v>PASS</v>
      </c>
      <c r="S811" s="20" t="str">
        <f aca="true">IF(K811="","FAIL - No Date",IF(TODAY()-DATEVALUE(K811)&lt;=180,"PASS","FLAG - Stale &gt;180d"))</f>
        <v>FLAG - Stale &gt;180d</v>
      </c>
      <c r="T811" s="20" t="n">
        <f aca="false">COUNTIF(M811:S811,"FAIL*")+COUNTIF(M811:S811,"FLAG*")</f>
        <v>1</v>
      </c>
      <c r="U811" s="20" t="str">
        <f aca="false">IF(T811=0,"CLEAN",IF(T811=1,"MINOR",IF(T811&lt;=3,"MODERATE","CRITICAL")))</f>
        <v>MINOR</v>
      </c>
      <c r="V811" s="20" t="str">
        <f aca="false">IF(U811="CLEAN","None",IF(U811="MINOR","Seller Notify",IF(U811="MODERATE","Listing Suspended","Immediate Removal")))</f>
        <v>Seller Notify</v>
      </c>
    </row>
    <row r="812" customFormat="false" ht="18" hidden="false" customHeight="true" outlineLevel="0" collapsed="false">
      <c r="A812" s="19" t="s">
        <v>6889</v>
      </c>
      <c r="B812" s="19" t="s">
        <v>5025</v>
      </c>
      <c r="C812" s="19" t="s">
        <v>77</v>
      </c>
      <c r="D812" s="19" t="s">
        <v>78</v>
      </c>
      <c r="E812" s="19" t="s">
        <v>161</v>
      </c>
      <c r="F812" s="19" t="s">
        <v>429</v>
      </c>
      <c r="G812" s="19" t="s">
        <v>5027</v>
      </c>
      <c r="H812" s="19" t="s">
        <v>5028</v>
      </c>
      <c r="I812" s="19" t="s">
        <v>5029</v>
      </c>
      <c r="J812" s="19" t="n">
        <v>345.75</v>
      </c>
      <c r="K812" s="19" t="s">
        <v>5030</v>
      </c>
      <c r="L812" s="19"/>
      <c r="M812" s="20" t="str">
        <f aca="false">IF(G812&lt;&gt;"","PASS","FAIL - Missing UPC")</f>
        <v>PASS</v>
      </c>
      <c r="N812" s="20" t="str">
        <f aca="false">IF(AND(G812&lt;&gt;"",H812&lt;&gt;""),IF("0"&amp;G812=H812,"PASS","FAIL - GTIN Mismatch"),"SKIP")</f>
        <v>PASS</v>
      </c>
      <c r="O812" s="20" t="str">
        <f aca="false">IF(I812="","FAIL - No Title",IF(LEN(I812)&lt;=126,"PASS","FAIL - Title &gt;"&amp;126&amp;" chars"))</f>
        <v>PASS</v>
      </c>
      <c r="P812" s="20" t="str">
        <f aca="false">IF(J812&gt;0,IF(J812&lt;5000,"PASS","FLAG - Review Price"),"FAIL - Zero Price")</f>
        <v>PASS</v>
      </c>
      <c r="Q812" s="20" t="str">
        <f aca="false">IF('Raw Catalog'!P810&lt;&gt;"","PASS","FAIL - No Image")</f>
        <v>PASS</v>
      </c>
      <c r="R812" s="20" t="str">
        <f aca="false">IF(F812&lt;&gt;"","PASS","FAIL - No Brand")</f>
        <v>PASS</v>
      </c>
      <c r="S812" s="20" t="str">
        <f aca="true">IF(K812="","FAIL - No Date",IF(TODAY()-DATEVALUE(K812)&lt;=180,"PASS","FLAG - Stale &gt;180d"))</f>
        <v>FLAG - Stale &gt;180d</v>
      </c>
      <c r="T812" s="20" t="n">
        <f aca="false">COUNTIF(M812:S812,"FAIL*")+COUNTIF(M812:S812,"FLAG*")</f>
        <v>1</v>
      </c>
      <c r="U812" s="20" t="str">
        <f aca="false">IF(T812=0,"CLEAN",IF(T812=1,"MINOR",IF(T812&lt;=3,"MODERATE","CRITICAL")))</f>
        <v>MINOR</v>
      </c>
      <c r="V812" s="20" t="str">
        <f aca="false">IF(U812="CLEAN","None",IF(U812="MINOR","Seller Notify",IF(U812="MODERATE","Listing Suspended","Immediate Removal")))</f>
        <v>Seller Notify</v>
      </c>
    </row>
    <row r="813" customFormat="false" ht="18" hidden="false" customHeight="true" outlineLevel="0" collapsed="false">
      <c r="A813" s="19" t="s">
        <v>6890</v>
      </c>
      <c r="B813" s="19" t="s">
        <v>5031</v>
      </c>
      <c r="C813" s="19" t="s">
        <v>125</v>
      </c>
      <c r="D813" s="19" t="s">
        <v>126</v>
      </c>
      <c r="E813" s="19" t="s">
        <v>91</v>
      </c>
      <c r="F813" s="19" t="s">
        <v>780</v>
      </c>
      <c r="G813" s="19" t="s">
        <v>5033</v>
      </c>
      <c r="H813" s="19" t="s">
        <v>5034</v>
      </c>
      <c r="I813" s="19" t="s">
        <v>5035</v>
      </c>
      <c r="J813" s="19" t="n">
        <v>3757.12</v>
      </c>
      <c r="K813" s="19" t="s">
        <v>1700</v>
      </c>
      <c r="L813" s="19"/>
      <c r="M813" s="20" t="str">
        <f aca="false">IF(G813&lt;&gt;"","PASS","FAIL - Missing UPC")</f>
        <v>PASS</v>
      </c>
      <c r="N813" s="20" t="str">
        <f aca="false">IF(AND(G813&lt;&gt;"",H813&lt;&gt;""),IF("0"&amp;G813=H813,"PASS","FAIL - GTIN Mismatch"),"SKIP")</f>
        <v>PASS</v>
      </c>
      <c r="O813" s="20" t="str">
        <f aca="false">IF(I813="","FAIL - No Title",IF(LEN(I813)&lt;=126,"PASS","FAIL - Title &gt;"&amp;126&amp;" chars"))</f>
        <v>PASS</v>
      </c>
      <c r="P813" s="20" t="str">
        <f aca="false">IF(J813&gt;0,IF(J813&lt;5000,"PASS","FLAG - Review Price"),"FAIL - Zero Price")</f>
        <v>PASS</v>
      </c>
      <c r="Q813" s="20" t="str">
        <f aca="false">IF('Raw Catalog'!P811&lt;&gt;"","PASS","FAIL - No Image")</f>
        <v>PASS</v>
      </c>
      <c r="R813" s="20" t="str">
        <f aca="false">IF(F813&lt;&gt;"","PASS","FAIL - No Brand")</f>
        <v>PASS</v>
      </c>
      <c r="S813" s="20" t="str">
        <f aca="true">IF(K813="","FAIL - No Date",IF(TODAY()-DATEVALUE(K813)&lt;=180,"PASS","FLAG - Stale &gt;180d"))</f>
        <v>FLAG - Stale &gt;180d</v>
      </c>
      <c r="T813" s="20" t="n">
        <f aca="false">COUNTIF(M813:S813,"FAIL*")+COUNTIF(M813:S813,"FLAG*")</f>
        <v>1</v>
      </c>
      <c r="U813" s="20" t="str">
        <f aca="false">IF(T813=0,"CLEAN",IF(T813=1,"MINOR",IF(T813&lt;=3,"MODERATE","CRITICAL")))</f>
        <v>MINOR</v>
      </c>
      <c r="V813" s="20" t="str">
        <f aca="false">IF(U813="CLEAN","None",IF(U813="MINOR","Seller Notify",IF(U813="MODERATE","Listing Suspended","Immediate Removal")))</f>
        <v>Seller Notify</v>
      </c>
    </row>
    <row r="814" customFormat="false" ht="18" hidden="false" customHeight="true" outlineLevel="0" collapsed="false">
      <c r="A814" s="19" t="s">
        <v>6891</v>
      </c>
      <c r="B814" s="19" t="s">
        <v>5036</v>
      </c>
      <c r="C814" s="19" t="s">
        <v>173</v>
      </c>
      <c r="D814" s="19" t="s">
        <v>174</v>
      </c>
      <c r="E814" s="19" t="s">
        <v>50</v>
      </c>
      <c r="F814" s="19" t="s">
        <v>115</v>
      </c>
      <c r="G814" s="19" t="s">
        <v>5038</v>
      </c>
      <c r="H814" s="19" t="s">
        <v>5039</v>
      </c>
      <c r="I814" s="19" t="s">
        <v>5040</v>
      </c>
      <c r="J814" s="19" t="n">
        <v>786.72</v>
      </c>
      <c r="K814" s="19" t="s">
        <v>1283</v>
      </c>
      <c r="L814" s="19"/>
      <c r="M814" s="20" t="str">
        <f aca="false">IF(G814&lt;&gt;"","PASS","FAIL - Missing UPC")</f>
        <v>PASS</v>
      </c>
      <c r="N814" s="20" t="str">
        <f aca="false">IF(AND(G814&lt;&gt;"",H814&lt;&gt;""),IF("0"&amp;G814=H814,"PASS","FAIL - GTIN Mismatch"),"SKIP")</f>
        <v>PASS</v>
      </c>
      <c r="O814" s="20" t="str">
        <f aca="false">IF(I814="","FAIL - No Title",IF(LEN(I814)&lt;=126,"PASS","FAIL - Title &gt;"&amp;126&amp;" chars"))</f>
        <v>PASS</v>
      </c>
      <c r="P814" s="20" t="str">
        <f aca="false">IF(J814&gt;0,IF(J814&lt;5000,"PASS","FLAG - Review Price"),"FAIL - Zero Price")</f>
        <v>PASS</v>
      </c>
      <c r="Q814" s="20" t="str">
        <f aca="false">IF('Raw Catalog'!P812&lt;&gt;"","PASS","FAIL - No Image")</f>
        <v>PASS</v>
      </c>
      <c r="R814" s="20" t="str">
        <f aca="false">IF(F814&lt;&gt;"","PASS","FAIL - No Brand")</f>
        <v>PASS</v>
      </c>
      <c r="S814" s="20" t="str">
        <f aca="true">IF(K814="","FAIL - No Date",IF(TODAY()-DATEVALUE(K814)&lt;=180,"PASS","FLAG - Stale &gt;180d"))</f>
        <v>FLAG - Stale &gt;180d</v>
      </c>
      <c r="T814" s="20" t="n">
        <f aca="false">COUNTIF(M814:S814,"FAIL*")+COUNTIF(M814:S814,"FLAG*")</f>
        <v>1</v>
      </c>
      <c r="U814" s="20" t="str">
        <f aca="false">IF(T814=0,"CLEAN",IF(T814=1,"MINOR",IF(T814&lt;=3,"MODERATE","CRITICAL")))</f>
        <v>MINOR</v>
      </c>
      <c r="V814" s="20" t="str">
        <f aca="false">IF(U814="CLEAN","None",IF(U814="MINOR","Seller Notify",IF(U814="MODERATE","Listing Suspended","Immediate Removal")))</f>
        <v>Seller Notify</v>
      </c>
    </row>
    <row r="815" customFormat="false" ht="18" hidden="false" customHeight="true" outlineLevel="0" collapsed="false">
      <c r="A815" s="19" t="s">
        <v>6892</v>
      </c>
      <c r="B815" s="19" t="s">
        <v>5042</v>
      </c>
      <c r="C815" s="19" t="s">
        <v>255</v>
      </c>
      <c r="D815" s="19" t="s">
        <v>256</v>
      </c>
      <c r="E815" s="19" t="s">
        <v>79</v>
      </c>
      <c r="F815" s="19" t="s">
        <v>1531</v>
      </c>
      <c r="G815" s="19" t="s">
        <v>5044</v>
      </c>
      <c r="H815" s="19" t="s">
        <v>5045</v>
      </c>
      <c r="I815" s="19" t="s">
        <v>5046</v>
      </c>
      <c r="J815" s="19" t="n">
        <v>644.58</v>
      </c>
      <c r="K815" s="19" t="s">
        <v>5047</v>
      </c>
      <c r="L815" s="19"/>
      <c r="M815" s="20" t="str">
        <f aca="false">IF(G815&lt;&gt;"","PASS","FAIL - Missing UPC")</f>
        <v>PASS</v>
      </c>
      <c r="N815" s="20" t="str">
        <f aca="false">IF(AND(G815&lt;&gt;"",H815&lt;&gt;""),IF("0"&amp;G815=H815,"PASS","FAIL - GTIN Mismatch"),"SKIP")</f>
        <v>PASS</v>
      </c>
      <c r="O815" s="20" t="str">
        <f aca="false">IF(I815="","FAIL - No Title",IF(LEN(I815)&lt;=126,"PASS","FAIL - Title &gt;"&amp;126&amp;" chars"))</f>
        <v>PASS</v>
      </c>
      <c r="P815" s="20" t="str">
        <f aca="false">IF(J815&gt;0,IF(J815&lt;5000,"PASS","FLAG - Review Price"),"FAIL - Zero Price")</f>
        <v>PASS</v>
      </c>
      <c r="Q815" s="20" t="str">
        <f aca="false">IF('Raw Catalog'!P813&lt;&gt;"","PASS","FAIL - No Image")</f>
        <v>PASS</v>
      </c>
      <c r="R815" s="20" t="str">
        <f aca="false">IF(F815&lt;&gt;"","PASS","FAIL - No Brand")</f>
        <v>PASS</v>
      </c>
      <c r="S815" s="20" t="str">
        <f aca="true">IF(K815="","FAIL - No Date",IF(TODAY()-DATEVALUE(K815)&lt;=180,"PASS","FLAG - Stale &gt;180d"))</f>
        <v>FLAG - Stale &gt;180d</v>
      </c>
      <c r="T815" s="20" t="n">
        <f aca="false">COUNTIF(M815:S815,"FAIL*")+COUNTIF(M815:S815,"FLAG*")</f>
        <v>1</v>
      </c>
      <c r="U815" s="20" t="str">
        <f aca="false">IF(T815=0,"CLEAN",IF(T815=1,"MINOR",IF(T815&lt;=3,"MODERATE","CRITICAL")))</f>
        <v>MINOR</v>
      </c>
      <c r="V815" s="20" t="str">
        <f aca="false">IF(U815="CLEAN","None",IF(U815="MINOR","Seller Notify",IF(U815="MODERATE","Listing Suspended","Immediate Removal")))</f>
        <v>Seller Notify</v>
      </c>
    </row>
    <row r="816" customFormat="false" ht="18" hidden="false" customHeight="true" outlineLevel="0" collapsed="false">
      <c r="A816" s="19" t="s">
        <v>6893</v>
      </c>
      <c r="B816" s="19" t="s">
        <v>5048</v>
      </c>
      <c r="C816" s="19" t="s">
        <v>113</v>
      </c>
      <c r="D816" s="19" t="s">
        <v>114</v>
      </c>
      <c r="E816" s="19" t="s">
        <v>91</v>
      </c>
      <c r="F816" s="19" t="s">
        <v>185</v>
      </c>
      <c r="G816" s="19" t="s">
        <v>5050</v>
      </c>
      <c r="H816" s="19" t="s">
        <v>5051</v>
      </c>
      <c r="I816" s="19" t="s">
        <v>5052</v>
      </c>
      <c r="J816" s="19" t="n">
        <v>533.99</v>
      </c>
      <c r="K816" s="19" t="s">
        <v>1867</v>
      </c>
      <c r="L816" s="19"/>
      <c r="M816" s="20" t="str">
        <f aca="false">IF(G816&lt;&gt;"","PASS","FAIL - Missing UPC")</f>
        <v>PASS</v>
      </c>
      <c r="N816" s="20" t="str">
        <f aca="false">IF(AND(G816&lt;&gt;"",H816&lt;&gt;""),IF("0"&amp;G816=H816,"PASS","FAIL - GTIN Mismatch"),"SKIP")</f>
        <v>PASS</v>
      </c>
      <c r="O816" s="20" t="str">
        <f aca="false">IF(I816="","FAIL - No Title",IF(LEN(I816)&lt;=126,"PASS","FAIL - Title &gt;"&amp;126&amp;" chars"))</f>
        <v>PASS</v>
      </c>
      <c r="P816" s="20" t="str">
        <f aca="false">IF(J816&gt;0,IF(J816&lt;5000,"PASS","FLAG - Review Price"),"FAIL - Zero Price")</f>
        <v>PASS</v>
      </c>
      <c r="Q816" s="20" t="str">
        <f aca="false">IF('Raw Catalog'!P814&lt;&gt;"","PASS","FAIL - No Image")</f>
        <v>PASS</v>
      </c>
      <c r="R816" s="20" t="str">
        <f aca="false">IF(F816&lt;&gt;"","PASS","FAIL - No Brand")</f>
        <v>PASS</v>
      </c>
      <c r="S816" s="20" t="str">
        <f aca="true">IF(K816="","FAIL - No Date",IF(TODAY()-DATEVALUE(K816)&lt;=180,"PASS","FLAG - Stale &gt;180d"))</f>
        <v>FLAG - Stale &gt;180d</v>
      </c>
      <c r="T816" s="20" t="n">
        <f aca="false">COUNTIF(M816:S816,"FAIL*")+COUNTIF(M816:S816,"FLAG*")</f>
        <v>1</v>
      </c>
      <c r="U816" s="20" t="str">
        <f aca="false">IF(T816=0,"CLEAN",IF(T816=1,"MINOR",IF(T816&lt;=3,"MODERATE","CRITICAL")))</f>
        <v>MINOR</v>
      </c>
      <c r="V816" s="20" t="str">
        <f aca="false">IF(U816="CLEAN","None",IF(U816="MINOR","Seller Notify",IF(U816="MODERATE","Listing Suspended","Immediate Removal")))</f>
        <v>Seller Notify</v>
      </c>
    </row>
    <row r="817" customFormat="false" ht="18" hidden="false" customHeight="true" outlineLevel="0" collapsed="false">
      <c r="A817" s="19" t="s">
        <v>6894</v>
      </c>
      <c r="B817" s="19" t="s">
        <v>5053</v>
      </c>
      <c r="C817" s="19" t="s">
        <v>63</v>
      </c>
      <c r="D817" s="19" t="s">
        <v>64</v>
      </c>
      <c r="E817" s="19" t="s">
        <v>161</v>
      </c>
      <c r="F817" s="19" t="s">
        <v>295</v>
      </c>
      <c r="G817" s="19" t="s">
        <v>5055</v>
      </c>
      <c r="H817" s="19" t="s">
        <v>5056</v>
      </c>
      <c r="I817" s="19" t="s">
        <v>5057</v>
      </c>
      <c r="J817" s="19" t="n">
        <v>475.71</v>
      </c>
      <c r="K817" s="19" t="s">
        <v>4100</v>
      </c>
      <c r="L817" s="19"/>
      <c r="M817" s="20" t="str">
        <f aca="false">IF(G817&lt;&gt;"","PASS","FAIL - Missing UPC")</f>
        <v>PASS</v>
      </c>
      <c r="N817" s="20" t="str">
        <f aca="false">IF(AND(G817&lt;&gt;"",H817&lt;&gt;""),IF("0"&amp;G817=H817,"PASS","FAIL - GTIN Mismatch"),"SKIP")</f>
        <v>PASS</v>
      </c>
      <c r="O817" s="20" t="str">
        <f aca="false">IF(I817="","FAIL - No Title",IF(LEN(I817)&lt;=126,"PASS","FAIL - Title &gt;"&amp;126&amp;" chars"))</f>
        <v>PASS</v>
      </c>
      <c r="P817" s="20" t="str">
        <f aca="false">IF(J817&gt;0,IF(J817&lt;5000,"PASS","FLAG - Review Price"),"FAIL - Zero Price")</f>
        <v>PASS</v>
      </c>
      <c r="Q817" s="20" t="str">
        <f aca="false">IF('Raw Catalog'!P815&lt;&gt;"","PASS","FAIL - No Image")</f>
        <v>PASS</v>
      </c>
      <c r="R817" s="20" t="str">
        <f aca="false">IF(F817&lt;&gt;"","PASS","FAIL - No Brand")</f>
        <v>PASS</v>
      </c>
      <c r="S817" s="20" t="str">
        <f aca="true">IF(K817="","FAIL - No Date",IF(TODAY()-DATEVALUE(K817)&lt;=180,"PASS","FLAG - Stale &gt;180d"))</f>
        <v>FLAG - Stale &gt;180d</v>
      </c>
      <c r="T817" s="20" t="n">
        <f aca="false">COUNTIF(M817:S817,"FAIL*")+COUNTIF(M817:S817,"FLAG*")</f>
        <v>1</v>
      </c>
      <c r="U817" s="20" t="str">
        <f aca="false">IF(T817=0,"CLEAN",IF(T817=1,"MINOR",IF(T817&lt;=3,"MODERATE","CRITICAL")))</f>
        <v>MINOR</v>
      </c>
      <c r="V817" s="20" t="str">
        <f aca="false">IF(U817="CLEAN","None",IF(U817="MINOR","Seller Notify",IF(U817="MODERATE","Listing Suspended","Immediate Removal")))</f>
        <v>Seller Notify</v>
      </c>
    </row>
    <row r="818" customFormat="false" ht="18" hidden="false" customHeight="true" outlineLevel="0" collapsed="false">
      <c r="A818" s="19" t="s">
        <v>6895</v>
      </c>
      <c r="B818" s="19" t="s">
        <v>5058</v>
      </c>
      <c r="C818" s="19" t="s">
        <v>48</v>
      </c>
      <c r="D818" s="19" t="s">
        <v>49</v>
      </c>
      <c r="E818" s="19" t="s">
        <v>91</v>
      </c>
      <c r="F818" s="19" t="s">
        <v>138</v>
      </c>
      <c r="G818" s="19" t="s">
        <v>5060</v>
      </c>
      <c r="H818" s="19" t="s">
        <v>5061</v>
      </c>
      <c r="I818" s="19" t="s">
        <v>5062</v>
      </c>
      <c r="J818" s="19" t="n">
        <v>3918.44</v>
      </c>
      <c r="K818" s="19" t="s">
        <v>157</v>
      </c>
      <c r="L818" s="19"/>
      <c r="M818" s="20" t="str">
        <f aca="false">IF(G818&lt;&gt;"","PASS","FAIL - Missing UPC")</f>
        <v>PASS</v>
      </c>
      <c r="N818" s="20" t="str">
        <f aca="false">IF(AND(G818&lt;&gt;"",H818&lt;&gt;""),IF("0"&amp;G818=H818,"PASS","FAIL - GTIN Mismatch"),"SKIP")</f>
        <v>PASS</v>
      </c>
      <c r="O818" s="20" t="str">
        <f aca="false">IF(I818="","FAIL - No Title",IF(LEN(I818)&lt;=126,"PASS","FAIL - Title &gt;"&amp;126&amp;" chars"))</f>
        <v>PASS</v>
      </c>
      <c r="P818" s="20" t="str">
        <f aca="false">IF(J818&gt;0,IF(J818&lt;5000,"PASS","FLAG - Review Price"),"FAIL - Zero Price")</f>
        <v>PASS</v>
      </c>
      <c r="Q818" s="20" t="str">
        <f aca="false">IF('Raw Catalog'!P816&lt;&gt;"","PASS","FAIL - No Image")</f>
        <v>PASS</v>
      </c>
      <c r="R818" s="20" t="str">
        <f aca="false">IF(F818&lt;&gt;"","PASS","FAIL - No Brand")</f>
        <v>PASS</v>
      </c>
      <c r="S818" s="20" t="str">
        <f aca="true">IF(K818="","FAIL - No Date",IF(TODAY()-DATEVALUE(K818)&lt;=180,"PASS","FLAG - Stale &gt;180d"))</f>
        <v>FLAG - Stale &gt;180d</v>
      </c>
      <c r="T818" s="20" t="n">
        <f aca="false">COUNTIF(M818:S818,"FAIL*")+COUNTIF(M818:S818,"FLAG*")</f>
        <v>1</v>
      </c>
      <c r="U818" s="20" t="str">
        <f aca="false">IF(T818=0,"CLEAN",IF(T818=1,"MINOR",IF(T818&lt;=3,"MODERATE","CRITICAL")))</f>
        <v>MINOR</v>
      </c>
      <c r="V818" s="20" t="str">
        <f aca="false">IF(U818="CLEAN","None",IF(U818="MINOR","Seller Notify",IF(U818="MODERATE","Listing Suspended","Immediate Removal")))</f>
        <v>Seller Notify</v>
      </c>
    </row>
    <row r="819" customFormat="false" ht="18" hidden="false" customHeight="true" outlineLevel="0" collapsed="false">
      <c r="A819" s="19" t="s">
        <v>6896</v>
      </c>
      <c r="B819" s="19" t="s">
        <v>5063</v>
      </c>
      <c r="C819" s="19" t="s">
        <v>113</v>
      </c>
      <c r="D819" s="19" t="s">
        <v>114</v>
      </c>
      <c r="E819" s="19" t="s">
        <v>50</v>
      </c>
      <c r="F819" s="19" t="s">
        <v>51</v>
      </c>
      <c r="G819" s="19" t="s">
        <v>5065</v>
      </c>
      <c r="H819" s="19" t="s">
        <v>5066</v>
      </c>
      <c r="I819" s="19" t="s">
        <v>5067</v>
      </c>
      <c r="J819" s="19" t="n">
        <v>440.31</v>
      </c>
      <c r="K819" s="19" t="s">
        <v>4100</v>
      </c>
      <c r="L819" s="19"/>
      <c r="M819" s="20" t="str">
        <f aca="false">IF(G819&lt;&gt;"","PASS","FAIL - Missing UPC")</f>
        <v>PASS</v>
      </c>
      <c r="N819" s="20" t="str">
        <f aca="false">IF(AND(G819&lt;&gt;"",H819&lt;&gt;""),IF("0"&amp;G819=H819,"PASS","FAIL - GTIN Mismatch"),"SKIP")</f>
        <v>PASS</v>
      </c>
      <c r="O819" s="20" t="str">
        <f aca="false">IF(I819="","FAIL - No Title",IF(LEN(I819)&lt;=126,"PASS","FAIL - Title &gt;"&amp;126&amp;" chars"))</f>
        <v>PASS</v>
      </c>
      <c r="P819" s="20" t="str">
        <f aca="false">IF(J819&gt;0,IF(J819&lt;5000,"PASS","FLAG - Review Price"),"FAIL - Zero Price")</f>
        <v>PASS</v>
      </c>
      <c r="Q819" s="20" t="str">
        <f aca="false">IF('Raw Catalog'!P817&lt;&gt;"","PASS","FAIL - No Image")</f>
        <v>PASS</v>
      </c>
      <c r="R819" s="20" t="str">
        <f aca="false">IF(F819&lt;&gt;"","PASS","FAIL - No Brand")</f>
        <v>PASS</v>
      </c>
      <c r="S819" s="20" t="str">
        <f aca="true">IF(K819="","FAIL - No Date",IF(TODAY()-DATEVALUE(K819)&lt;=180,"PASS","FLAG - Stale &gt;180d"))</f>
        <v>FLAG - Stale &gt;180d</v>
      </c>
      <c r="T819" s="20" t="n">
        <f aca="false">COUNTIF(M819:S819,"FAIL*")+COUNTIF(M819:S819,"FLAG*")</f>
        <v>1</v>
      </c>
      <c r="U819" s="20" t="str">
        <f aca="false">IF(T819=0,"CLEAN",IF(T819=1,"MINOR",IF(T819&lt;=3,"MODERATE","CRITICAL")))</f>
        <v>MINOR</v>
      </c>
      <c r="V819" s="20" t="str">
        <f aca="false">IF(U819="CLEAN","None",IF(U819="MINOR","Seller Notify",IF(U819="MODERATE","Listing Suspended","Immediate Removal")))</f>
        <v>Seller Notify</v>
      </c>
    </row>
    <row r="820" customFormat="false" ht="18" hidden="false" customHeight="true" outlineLevel="0" collapsed="false">
      <c r="A820" s="19" t="s">
        <v>6897</v>
      </c>
      <c r="B820" s="19" t="s">
        <v>5068</v>
      </c>
      <c r="C820" s="19" t="s">
        <v>77</v>
      </c>
      <c r="D820" s="19" t="s">
        <v>78</v>
      </c>
      <c r="E820" s="19" t="s">
        <v>65</v>
      </c>
      <c r="F820" s="19" t="s">
        <v>115</v>
      </c>
      <c r="G820" s="19" t="s">
        <v>5070</v>
      </c>
      <c r="H820" s="19" t="s">
        <v>5071</v>
      </c>
      <c r="I820" s="19" t="s">
        <v>3872</v>
      </c>
      <c r="J820" s="19" t="n">
        <v>30.55</v>
      </c>
      <c r="K820" s="19" t="s">
        <v>5072</v>
      </c>
      <c r="L820" s="19"/>
      <c r="M820" s="20" t="str">
        <f aca="false">IF(G820&lt;&gt;"","PASS","FAIL - Missing UPC")</f>
        <v>PASS</v>
      </c>
      <c r="N820" s="20" t="str">
        <f aca="false">IF(AND(G820&lt;&gt;"",H820&lt;&gt;""),IF("0"&amp;G820=H820,"PASS","FAIL - GTIN Mismatch"),"SKIP")</f>
        <v>PASS</v>
      </c>
      <c r="O820" s="20" t="str">
        <f aca="false">IF(I820="","FAIL - No Title",IF(LEN(I820)&lt;=126,"PASS","FAIL - Title &gt;"&amp;126&amp;" chars"))</f>
        <v>PASS</v>
      </c>
      <c r="P820" s="20" t="str">
        <f aca="false">IF(J820&gt;0,IF(J820&lt;5000,"PASS","FLAG - Review Price"),"FAIL - Zero Price")</f>
        <v>PASS</v>
      </c>
      <c r="Q820" s="20" t="str">
        <f aca="false">IF('Raw Catalog'!P818&lt;&gt;"","PASS","FAIL - No Image")</f>
        <v>PASS</v>
      </c>
      <c r="R820" s="20" t="str">
        <f aca="false">IF(F820&lt;&gt;"","PASS","FAIL - No Brand")</f>
        <v>PASS</v>
      </c>
      <c r="S820" s="20" t="str">
        <f aca="true">IF(K820="","FAIL - No Date",IF(TODAY()-DATEVALUE(K820)&lt;=180,"PASS","FLAG - Stale &gt;180d"))</f>
        <v>FLAG - Stale &gt;180d</v>
      </c>
      <c r="T820" s="20" t="n">
        <f aca="false">COUNTIF(M820:S820,"FAIL*")+COUNTIF(M820:S820,"FLAG*")</f>
        <v>1</v>
      </c>
      <c r="U820" s="20" t="str">
        <f aca="false">IF(T820=0,"CLEAN",IF(T820=1,"MINOR",IF(T820&lt;=3,"MODERATE","CRITICAL")))</f>
        <v>MINOR</v>
      </c>
      <c r="V820" s="20" t="str">
        <f aca="false">IF(U820="CLEAN","None",IF(U820="MINOR","Seller Notify",IF(U820="MODERATE","Listing Suspended","Immediate Removal")))</f>
        <v>Seller Notify</v>
      </c>
    </row>
    <row r="821" customFormat="false" ht="18" hidden="false" customHeight="true" outlineLevel="0" collapsed="false">
      <c r="A821" s="19" t="s">
        <v>6898</v>
      </c>
      <c r="B821" s="19" t="s">
        <v>5073</v>
      </c>
      <c r="C821" s="19" t="s">
        <v>77</v>
      </c>
      <c r="D821" s="19" t="s">
        <v>78</v>
      </c>
      <c r="E821" s="19" t="s">
        <v>50</v>
      </c>
      <c r="F821" s="19" t="s">
        <v>51</v>
      </c>
      <c r="G821" s="19" t="s">
        <v>5075</v>
      </c>
      <c r="H821" s="19" t="s">
        <v>5076</v>
      </c>
      <c r="I821" s="19" t="s">
        <v>2909</v>
      </c>
      <c r="J821" s="19" t="n">
        <v>465.27</v>
      </c>
      <c r="K821" s="19" t="s">
        <v>60</v>
      </c>
      <c r="L821" s="19"/>
      <c r="M821" s="20" t="str">
        <f aca="false">IF(G821&lt;&gt;"","PASS","FAIL - Missing UPC")</f>
        <v>PASS</v>
      </c>
      <c r="N821" s="20" t="str">
        <f aca="false">IF(AND(G821&lt;&gt;"",H821&lt;&gt;""),IF("0"&amp;G821=H821,"PASS","FAIL - GTIN Mismatch"),"SKIP")</f>
        <v>PASS</v>
      </c>
      <c r="O821" s="20" t="str">
        <f aca="false">IF(I821="","FAIL - No Title",IF(LEN(I821)&lt;=126,"PASS","FAIL - Title &gt;"&amp;126&amp;" chars"))</f>
        <v>PASS</v>
      </c>
      <c r="P821" s="20" t="str">
        <f aca="false">IF(J821&gt;0,IF(J821&lt;5000,"PASS","FLAG - Review Price"),"FAIL - Zero Price")</f>
        <v>PASS</v>
      </c>
      <c r="Q821" s="20" t="str">
        <f aca="false">IF('Raw Catalog'!P819&lt;&gt;"","PASS","FAIL - No Image")</f>
        <v>PASS</v>
      </c>
      <c r="R821" s="20" t="str">
        <f aca="false">IF(F821&lt;&gt;"","PASS","FAIL - No Brand")</f>
        <v>PASS</v>
      </c>
      <c r="S821" s="20" t="str">
        <f aca="true">IF(K821="","FAIL - No Date",IF(TODAY()-DATEVALUE(K821)&lt;=180,"PASS","FLAG - Stale &gt;180d"))</f>
        <v>FLAG - Stale &gt;180d</v>
      </c>
      <c r="T821" s="20" t="n">
        <f aca="false">COUNTIF(M821:S821,"FAIL*")+COUNTIF(M821:S821,"FLAG*")</f>
        <v>1</v>
      </c>
      <c r="U821" s="20" t="str">
        <f aca="false">IF(T821=0,"CLEAN",IF(T821=1,"MINOR",IF(T821&lt;=3,"MODERATE","CRITICAL")))</f>
        <v>MINOR</v>
      </c>
      <c r="V821" s="20" t="str">
        <f aca="false">IF(U821="CLEAN","None",IF(U821="MINOR","Seller Notify",IF(U821="MODERATE","Listing Suspended","Immediate Removal")))</f>
        <v>Seller Notify</v>
      </c>
    </row>
    <row r="822" customFormat="false" ht="18" hidden="false" customHeight="true" outlineLevel="0" collapsed="false">
      <c r="A822" s="19" t="s">
        <v>6899</v>
      </c>
      <c r="B822" s="19" t="s">
        <v>5077</v>
      </c>
      <c r="C822" s="19" t="s">
        <v>159</v>
      </c>
      <c r="D822" s="19" t="s">
        <v>160</v>
      </c>
      <c r="E822" s="19" t="s">
        <v>161</v>
      </c>
      <c r="F822" s="19" t="s">
        <v>115</v>
      </c>
      <c r="G822" s="19" t="s">
        <v>5079</v>
      </c>
      <c r="H822" s="19" t="s">
        <v>5080</v>
      </c>
      <c r="I822" s="19" t="s">
        <v>4388</v>
      </c>
      <c r="J822" s="19" t="n">
        <v>217.38</v>
      </c>
      <c r="K822" s="19" t="s">
        <v>1867</v>
      </c>
      <c r="L822" s="21" t="s">
        <v>453</v>
      </c>
      <c r="M822" s="20" t="str">
        <f aca="false">IF(G822&lt;&gt;"","PASS","FAIL - Missing UPC")</f>
        <v>PASS</v>
      </c>
      <c r="N822" s="20" t="str">
        <f aca="false">IF(AND(G822&lt;&gt;"",H822&lt;&gt;""),IF("0"&amp;G822=H822,"PASS","FAIL - GTIN Mismatch"),"SKIP")</f>
        <v>PASS</v>
      </c>
      <c r="O822" s="20" t="str">
        <f aca="false">IF(I822="","FAIL - No Title",IF(LEN(I822)&lt;=126,"PASS","FAIL - Title &gt;"&amp;126&amp;" chars"))</f>
        <v>PASS</v>
      </c>
      <c r="P822" s="20" t="str">
        <f aca="false">IF(J822&gt;0,IF(J822&lt;5000,"PASS","FLAG - Review Price"),"FAIL - Zero Price")</f>
        <v>PASS</v>
      </c>
      <c r="Q822" s="20" t="str">
        <f aca="false">IF('Raw Catalog'!P820&lt;&gt;"","PASS","FAIL - No Image")</f>
        <v>PASS</v>
      </c>
      <c r="R822" s="20" t="str">
        <f aca="false">IF(F822&lt;&gt;"","PASS","FAIL - No Brand")</f>
        <v>PASS</v>
      </c>
      <c r="S822" s="20" t="str">
        <f aca="true">IF(K822="","FAIL - No Date",IF(TODAY()-DATEVALUE(K822)&lt;=180,"PASS","FLAG - Stale &gt;180d"))</f>
        <v>FLAG - Stale &gt;180d</v>
      </c>
      <c r="T822" s="20" t="n">
        <f aca="false">COUNTIF(M822:S822,"FAIL*")+COUNTIF(M822:S822,"FLAG*")</f>
        <v>1</v>
      </c>
      <c r="U822" s="20" t="str">
        <f aca="false">IF(T822=0,"CLEAN",IF(T822=1,"MINOR",IF(T822&lt;=3,"MODERATE","CRITICAL")))</f>
        <v>MINOR</v>
      </c>
      <c r="V822" s="20" t="str">
        <f aca="false">IF(U822="CLEAN","None",IF(U822="MINOR","Seller Notify",IF(U822="MODERATE","Listing Suspended","Immediate Removal")))</f>
        <v>Seller Notify</v>
      </c>
    </row>
    <row r="823" customFormat="false" ht="18" hidden="false" customHeight="true" outlineLevel="0" collapsed="false">
      <c r="A823" s="19" t="s">
        <v>6900</v>
      </c>
      <c r="B823" s="19" t="s">
        <v>5081</v>
      </c>
      <c r="C823" s="19" t="s">
        <v>48</v>
      </c>
      <c r="D823" s="19" t="s">
        <v>49</v>
      </c>
      <c r="E823" s="19" t="s">
        <v>79</v>
      </c>
      <c r="F823" s="19" t="s">
        <v>127</v>
      </c>
      <c r="G823" s="19" t="s">
        <v>5083</v>
      </c>
      <c r="H823" s="19" t="s">
        <v>5084</v>
      </c>
      <c r="I823" s="19" t="s">
        <v>5085</v>
      </c>
      <c r="J823" s="19" t="n">
        <v>1169.14</v>
      </c>
      <c r="K823" s="19" t="s">
        <v>1604</v>
      </c>
      <c r="L823" s="19"/>
      <c r="M823" s="20" t="str">
        <f aca="false">IF(G823&lt;&gt;"","PASS","FAIL - Missing UPC")</f>
        <v>PASS</v>
      </c>
      <c r="N823" s="20" t="str">
        <f aca="false">IF(AND(G823&lt;&gt;"",H823&lt;&gt;""),IF("0"&amp;G823=H823,"PASS","FAIL - GTIN Mismatch"),"SKIP")</f>
        <v>PASS</v>
      </c>
      <c r="O823" s="20" t="str">
        <f aca="false">IF(I823="","FAIL - No Title",IF(LEN(I823)&lt;=126,"PASS","FAIL - Title &gt;"&amp;126&amp;" chars"))</f>
        <v>PASS</v>
      </c>
      <c r="P823" s="20" t="str">
        <f aca="false">IF(J823&gt;0,IF(J823&lt;5000,"PASS","FLAG - Review Price"),"FAIL - Zero Price")</f>
        <v>PASS</v>
      </c>
      <c r="Q823" s="20" t="str">
        <f aca="false">IF('Raw Catalog'!P821&lt;&gt;"","PASS","FAIL - No Image")</f>
        <v>PASS</v>
      </c>
      <c r="R823" s="20" t="str">
        <f aca="false">IF(F823&lt;&gt;"","PASS","FAIL - No Brand")</f>
        <v>PASS</v>
      </c>
      <c r="S823" s="20" t="str">
        <f aca="true">IF(K823="","FAIL - No Date",IF(TODAY()-DATEVALUE(K823)&lt;=180,"PASS","FLAG - Stale &gt;180d"))</f>
        <v>FLAG - Stale &gt;180d</v>
      </c>
      <c r="T823" s="20" t="n">
        <f aca="false">COUNTIF(M823:S823,"FAIL*")+COUNTIF(M823:S823,"FLAG*")</f>
        <v>1</v>
      </c>
      <c r="U823" s="20" t="str">
        <f aca="false">IF(T823=0,"CLEAN",IF(T823=1,"MINOR",IF(T823&lt;=3,"MODERATE","CRITICAL")))</f>
        <v>MINOR</v>
      </c>
      <c r="V823" s="20" t="str">
        <f aca="false">IF(U823="CLEAN","None",IF(U823="MINOR","Seller Notify",IF(U823="MODERATE","Listing Suspended","Immediate Removal")))</f>
        <v>Seller Notify</v>
      </c>
    </row>
    <row r="824" customFormat="false" ht="18" hidden="false" customHeight="true" outlineLevel="0" collapsed="false">
      <c r="A824" s="19" t="s">
        <v>6901</v>
      </c>
      <c r="B824" s="19" t="s">
        <v>5087</v>
      </c>
      <c r="C824" s="19" t="s">
        <v>159</v>
      </c>
      <c r="D824" s="19" t="s">
        <v>160</v>
      </c>
      <c r="E824" s="19" t="s">
        <v>161</v>
      </c>
      <c r="F824" s="19" t="s">
        <v>162</v>
      </c>
      <c r="G824" s="19" t="s">
        <v>5089</v>
      </c>
      <c r="H824" s="19" t="s">
        <v>5090</v>
      </c>
      <c r="I824" s="19" t="s">
        <v>5091</v>
      </c>
      <c r="J824" s="19" t="n">
        <v>475.52</v>
      </c>
      <c r="K824" s="19" t="s">
        <v>1765</v>
      </c>
      <c r="L824" s="19"/>
      <c r="M824" s="20" t="str">
        <f aca="false">IF(G824&lt;&gt;"","PASS","FAIL - Missing UPC")</f>
        <v>PASS</v>
      </c>
      <c r="N824" s="20" t="str">
        <f aca="false">IF(AND(G824&lt;&gt;"",H824&lt;&gt;""),IF("0"&amp;G824=H824,"PASS","FAIL - GTIN Mismatch"),"SKIP")</f>
        <v>PASS</v>
      </c>
      <c r="O824" s="20" t="str">
        <f aca="false">IF(I824="","FAIL - No Title",IF(LEN(I824)&lt;=126,"PASS","FAIL - Title &gt;"&amp;126&amp;" chars"))</f>
        <v>PASS</v>
      </c>
      <c r="P824" s="20" t="str">
        <f aca="false">IF(J824&gt;0,IF(J824&lt;5000,"PASS","FLAG - Review Price"),"FAIL - Zero Price")</f>
        <v>PASS</v>
      </c>
      <c r="Q824" s="20" t="str">
        <f aca="false">IF('Raw Catalog'!P822&lt;&gt;"","PASS","FAIL - No Image")</f>
        <v>PASS</v>
      </c>
      <c r="R824" s="20" t="str">
        <f aca="false">IF(F824&lt;&gt;"","PASS","FAIL - No Brand")</f>
        <v>PASS</v>
      </c>
      <c r="S824" s="20" t="str">
        <f aca="true">IF(K824="","FAIL - No Date",IF(TODAY()-DATEVALUE(K824)&lt;=180,"PASS","FLAG - Stale &gt;180d"))</f>
        <v>FLAG - Stale &gt;180d</v>
      </c>
      <c r="T824" s="20" t="n">
        <f aca="false">COUNTIF(M824:S824,"FAIL*")+COUNTIF(M824:S824,"FLAG*")</f>
        <v>1</v>
      </c>
      <c r="U824" s="20" t="str">
        <f aca="false">IF(T824=0,"CLEAN",IF(T824=1,"MINOR",IF(T824&lt;=3,"MODERATE","CRITICAL")))</f>
        <v>MINOR</v>
      </c>
      <c r="V824" s="20" t="str">
        <f aca="false">IF(U824="CLEAN","None",IF(U824="MINOR","Seller Notify",IF(U824="MODERATE","Listing Suspended","Immediate Removal")))</f>
        <v>Seller Notify</v>
      </c>
    </row>
    <row r="825" customFormat="false" ht="18" hidden="false" customHeight="true" outlineLevel="0" collapsed="false">
      <c r="A825" s="19" t="s">
        <v>6902</v>
      </c>
      <c r="B825" s="19" t="s">
        <v>5092</v>
      </c>
      <c r="C825" s="19" t="s">
        <v>48</v>
      </c>
      <c r="D825" s="19" t="s">
        <v>49</v>
      </c>
      <c r="E825" s="19" t="s">
        <v>91</v>
      </c>
      <c r="F825" s="19" t="s">
        <v>587</v>
      </c>
      <c r="G825" s="19" t="s">
        <v>5094</v>
      </c>
      <c r="H825" s="19" t="s">
        <v>5095</v>
      </c>
      <c r="I825" s="19" t="s">
        <v>5096</v>
      </c>
      <c r="J825" s="19" t="n">
        <v>2262.52</v>
      </c>
      <c r="K825" s="19" t="s">
        <v>2151</v>
      </c>
      <c r="L825" s="19"/>
      <c r="M825" s="20" t="str">
        <f aca="false">IF(G825&lt;&gt;"","PASS","FAIL - Missing UPC")</f>
        <v>PASS</v>
      </c>
      <c r="N825" s="20" t="str">
        <f aca="false">IF(AND(G825&lt;&gt;"",H825&lt;&gt;""),IF("0"&amp;G825=H825,"PASS","FAIL - GTIN Mismatch"),"SKIP")</f>
        <v>PASS</v>
      </c>
      <c r="O825" s="20" t="str">
        <f aca="false">IF(I825="","FAIL - No Title",IF(LEN(I825)&lt;=126,"PASS","FAIL - Title &gt;"&amp;126&amp;" chars"))</f>
        <v>PASS</v>
      </c>
      <c r="P825" s="20" t="str">
        <f aca="false">IF(J825&gt;0,IF(J825&lt;5000,"PASS","FLAG - Review Price"),"FAIL - Zero Price")</f>
        <v>PASS</v>
      </c>
      <c r="Q825" s="20" t="str">
        <f aca="false">IF('Raw Catalog'!P823&lt;&gt;"","PASS","FAIL - No Image")</f>
        <v>PASS</v>
      </c>
      <c r="R825" s="20" t="str">
        <f aca="false">IF(F825&lt;&gt;"","PASS","FAIL - No Brand")</f>
        <v>PASS</v>
      </c>
      <c r="S825" s="20" t="str">
        <f aca="true">IF(K825="","FAIL - No Date",IF(TODAY()-DATEVALUE(K825)&lt;=180,"PASS","FLAG - Stale &gt;180d"))</f>
        <v>FLAG - Stale &gt;180d</v>
      </c>
      <c r="T825" s="20" t="n">
        <f aca="false">COUNTIF(M825:S825,"FAIL*")+COUNTIF(M825:S825,"FLAG*")</f>
        <v>1</v>
      </c>
      <c r="U825" s="20" t="str">
        <f aca="false">IF(T825=0,"CLEAN",IF(T825=1,"MINOR",IF(T825&lt;=3,"MODERATE","CRITICAL")))</f>
        <v>MINOR</v>
      </c>
      <c r="V825" s="20" t="str">
        <f aca="false">IF(U825="CLEAN","None",IF(U825="MINOR","Seller Notify",IF(U825="MODERATE","Listing Suspended","Immediate Removal")))</f>
        <v>Seller Notify</v>
      </c>
    </row>
    <row r="826" customFormat="false" ht="18" hidden="false" customHeight="true" outlineLevel="0" collapsed="false">
      <c r="A826" s="19" t="s">
        <v>6903</v>
      </c>
      <c r="B826" s="19" t="s">
        <v>5098</v>
      </c>
      <c r="C826" s="19" t="s">
        <v>125</v>
      </c>
      <c r="D826" s="19" t="s">
        <v>126</v>
      </c>
      <c r="E826" s="19" t="s">
        <v>79</v>
      </c>
      <c r="F826" s="19" t="s">
        <v>956</v>
      </c>
      <c r="G826" s="19" t="s">
        <v>5100</v>
      </c>
      <c r="H826" s="19" t="s">
        <v>5101</v>
      </c>
      <c r="I826" s="19" t="s">
        <v>5102</v>
      </c>
      <c r="J826" s="19" t="n">
        <v>1770.07</v>
      </c>
      <c r="K826" s="19" t="s">
        <v>1352</v>
      </c>
      <c r="L826" s="19"/>
      <c r="M826" s="20" t="str">
        <f aca="false">IF(G826&lt;&gt;"","PASS","FAIL - Missing UPC")</f>
        <v>PASS</v>
      </c>
      <c r="N826" s="20" t="str">
        <f aca="false">IF(AND(G826&lt;&gt;"",H826&lt;&gt;""),IF("0"&amp;G826=H826,"PASS","FAIL - GTIN Mismatch"),"SKIP")</f>
        <v>PASS</v>
      </c>
      <c r="O826" s="20" t="str">
        <f aca="false">IF(I826="","FAIL - No Title",IF(LEN(I826)&lt;=126,"PASS","FAIL - Title &gt;"&amp;126&amp;" chars"))</f>
        <v>PASS</v>
      </c>
      <c r="P826" s="20" t="str">
        <f aca="false">IF(J826&gt;0,IF(J826&lt;5000,"PASS","FLAG - Review Price"),"FAIL - Zero Price")</f>
        <v>PASS</v>
      </c>
      <c r="Q826" s="20" t="str">
        <f aca="false">IF('Raw Catalog'!P824&lt;&gt;"","PASS","FAIL - No Image")</f>
        <v>PASS</v>
      </c>
      <c r="R826" s="20" t="str">
        <f aca="false">IF(F826&lt;&gt;"","PASS","FAIL - No Brand")</f>
        <v>PASS</v>
      </c>
      <c r="S826" s="20" t="str">
        <f aca="true">IF(K826="","FAIL - No Date",IF(TODAY()-DATEVALUE(K826)&lt;=180,"PASS","FLAG - Stale &gt;180d"))</f>
        <v>FLAG - Stale &gt;180d</v>
      </c>
      <c r="T826" s="20" t="n">
        <f aca="false">COUNTIF(M826:S826,"FAIL*")+COUNTIF(M826:S826,"FLAG*")</f>
        <v>1</v>
      </c>
      <c r="U826" s="20" t="str">
        <f aca="false">IF(T826=0,"CLEAN",IF(T826=1,"MINOR",IF(T826&lt;=3,"MODERATE","CRITICAL")))</f>
        <v>MINOR</v>
      </c>
      <c r="V826" s="20" t="str">
        <f aca="false">IF(U826="CLEAN","None",IF(U826="MINOR","Seller Notify",IF(U826="MODERATE","Listing Suspended","Immediate Removal")))</f>
        <v>Seller Notify</v>
      </c>
    </row>
    <row r="827" customFormat="false" ht="18" hidden="false" customHeight="true" outlineLevel="0" collapsed="false">
      <c r="A827" s="19" t="s">
        <v>6904</v>
      </c>
      <c r="B827" s="19" t="s">
        <v>5103</v>
      </c>
      <c r="C827" s="19" t="s">
        <v>159</v>
      </c>
      <c r="D827" s="19" t="s">
        <v>160</v>
      </c>
      <c r="E827" s="19" t="s">
        <v>65</v>
      </c>
      <c r="F827" s="19" t="s">
        <v>66</v>
      </c>
      <c r="G827" s="19" t="s">
        <v>5105</v>
      </c>
      <c r="H827" s="19" t="s">
        <v>5106</v>
      </c>
      <c r="I827" s="19" t="s">
        <v>71</v>
      </c>
      <c r="J827" s="19" t="n">
        <v>268.05</v>
      </c>
      <c r="K827" s="19" t="s">
        <v>2676</v>
      </c>
      <c r="L827" s="19"/>
      <c r="M827" s="20" t="str">
        <f aca="false">IF(G827&lt;&gt;"","PASS","FAIL - Missing UPC")</f>
        <v>PASS</v>
      </c>
      <c r="N827" s="20" t="str">
        <f aca="false">IF(AND(G827&lt;&gt;"",H827&lt;&gt;""),IF("0"&amp;G827=H827,"PASS","FAIL - GTIN Mismatch"),"SKIP")</f>
        <v>PASS</v>
      </c>
      <c r="O827" s="20" t="str">
        <f aca="false">IF(I827="","FAIL - No Title",IF(LEN(I827)&lt;=126,"PASS","FAIL - Title &gt;"&amp;126&amp;" chars"))</f>
        <v>PASS</v>
      </c>
      <c r="P827" s="20" t="str">
        <f aca="false">IF(J827&gt;0,IF(J827&lt;5000,"PASS","FLAG - Review Price"),"FAIL - Zero Price")</f>
        <v>PASS</v>
      </c>
      <c r="Q827" s="20" t="str">
        <f aca="false">IF('Raw Catalog'!P825&lt;&gt;"","PASS","FAIL - No Image")</f>
        <v>PASS</v>
      </c>
      <c r="R827" s="20" t="str">
        <f aca="false">IF(F827&lt;&gt;"","PASS","FAIL - No Brand")</f>
        <v>PASS</v>
      </c>
      <c r="S827" s="20" t="str">
        <f aca="true">IF(K827="","FAIL - No Date",IF(TODAY()-DATEVALUE(K827)&lt;=180,"PASS","FLAG - Stale &gt;180d"))</f>
        <v>FLAG - Stale &gt;180d</v>
      </c>
      <c r="T827" s="20" t="n">
        <f aca="false">COUNTIF(M827:S827,"FAIL*")+COUNTIF(M827:S827,"FLAG*")</f>
        <v>1</v>
      </c>
      <c r="U827" s="20" t="str">
        <f aca="false">IF(T827=0,"CLEAN",IF(T827=1,"MINOR",IF(T827&lt;=3,"MODERATE","CRITICAL")))</f>
        <v>MINOR</v>
      </c>
      <c r="V827" s="20" t="str">
        <f aca="false">IF(U827="CLEAN","None",IF(U827="MINOR","Seller Notify",IF(U827="MODERATE","Listing Suspended","Immediate Removal")))</f>
        <v>Seller Notify</v>
      </c>
    </row>
    <row r="828" customFormat="false" ht="18" hidden="false" customHeight="true" outlineLevel="0" collapsed="false">
      <c r="A828" s="19" t="s">
        <v>6905</v>
      </c>
      <c r="B828" s="19" t="s">
        <v>5107</v>
      </c>
      <c r="C828" s="19" t="s">
        <v>63</v>
      </c>
      <c r="D828" s="19" t="s">
        <v>64</v>
      </c>
      <c r="E828" s="19" t="s">
        <v>79</v>
      </c>
      <c r="F828" s="19" t="s">
        <v>956</v>
      </c>
      <c r="G828" s="19" t="s">
        <v>5109</v>
      </c>
      <c r="H828" s="19" t="s">
        <v>5110</v>
      </c>
      <c r="I828" s="19" t="s">
        <v>5111</v>
      </c>
      <c r="J828" s="19" t="n">
        <v>1813.03</v>
      </c>
      <c r="K828" s="19" t="s">
        <v>1099</v>
      </c>
      <c r="L828" s="19"/>
      <c r="M828" s="20" t="str">
        <f aca="false">IF(G828&lt;&gt;"","PASS","FAIL - Missing UPC")</f>
        <v>PASS</v>
      </c>
      <c r="N828" s="20" t="str">
        <f aca="false">IF(AND(G828&lt;&gt;"",H828&lt;&gt;""),IF("0"&amp;G828=H828,"PASS","FAIL - GTIN Mismatch"),"SKIP")</f>
        <v>PASS</v>
      </c>
      <c r="O828" s="20" t="str">
        <f aca="false">IF(I828="","FAIL - No Title",IF(LEN(I828)&lt;=126,"PASS","FAIL - Title &gt;"&amp;126&amp;" chars"))</f>
        <v>PASS</v>
      </c>
      <c r="P828" s="20" t="str">
        <f aca="false">IF(J828&gt;0,IF(J828&lt;5000,"PASS","FLAG - Review Price"),"FAIL - Zero Price")</f>
        <v>PASS</v>
      </c>
      <c r="Q828" s="20" t="str">
        <f aca="false">IF('Raw Catalog'!P826&lt;&gt;"","PASS","FAIL - No Image")</f>
        <v>PASS</v>
      </c>
      <c r="R828" s="20" t="str">
        <f aca="false">IF(F828&lt;&gt;"","PASS","FAIL - No Brand")</f>
        <v>PASS</v>
      </c>
      <c r="S828" s="20" t="str">
        <f aca="true">IF(K828="","FAIL - No Date",IF(TODAY()-DATEVALUE(K828)&lt;=180,"PASS","FLAG - Stale &gt;180d"))</f>
        <v>FLAG - Stale &gt;180d</v>
      </c>
      <c r="T828" s="20" t="n">
        <f aca="false">COUNTIF(M828:S828,"FAIL*")+COUNTIF(M828:S828,"FLAG*")</f>
        <v>1</v>
      </c>
      <c r="U828" s="20" t="str">
        <f aca="false">IF(T828=0,"CLEAN",IF(T828=1,"MINOR",IF(T828&lt;=3,"MODERATE","CRITICAL")))</f>
        <v>MINOR</v>
      </c>
      <c r="V828" s="20" t="str">
        <f aca="false">IF(U828="CLEAN","None",IF(U828="MINOR","Seller Notify",IF(U828="MODERATE","Listing Suspended","Immediate Removal")))</f>
        <v>Seller Notify</v>
      </c>
    </row>
    <row r="829" customFormat="false" ht="18" hidden="false" customHeight="true" outlineLevel="0" collapsed="false">
      <c r="A829" s="19" t="s">
        <v>6906</v>
      </c>
      <c r="B829" s="19" t="s">
        <v>2855</v>
      </c>
      <c r="C829" s="19" t="s">
        <v>77</v>
      </c>
      <c r="D829" s="19" t="s">
        <v>78</v>
      </c>
      <c r="E829" s="19" t="s">
        <v>91</v>
      </c>
      <c r="F829" s="19" t="s">
        <v>587</v>
      </c>
      <c r="G829" s="19" t="s">
        <v>2857</v>
      </c>
      <c r="H829" s="19" t="s">
        <v>2858</v>
      </c>
      <c r="I829" s="19" t="s">
        <v>2859</v>
      </c>
      <c r="J829" s="19" t="n">
        <v>4005.3</v>
      </c>
      <c r="K829" s="19" t="s">
        <v>1274</v>
      </c>
      <c r="L829" s="21" t="s">
        <v>283</v>
      </c>
      <c r="M829" s="20" t="str">
        <f aca="false">IF(G829&lt;&gt;"","PASS","FAIL - Missing UPC")</f>
        <v>PASS</v>
      </c>
      <c r="N829" s="20" t="str">
        <f aca="false">IF(AND(G829&lt;&gt;"",H829&lt;&gt;""),IF("0"&amp;G829=H829,"PASS","FAIL - GTIN Mismatch"),"SKIP")</f>
        <v>PASS</v>
      </c>
      <c r="O829" s="20" t="str">
        <f aca="false">IF(I829="","FAIL - No Title",IF(LEN(I829)&lt;=126,"PASS","FAIL - Title &gt;"&amp;126&amp;" chars"))</f>
        <v>PASS</v>
      </c>
      <c r="P829" s="20" t="str">
        <f aca="false">IF(J829&gt;0,IF(J829&lt;5000,"PASS","FLAG - Review Price"),"FAIL - Zero Price")</f>
        <v>PASS</v>
      </c>
      <c r="Q829" s="20" t="str">
        <f aca="false">IF('Raw Catalog'!P827&lt;&gt;"","PASS","FAIL - No Image")</f>
        <v>PASS</v>
      </c>
      <c r="R829" s="20" t="str">
        <f aca="false">IF(F829&lt;&gt;"","PASS","FAIL - No Brand")</f>
        <v>PASS</v>
      </c>
      <c r="S829" s="20" t="str">
        <f aca="true">IF(K829="","FAIL - No Date",IF(TODAY()-DATEVALUE(K829)&lt;=180,"PASS","FLAG - Stale &gt;180d"))</f>
        <v>FLAG - Stale &gt;180d</v>
      </c>
      <c r="T829" s="20" t="n">
        <f aca="false">COUNTIF(M829:S829,"FAIL*")+COUNTIF(M829:S829,"FLAG*")</f>
        <v>1</v>
      </c>
      <c r="U829" s="20" t="str">
        <f aca="false">IF(T829=0,"CLEAN",IF(T829=1,"MINOR",IF(T829&lt;=3,"MODERATE","CRITICAL")))</f>
        <v>MINOR</v>
      </c>
      <c r="V829" s="20" t="str">
        <f aca="false">IF(U829="CLEAN","None",IF(U829="MINOR","Seller Notify",IF(U829="MODERATE","Listing Suspended","Immediate Removal")))</f>
        <v>Seller Notify</v>
      </c>
    </row>
    <row r="830" customFormat="false" ht="18" hidden="false" customHeight="true" outlineLevel="0" collapsed="false">
      <c r="A830" s="19" t="s">
        <v>6907</v>
      </c>
      <c r="B830" s="19" t="s">
        <v>5113</v>
      </c>
      <c r="C830" s="19" t="s">
        <v>159</v>
      </c>
      <c r="D830" s="19" t="s">
        <v>160</v>
      </c>
      <c r="E830" s="19" t="s">
        <v>65</v>
      </c>
      <c r="F830" s="19" t="s">
        <v>115</v>
      </c>
      <c r="G830" s="19" t="s">
        <v>5115</v>
      </c>
      <c r="H830" s="19" t="s">
        <v>5116</v>
      </c>
      <c r="I830" s="19" t="s">
        <v>4388</v>
      </c>
      <c r="J830" s="19" t="n">
        <v>68.3</v>
      </c>
      <c r="K830" s="19" t="s">
        <v>1529</v>
      </c>
      <c r="L830" s="19"/>
      <c r="M830" s="20" t="str">
        <f aca="false">IF(G830&lt;&gt;"","PASS","FAIL - Missing UPC")</f>
        <v>PASS</v>
      </c>
      <c r="N830" s="20" t="str">
        <f aca="false">IF(AND(G830&lt;&gt;"",H830&lt;&gt;""),IF("0"&amp;G830=H830,"PASS","FAIL - GTIN Mismatch"),"SKIP")</f>
        <v>PASS</v>
      </c>
      <c r="O830" s="20" t="str">
        <f aca="false">IF(I830="","FAIL - No Title",IF(LEN(I830)&lt;=126,"PASS","FAIL - Title &gt;"&amp;126&amp;" chars"))</f>
        <v>PASS</v>
      </c>
      <c r="P830" s="20" t="str">
        <f aca="false">IF(J830&gt;0,IF(J830&lt;5000,"PASS","FLAG - Review Price"),"FAIL - Zero Price")</f>
        <v>PASS</v>
      </c>
      <c r="Q830" s="20" t="str">
        <f aca="false">IF('Raw Catalog'!P828&lt;&gt;"","PASS","FAIL - No Image")</f>
        <v>PASS</v>
      </c>
      <c r="R830" s="20" t="str">
        <f aca="false">IF(F830&lt;&gt;"","PASS","FAIL - No Brand")</f>
        <v>PASS</v>
      </c>
      <c r="S830" s="20" t="str">
        <f aca="true">IF(K830="","FAIL - No Date",IF(TODAY()-DATEVALUE(K830)&lt;=180,"PASS","FLAG - Stale &gt;180d"))</f>
        <v>FLAG - Stale &gt;180d</v>
      </c>
      <c r="T830" s="20" t="n">
        <f aca="false">COUNTIF(M830:S830,"FAIL*")+COUNTIF(M830:S830,"FLAG*")</f>
        <v>1</v>
      </c>
      <c r="U830" s="20" t="str">
        <f aca="false">IF(T830=0,"CLEAN",IF(T830=1,"MINOR",IF(T830&lt;=3,"MODERATE","CRITICAL")))</f>
        <v>MINOR</v>
      </c>
      <c r="V830" s="20" t="str">
        <f aca="false">IF(U830="CLEAN","None",IF(U830="MINOR","Seller Notify",IF(U830="MODERATE","Listing Suspended","Immediate Removal")))</f>
        <v>Seller Notify</v>
      </c>
    </row>
    <row r="831" customFormat="false" ht="18" hidden="false" customHeight="true" outlineLevel="0" collapsed="false">
      <c r="A831" s="19" t="s">
        <v>6908</v>
      </c>
      <c r="B831" s="19" t="s">
        <v>5117</v>
      </c>
      <c r="C831" s="19" t="s">
        <v>113</v>
      </c>
      <c r="D831" s="19" t="s">
        <v>114</v>
      </c>
      <c r="E831" s="19" t="s">
        <v>50</v>
      </c>
      <c r="F831" s="19" t="s">
        <v>127</v>
      </c>
      <c r="G831" s="19" t="s">
        <v>5119</v>
      </c>
      <c r="H831" s="19" t="s">
        <v>5120</v>
      </c>
      <c r="I831" s="19" t="s">
        <v>4079</v>
      </c>
      <c r="J831" s="19" t="n">
        <v>886.62</v>
      </c>
      <c r="K831" s="19" t="s">
        <v>5122</v>
      </c>
      <c r="L831" s="19"/>
      <c r="M831" s="20" t="str">
        <f aca="false">IF(G831&lt;&gt;"","PASS","FAIL - Missing UPC")</f>
        <v>PASS</v>
      </c>
      <c r="N831" s="20" t="str">
        <f aca="false">IF(AND(G831&lt;&gt;"",H831&lt;&gt;""),IF("0"&amp;G831=H831,"PASS","FAIL - GTIN Mismatch"),"SKIP")</f>
        <v>PASS</v>
      </c>
      <c r="O831" s="20" t="str">
        <f aca="false">IF(I831="","FAIL - No Title",IF(LEN(I831)&lt;=126,"PASS","FAIL - Title &gt;"&amp;126&amp;" chars"))</f>
        <v>PASS</v>
      </c>
      <c r="P831" s="20" t="str">
        <f aca="false">IF(J831&gt;0,IF(J831&lt;5000,"PASS","FLAG - Review Price"),"FAIL - Zero Price")</f>
        <v>PASS</v>
      </c>
      <c r="Q831" s="20" t="str">
        <f aca="false">IF('Raw Catalog'!P829&lt;&gt;"","PASS","FAIL - No Image")</f>
        <v>PASS</v>
      </c>
      <c r="R831" s="20" t="str">
        <f aca="false">IF(F831&lt;&gt;"","PASS","FAIL - No Brand")</f>
        <v>PASS</v>
      </c>
      <c r="S831" s="20" t="str">
        <f aca="true">IF(K831="","FAIL - No Date",IF(TODAY()-DATEVALUE(K831)&lt;=180,"PASS","FLAG - Stale &gt;180d"))</f>
        <v>FLAG - Stale &gt;180d</v>
      </c>
      <c r="T831" s="20" t="n">
        <f aca="false">COUNTIF(M831:S831,"FAIL*")+COUNTIF(M831:S831,"FLAG*")</f>
        <v>1</v>
      </c>
      <c r="U831" s="20" t="str">
        <f aca="false">IF(T831=0,"CLEAN",IF(T831=1,"MINOR",IF(T831&lt;=3,"MODERATE","CRITICAL")))</f>
        <v>MINOR</v>
      </c>
      <c r="V831" s="20" t="str">
        <f aca="false">IF(U831="CLEAN","None",IF(U831="MINOR","Seller Notify",IF(U831="MODERATE","Listing Suspended","Immediate Removal")))</f>
        <v>Seller Notify</v>
      </c>
    </row>
    <row r="832" customFormat="false" ht="18" hidden="false" customHeight="true" outlineLevel="0" collapsed="false">
      <c r="A832" s="19" t="s">
        <v>6909</v>
      </c>
      <c r="B832" s="19" t="s">
        <v>5123</v>
      </c>
      <c r="C832" s="19" t="s">
        <v>125</v>
      </c>
      <c r="D832" s="19" t="s">
        <v>126</v>
      </c>
      <c r="E832" s="19" t="s">
        <v>161</v>
      </c>
      <c r="F832" s="19" t="s">
        <v>306</v>
      </c>
      <c r="G832" s="19" t="s">
        <v>5125</v>
      </c>
      <c r="H832" s="19" t="s">
        <v>5126</v>
      </c>
      <c r="I832" s="19" t="s">
        <v>4991</v>
      </c>
      <c r="J832" s="19" t="n">
        <v>502.07</v>
      </c>
      <c r="K832" s="19" t="s">
        <v>5012</v>
      </c>
      <c r="L832" s="19"/>
      <c r="M832" s="20" t="str">
        <f aca="false">IF(G832&lt;&gt;"","PASS","FAIL - Missing UPC")</f>
        <v>PASS</v>
      </c>
      <c r="N832" s="20" t="str">
        <f aca="false">IF(AND(G832&lt;&gt;"",H832&lt;&gt;""),IF("0"&amp;G832=H832,"PASS","FAIL - GTIN Mismatch"),"SKIP")</f>
        <v>PASS</v>
      </c>
      <c r="O832" s="20" t="str">
        <f aca="false">IF(I832="","FAIL - No Title",IF(LEN(I832)&lt;=126,"PASS","FAIL - Title &gt;"&amp;126&amp;" chars"))</f>
        <v>PASS</v>
      </c>
      <c r="P832" s="20" t="str">
        <f aca="false">IF(J832&gt;0,IF(J832&lt;5000,"PASS","FLAG - Review Price"),"FAIL - Zero Price")</f>
        <v>PASS</v>
      </c>
      <c r="Q832" s="20" t="str">
        <f aca="false">IF('Raw Catalog'!P830&lt;&gt;"","PASS","FAIL - No Image")</f>
        <v>PASS</v>
      </c>
      <c r="R832" s="20" t="str">
        <f aca="false">IF(F832&lt;&gt;"","PASS","FAIL - No Brand")</f>
        <v>PASS</v>
      </c>
      <c r="S832" s="20" t="str">
        <f aca="true">IF(K832="","FAIL - No Date",IF(TODAY()-DATEVALUE(K832)&lt;=180,"PASS","FLAG - Stale &gt;180d"))</f>
        <v>FLAG - Stale &gt;180d</v>
      </c>
      <c r="T832" s="20" t="n">
        <f aca="false">COUNTIF(M832:S832,"FAIL*")+COUNTIF(M832:S832,"FLAG*")</f>
        <v>1</v>
      </c>
      <c r="U832" s="20" t="str">
        <f aca="false">IF(T832=0,"CLEAN",IF(T832=1,"MINOR",IF(T832&lt;=3,"MODERATE","CRITICAL")))</f>
        <v>MINOR</v>
      </c>
      <c r="V832" s="20" t="str">
        <f aca="false">IF(U832="CLEAN","None",IF(U832="MINOR","Seller Notify",IF(U832="MODERATE","Listing Suspended","Immediate Removal")))</f>
        <v>Seller Notify</v>
      </c>
    </row>
    <row r="833" customFormat="false" ht="18" hidden="false" customHeight="true" outlineLevel="0" collapsed="false">
      <c r="A833" s="19" t="s">
        <v>6910</v>
      </c>
      <c r="B833" s="19" t="s">
        <v>5127</v>
      </c>
      <c r="C833" s="19" t="s">
        <v>48</v>
      </c>
      <c r="D833" s="19" t="s">
        <v>49</v>
      </c>
      <c r="E833" s="19" t="s">
        <v>50</v>
      </c>
      <c r="F833" s="19" t="s">
        <v>115</v>
      </c>
      <c r="G833" s="19" t="s">
        <v>5129</v>
      </c>
      <c r="H833" s="19" t="s">
        <v>5130</v>
      </c>
      <c r="I833" s="19"/>
      <c r="J833" s="19" t="n">
        <v>1146.81</v>
      </c>
      <c r="K833" s="19" t="s">
        <v>88</v>
      </c>
      <c r="L833" s="21" t="s">
        <v>1048</v>
      </c>
      <c r="M833" s="20" t="str">
        <f aca="false">IF(G833&lt;&gt;"","PASS","FAIL - Missing UPC")</f>
        <v>PASS</v>
      </c>
      <c r="N833" s="20" t="str">
        <f aca="false">IF(AND(G833&lt;&gt;"",H833&lt;&gt;""),IF("0"&amp;G833=H833,"PASS","FAIL - GTIN Mismatch"),"SKIP")</f>
        <v>PASS</v>
      </c>
      <c r="O833" s="20" t="str">
        <f aca="false">IF(I833="","FAIL - No Title",IF(LEN(I833)&lt;=126,"PASS","FAIL - Title &gt;"&amp;126&amp;" chars"))</f>
        <v>FAIL - No Title</v>
      </c>
      <c r="P833" s="20" t="str">
        <f aca="false">IF(J833&gt;0,IF(J833&lt;5000,"PASS","FLAG - Review Price"),"FAIL - Zero Price")</f>
        <v>PASS</v>
      </c>
      <c r="Q833" s="20" t="str">
        <f aca="false">IF('Raw Catalog'!P831&lt;&gt;"","PASS","FAIL - No Image")</f>
        <v>PASS</v>
      </c>
      <c r="R833" s="20" t="str">
        <f aca="false">IF(F833&lt;&gt;"","PASS","FAIL - No Brand")</f>
        <v>PASS</v>
      </c>
      <c r="S833" s="20" t="str">
        <f aca="true">IF(K833="","FAIL - No Date",IF(TODAY()-DATEVALUE(K833)&lt;=180,"PASS","FLAG - Stale &gt;180d"))</f>
        <v>FLAG - Stale &gt;180d</v>
      </c>
      <c r="T833" s="20" t="n">
        <f aca="false">COUNTIF(M833:S833,"FAIL*")+COUNTIF(M833:S833,"FLAG*")</f>
        <v>2</v>
      </c>
      <c r="U833" s="20" t="str">
        <f aca="false">IF(T833=0,"CLEAN",IF(T833=1,"MINOR",IF(T833&lt;=3,"MODERATE","CRITICAL")))</f>
        <v>MODERATE</v>
      </c>
      <c r="V833" s="20" t="str">
        <f aca="false">IF(U833="CLEAN","None",IF(U833="MINOR","Seller Notify",IF(U833="MODERATE","Listing Suspended","Immediate Removal")))</f>
        <v>Listing Suspended</v>
      </c>
    </row>
    <row r="834" customFormat="false" ht="18" hidden="false" customHeight="true" outlineLevel="0" collapsed="false">
      <c r="A834" s="19" t="s">
        <v>6911</v>
      </c>
      <c r="B834" s="19" t="s">
        <v>5131</v>
      </c>
      <c r="C834" s="19" t="s">
        <v>159</v>
      </c>
      <c r="D834" s="19" t="s">
        <v>160</v>
      </c>
      <c r="E834" s="19" t="s">
        <v>161</v>
      </c>
      <c r="F834" s="19" t="s">
        <v>162</v>
      </c>
      <c r="G834" s="19" t="s">
        <v>5133</v>
      </c>
      <c r="H834" s="19" t="s">
        <v>5134</v>
      </c>
      <c r="I834" s="19" t="s">
        <v>1978</v>
      </c>
      <c r="J834" s="19" t="n">
        <v>294.73</v>
      </c>
      <c r="K834" s="19" t="s">
        <v>1845</v>
      </c>
      <c r="L834" s="21" t="s">
        <v>1014</v>
      </c>
      <c r="M834" s="20" t="str">
        <f aca="false">IF(G834&lt;&gt;"","PASS","FAIL - Missing UPC")</f>
        <v>PASS</v>
      </c>
      <c r="N834" s="20" t="str">
        <f aca="false">IF(AND(G834&lt;&gt;"",H834&lt;&gt;""),IF("0"&amp;G834=H834,"PASS","FAIL - GTIN Mismatch"),"SKIP")</f>
        <v>PASS</v>
      </c>
      <c r="O834" s="20" t="str">
        <f aca="false">IF(I834="","FAIL - No Title",IF(LEN(I834)&lt;=126,"PASS","FAIL - Title &gt;"&amp;126&amp;" chars"))</f>
        <v>PASS</v>
      </c>
      <c r="P834" s="20" t="str">
        <f aca="false">IF(J834&gt;0,IF(J834&lt;5000,"PASS","FLAG - Review Price"),"FAIL - Zero Price")</f>
        <v>PASS</v>
      </c>
      <c r="Q834" s="20" t="str">
        <f aca="false">IF('Raw Catalog'!P832&lt;&gt;"","PASS","FAIL - No Image")</f>
        <v>FAIL - No Image</v>
      </c>
      <c r="R834" s="20" t="str">
        <f aca="false">IF(F834&lt;&gt;"","PASS","FAIL - No Brand")</f>
        <v>PASS</v>
      </c>
      <c r="S834" s="20" t="str">
        <f aca="true">IF(K834="","FAIL - No Date",IF(TODAY()-DATEVALUE(K834)&lt;=180,"PASS","FLAG - Stale &gt;180d"))</f>
        <v>FLAG - Stale &gt;180d</v>
      </c>
      <c r="T834" s="20" t="n">
        <f aca="false">COUNTIF(M834:S834,"FAIL*")+COUNTIF(M834:S834,"FLAG*")</f>
        <v>2</v>
      </c>
      <c r="U834" s="20" t="str">
        <f aca="false">IF(T834=0,"CLEAN",IF(T834=1,"MINOR",IF(T834&lt;=3,"MODERATE","CRITICAL")))</f>
        <v>MODERATE</v>
      </c>
      <c r="V834" s="20" t="str">
        <f aca="false">IF(U834="CLEAN","None",IF(U834="MINOR","Seller Notify",IF(U834="MODERATE","Listing Suspended","Immediate Removal")))</f>
        <v>Listing Suspended</v>
      </c>
    </row>
    <row r="835" customFormat="false" ht="18" hidden="false" customHeight="true" outlineLevel="0" collapsed="false">
      <c r="A835" s="19" t="s">
        <v>6912</v>
      </c>
      <c r="B835" s="19" t="s">
        <v>5136</v>
      </c>
      <c r="C835" s="19" t="s">
        <v>48</v>
      </c>
      <c r="D835" s="19" t="s">
        <v>49</v>
      </c>
      <c r="E835" s="19" t="s">
        <v>161</v>
      </c>
      <c r="F835" s="19" t="s">
        <v>162</v>
      </c>
      <c r="G835" s="19" t="s">
        <v>5138</v>
      </c>
      <c r="H835" s="19" t="s">
        <v>5139</v>
      </c>
      <c r="I835" s="19" t="s">
        <v>5140</v>
      </c>
      <c r="J835" s="19" t="n">
        <v>142.95</v>
      </c>
      <c r="K835" s="19" t="s">
        <v>576</v>
      </c>
      <c r="L835" s="19"/>
      <c r="M835" s="20" t="str">
        <f aca="false">IF(G835&lt;&gt;"","PASS","FAIL - Missing UPC")</f>
        <v>PASS</v>
      </c>
      <c r="N835" s="20" t="str">
        <f aca="false">IF(AND(G835&lt;&gt;"",H835&lt;&gt;""),IF("0"&amp;G835=H835,"PASS","FAIL - GTIN Mismatch"),"SKIP")</f>
        <v>PASS</v>
      </c>
      <c r="O835" s="20" t="str">
        <f aca="false">IF(I835="","FAIL - No Title",IF(LEN(I835)&lt;=126,"PASS","FAIL - Title &gt;"&amp;126&amp;" chars"))</f>
        <v>PASS</v>
      </c>
      <c r="P835" s="20" t="str">
        <f aca="false">IF(J835&gt;0,IF(J835&lt;5000,"PASS","FLAG - Review Price"),"FAIL - Zero Price")</f>
        <v>PASS</v>
      </c>
      <c r="Q835" s="20" t="str">
        <f aca="false">IF('Raw Catalog'!P833&lt;&gt;"","PASS","FAIL - No Image")</f>
        <v>PASS</v>
      </c>
      <c r="R835" s="20" t="str">
        <f aca="false">IF(F835&lt;&gt;"","PASS","FAIL - No Brand")</f>
        <v>PASS</v>
      </c>
      <c r="S835" s="20" t="str">
        <f aca="true">IF(K835="","FAIL - No Date",IF(TODAY()-DATEVALUE(K835)&lt;=180,"PASS","FLAG - Stale &gt;180d"))</f>
        <v>FLAG - Stale &gt;180d</v>
      </c>
      <c r="T835" s="20" t="n">
        <f aca="false">COUNTIF(M835:S835,"FAIL*")+COUNTIF(M835:S835,"FLAG*")</f>
        <v>1</v>
      </c>
      <c r="U835" s="20" t="str">
        <f aca="false">IF(T835=0,"CLEAN",IF(T835=1,"MINOR",IF(T835&lt;=3,"MODERATE","CRITICAL")))</f>
        <v>MINOR</v>
      </c>
      <c r="V835" s="20" t="str">
        <f aca="false">IF(U835="CLEAN","None",IF(U835="MINOR","Seller Notify",IF(U835="MODERATE","Listing Suspended","Immediate Removal")))</f>
        <v>Seller Notify</v>
      </c>
    </row>
    <row r="836" customFormat="false" ht="18" hidden="false" customHeight="true" outlineLevel="0" collapsed="false">
      <c r="A836" s="19" t="s">
        <v>6913</v>
      </c>
      <c r="B836" s="19" t="s">
        <v>5142</v>
      </c>
      <c r="C836" s="19" t="s">
        <v>77</v>
      </c>
      <c r="D836" s="19" t="s">
        <v>78</v>
      </c>
      <c r="E836" s="19" t="s">
        <v>79</v>
      </c>
      <c r="F836" s="19" t="s">
        <v>1531</v>
      </c>
      <c r="G836" s="19" t="s">
        <v>5144</v>
      </c>
      <c r="H836" s="19" t="s">
        <v>5145</v>
      </c>
      <c r="I836" s="19" t="s">
        <v>5146</v>
      </c>
      <c r="J836" s="19" t="n">
        <v>708.59</v>
      </c>
      <c r="K836" s="19" t="s">
        <v>4627</v>
      </c>
      <c r="L836" s="19"/>
      <c r="M836" s="20" t="str">
        <f aca="false">IF(G836&lt;&gt;"","PASS","FAIL - Missing UPC")</f>
        <v>PASS</v>
      </c>
      <c r="N836" s="20" t="str">
        <f aca="false">IF(AND(G836&lt;&gt;"",H836&lt;&gt;""),IF("0"&amp;G836=H836,"PASS","FAIL - GTIN Mismatch"),"SKIP")</f>
        <v>PASS</v>
      </c>
      <c r="O836" s="20" t="str">
        <f aca="false">IF(I836="","FAIL - No Title",IF(LEN(I836)&lt;=126,"PASS","FAIL - Title &gt;"&amp;126&amp;" chars"))</f>
        <v>PASS</v>
      </c>
      <c r="P836" s="20" t="str">
        <f aca="false">IF(J836&gt;0,IF(J836&lt;5000,"PASS","FLAG - Review Price"),"FAIL - Zero Price")</f>
        <v>PASS</v>
      </c>
      <c r="Q836" s="20" t="str">
        <f aca="false">IF('Raw Catalog'!P834&lt;&gt;"","PASS","FAIL - No Image")</f>
        <v>PASS</v>
      </c>
      <c r="R836" s="20" t="str">
        <f aca="false">IF(F836&lt;&gt;"","PASS","FAIL - No Brand")</f>
        <v>PASS</v>
      </c>
      <c r="S836" s="20" t="str">
        <f aca="true">IF(K836="","FAIL - No Date",IF(TODAY()-DATEVALUE(K836)&lt;=180,"PASS","FLAG - Stale &gt;180d"))</f>
        <v>FLAG - Stale &gt;180d</v>
      </c>
      <c r="T836" s="20" t="n">
        <f aca="false">COUNTIF(M836:S836,"FAIL*")+COUNTIF(M836:S836,"FLAG*")</f>
        <v>1</v>
      </c>
      <c r="U836" s="20" t="str">
        <f aca="false">IF(T836=0,"CLEAN",IF(T836=1,"MINOR",IF(T836&lt;=3,"MODERATE","CRITICAL")))</f>
        <v>MINOR</v>
      </c>
      <c r="V836" s="20" t="str">
        <f aca="false">IF(U836="CLEAN","None",IF(U836="MINOR","Seller Notify",IF(U836="MODERATE","Listing Suspended","Immediate Removal")))</f>
        <v>Seller Notify</v>
      </c>
    </row>
    <row r="837" customFormat="false" ht="18" hidden="false" customHeight="true" outlineLevel="0" collapsed="false">
      <c r="A837" s="19" t="s">
        <v>6914</v>
      </c>
      <c r="B837" s="19" t="s">
        <v>4877</v>
      </c>
      <c r="C837" s="19" t="s">
        <v>63</v>
      </c>
      <c r="D837" s="19" t="s">
        <v>64</v>
      </c>
      <c r="E837" s="19" t="s">
        <v>79</v>
      </c>
      <c r="F837" s="19" t="s">
        <v>127</v>
      </c>
      <c r="G837" s="19" t="s">
        <v>4879</v>
      </c>
      <c r="H837" s="19" t="s">
        <v>4880</v>
      </c>
      <c r="I837" s="19" t="s">
        <v>4881</v>
      </c>
      <c r="J837" s="19" t="n">
        <v>1365.49</v>
      </c>
      <c r="K837" s="19" t="s">
        <v>576</v>
      </c>
      <c r="L837" s="19"/>
      <c r="M837" s="20" t="str">
        <f aca="false">IF(G837&lt;&gt;"","PASS","FAIL - Missing UPC")</f>
        <v>PASS</v>
      </c>
      <c r="N837" s="20" t="str">
        <f aca="false">IF(AND(G837&lt;&gt;"",H837&lt;&gt;""),IF("0"&amp;G837=H837,"PASS","FAIL - GTIN Mismatch"),"SKIP")</f>
        <v>PASS</v>
      </c>
      <c r="O837" s="20" t="str">
        <f aca="false">IF(I837="","FAIL - No Title",IF(LEN(I837)&lt;=126,"PASS","FAIL - Title &gt;"&amp;126&amp;" chars"))</f>
        <v>PASS</v>
      </c>
      <c r="P837" s="20" t="str">
        <f aca="false">IF(J837&gt;0,IF(J837&lt;5000,"PASS","FLAG - Review Price"),"FAIL - Zero Price")</f>
        <v>PASS</v>
      </c>
      <c r="Q837" s="20" t="str">
        <f aca="false">IF('Raw Catalog'!P835&lt;&gt;"","PASS","FAIL - No Image")</f>
        <v>PASS</v>
      </c>
      <c r="R837" s="20" t="str">
        <f aca="false">IF(F837&lt;&gt;"","PASS","FAIL - No Brand")</f>
        <v>PASS</v>
      </c>
      <c r="S837" s="20" t="str">
        <f aca="true">IF(K837="","FAIL - No Date",IF(TODAY()-DATEVALUE(K837)&lt;=180,"PASS","FLAG - Stale &gt;180d"))</f>
        <v>FLAG - Stale &gt;180d</v>
      </c>
      <c r="T837" s="20" t="n">
        <f aca="false">COUNTIF(M837:S837,"FAIL*")+COUNTIF(M837:S837,"FLAG*")</f>
        <v>1</v>
      </c>
      <c r="U837" s="20" t="str">
        <f aca="false">IF(T837=0,"CLEAN",IF(T837=1,"MINOR",IF(T837&lt;=3,"MODERATE","CRITICAL")))</f>
        <v>MINOR</v>
      </c>
      <c r="V837" s="20" t="str">
        <f aca="false">IF(U837="CLEAN","None",IF(U837="MINOR","Seller Notify",IF(U837="MODERATE","Listing Suspended","Immediate Removal")))</f>
        <v>Seller Notify</v>
      </c>
    </row>
    <row r="838" customFormat="false" ht="18" hidden="false" customHeight="true" outlineLevel="0" collapsed="false">
      <c r="A838" s="19" t="s">
        <v>6915</v>
      </c>
      <c r="B838" s="19" t="s">
        <v>5147</v>
      </c>
      <c r="C838" s="19" t="s">
        <v>255</v>
      </c>
      <c r="D838" s="19" t="s">
        <v>256</v>
      </c>
      <c r="E838" s="19" t="s">
        <v>161</v>
      </c>
      <c r="F838" s="19" t="s">
        <v>295</v>
      </c>
      <c r="G838" s="19" t="s">
        <v>5149</v>
      </c>
      <c r="H838" s="19" t="s">
        <v>5150</v>
      </c>
      <c r="I838" s="19" t="s">
        <v>5057</v>
      </c>
      <c r="J838" s="19" t="n">
        <v>347.78</v>
      </c>
      <c r="K838" s="19" t="s">
        <v>1423</v>
      </c>
      <c r="L838" s="19"/>
      <c r="M838" s="20" t="str">
        <f aca="false">IF(G838&lt;&gt;"","PASS","FAIL - Missing UPC")</f>
        <v>PASS</v>
      </c>
      <c r="N838" s="20" t="str">
        <f aca="false">IF(AND(G838&lt;&gt;"",H838&lt;&gt;""),IF("0"&amp;G838=H838,"PASS","FAIL - GTIN Mismatch"),"SKIP")</f>
        <v>PASS</v>
      </c>
      <c r="O838" s="20" t="str">
        <f aca="false">IF(I838="","FAIL - No Title",IF(LEN(I838)&lt;=126,"PASS","FAIL - Title &gt;"&amp;126&amp;" chars"))</f>
        <v>PASS</v>
      </c>
      <c r="P838" s="20" t="str">
        <f aca="false">IF(J838&gt;0,IF(J838&lt;5000,"PASS","FLAG - Review Price"),"FAIL - Zero Price")</f>
        <v>PASS</v>
      </c>
      <c r="Q838" s="20" t="str">
        <f aca="false">IF('Raw Catalog'!P836&lt;&gt;"","PASS","FAIL - No Image")</f>
        <v>PASS</v>
      </c>
      <c r="R838" s="20" t="str">
        <f aca="false">IF(F838&lt;&gt;"","PASS","FAIL - No Brand")</f>
        <v>PASS</v>
      </c>
      <c r="S838" s="20" t="str">
        <f aca="true">IF(K838="","FAIL - No Date",IF(TODAY()-DATEVALUE(K838)&lt;=180,"PASS","FLAG - Stale &gt;180d"))</f>
        <v>FLAG - Stale &gt;180d</v>
      </c>
      <c r="T838" s="20" t="n">
        <f aca="false">COUNTIF(M838:S838,"FAIL*")+COUNTIF(M838:S838,"FLAG*")</f>
        <v>1</v>
      </c>
      <c r="U838" s="20" t="str">
        <f aca="false">IF(T838=0,"CLEAN",IF(T838=1,"MINOR",IF(T838&lt;=3,"MODERATE","CRITICAL")))</f>
        <v>MINOR</v>
      </c>
      <c r="V838" s="20" t="str">
        <f aca="false">IF(U838="CLEAN","None",IF(U838="MINOR","Seller Notify",IF(U838="MODERATE","Listing Suspended","Immediate Removal")))</f>
        <v>Seller Notify</v>
      </c>
    </row>
    <row r="839" customFormat="false" ht="18" hidden="false" customHeight="true" outlineLevel="0" collapsed="false">
      <c r="A839" s="19" t="s">
        <v>6916</v>
      </c>
      <c r="B839" s="19" t="s">
        <v>5152</v>
      </c>
      <c r="C839" s="19" t="s">
        <v>113</v>
      </c>
      <c r="D839" s="19" t="s">
        <v>114</v>
      </c>
      <c r="E839" s="19" t="s">
        <v>161</v>
      </c>
      <c r="F839" s="19" t="s">
        <v>822</v>
      </c>
      <c r="G839" s="19" t="s">
        <v>5154</v>
      </c>
      <c r="H839" s="19" t="s">
        <v>5155</v>
      </c>
      <c r="I839" s="19" t="s">
        <v>5156</v>
      </c>
      <c r="J839" s="19" t="n">
        <v>292.1</v>
      </c>
      <c r="K839" s="19" t="s">
        <v>1708</v>
      </c>
      <c r="L839" s="21" t="s">
        <v>325</v>
      </c>
      <c r="M839" s="20" t="str">
        <f aca="false">IF(G839&lt;&gt;"","PASS","FAIL - Missing UPC")</f>
        <v>PASS</v>
      </c>
      <c r="N839" s="20" t="str">
        <f aca="false">IF(AND(G839&lt;&gt;"",H839&lt;&gt;""),IF("0"&amp;G839=H839,"PASS","FAIL - GTIN Mismatch"),"SKIP")</f>
        <v>PASS</v>
      </c>
      <c r="O839" s="20" t="str">
        <f aca="false">IF(I839="","FAIL - No Title",IF(LEN(I839)&lt;=126,"PASS","FAIL - Title &gt;"&amp;126&amp;" chars"))</f>
        <v>PASS</v>
      </c>
      <c r="P839" s="20" t="str">
        <f aca="false">IF(J839&gt;0,IF(J839&lt;5000,"PASS","FLAG - Review Price"),"FAIL - Zero Price")</f>
        <v>PASS</v>
      </c>
      <c r="Q839" s="20" t="str">
        <f aca="false">IF('Raw Catalog'!P837&lt;&gt;"","PASS","FAIL - No Image")</f>
        <v>PASS</v>
      </c>
      <c r="R839" s="20" t="str">
        <f aca="false">IF(F839&lt;&gt;"","PASS","FAIL - No Brand")</f>
        <v>PASS</v>
      </c>
      <c r="S839" s="20" t="str">
        <f aca="true">IF(K839="","FAIL - No Date",IF(TODAY()-DATEVALUE(K839)&lt;=180,"PASS","FLAG - Stale &gt;180d"))</f>
        <v>FLAG - Stale &gt;180d</v>
      </c>
      <c r="T839" s="20" t="n">
        <f aca="false">COUNTIF(M839:S839,"FAIL*")+COUNTIF(M839:S839,"FLAG*")</f>
        <v>1</v>
      </c>
      <c r="U839" s="20" t="str">
        <f aca="false">IF(T839=0,"CLEAN",IF(T839=1,"MINOR",IF(T839&lt;=3,"MODERATE","CRITICAL")))</f>
        <v>MINOR</v>
      </c>
      <c r="V839" s="20" t="str">
        <f aca="false">IF(U839="CLEAN","None",IF(U839="MINOR","Seller Notify",IF(U839="MODERATE","Listing Suspended","Immediate Removal")))</f>
        <v>Seller Notify</v>
      </c>
    </row>
    <row r="840" customFormat="false" ht="18" hidden="false" customHeight="true" outlineLevel="0" collapsed="false">
      <c r="A840" s="19" t="s">
        <v>6917</v>
      </c>
      <c r="B840" s="19" t="s">
        <v>5157</v>
      </c>
      <c r="C840" s="19" t="s">
        <v>173</v>
      </c>
      <c r="D840" s="19" t="s">
        <v>174</v>
      </c>
      <c r="E840" s="19" t="s">
        <v>50</v>
      </c>
      <c r="F840" s="19" t="s">
        <v>51</v>
      </c>
      <c r="G840" s="19" t="s">
        <v>5159</v>
      </c>
      <c r="H840" s="19" t="s">
        <v>5160</v>
      </c>
      <c r="I840" s="19" t="s">
        <v>3996</v>
      </c>
      <c r="J840" s="19" t="n">
        <v>256.53</v>
      </c>
      <c r="K840" s="19" t="s">
        <v>1179</v>
      </c>
      <c r="L840" s="19"/>
      <c r="M840" s="20" t="str">
        <f aca="false">IF(G840&lt;&gt;"","PASS","FAIL - Missing UPC")</f>
        <v>PASS</v>
      </c>
      <c r="N840" s="20" t="str">
        <f aca="false">IF(AND(G840&lt;&gt;"",H840&lt;&gt;""),IF("0"&amp;G840=H840,"PASS","FAIL - GTIN Mismatch"),"SKIP")</f>
        <v>PASS</v>
      </c>
      <c r="O840" s="20" t="str">
        <f aca="false">IF(I840="","FAIL - No Title",IF(LEN(I840)&lt;=126,"PASS","FAIL - Title &gt;"&amp;126&amp;" chars"))</f>
        <v>PASS</v>
      </c>
      <c r="P840" s="20" t="str">
        <f aca="false">IF(J840&gt;0,IF(J840&lt;5000,"PASS","FLAG - Review Price"),"FAIL - Zero Price")</f>
        <v>PASS</v>
      </c>
      <c r="Q840" s="20" t="str">
        <f aca="false">IF('Raw Catalog'!P838&lt;&gt;"","PASS","FAIL - No Image")</f>
        <v>PASS</v>
      </c>
      <c r="R840" s="20" t="str">
        <f aca="false">IF(F840&lt;&gt;"","PASS","FAIL - No Brand")</f>
        <v>PASS</v>
      </c>
      <c r="S840" s="20" t="str">
        <f aca="true">IF(K840="","FAIL - No Date",IF(TODAY()-DATEVALUE(K840)&lt;=180,"PASS","FLAG - Stale &gt;180d"))</f>
        <v>FLAG - Stale &gt;180d</v>
      </c>
      <c r="T840" s="20" t="n">
        <f aca="false">COUNTIF(M840:S840,"FAIL*")+COUNTIF(M840:S840,"FLAG*")</f>
        <v>1</v>
      </c>
      <c r="U840" s="20" t="str">
        <f aca="false">IF(T840=0,"CLEAN",IF(T840=1,"MINOR",IF(T840&lt;=3,"MODERATE","CRITICAL")))</f>
        <v>MINOR</v>
      </c>
      <c r="V840" s="20" t="str">
        <f aca="false">IF(U840="CLEAN","None",IF(U840="MINOR","Seller Notify",IF(U840="MODERATE","Listing Suspended","Immediate Removal")))</f>
        <v>Seller Notify</v>
      </c>
    </row>
    <row r="841" customFormat="false" ht="18" hidden="false" customHeight="true" outlineLevel="0" collapsed="false">
      <c r="A841" s="19" t="s">
        <v>6918</v>
      </c>
      <c r="B841" s="19" t="s">
        <v>5161</v>
      </c>
      <c r="C841" s="19" t="s">
        <v>255</v>
      </c>
      <c r="D841" s="19" t="s">
        <v>256</v>
      </c>
      <c r="E841" s="19" t="s">
        <v>91</v>
      </c>
      <c r="F841" s="19" t="s">
        <v>780</v>
      </c>
      <c r="G841" s="19" t="s">
        <v>5163</v>
      </c>
      <c r="H841" s="19" t="s">
        <v>5164</v>
      </c>
      <c r="I841" s="19" t="s">
        <v>5165</v>
      </c>
      <c r="J841" s="19" t="n">
        <v>2859.46</v>
      </c>
      <c r="K841" s="19" t="s">
        <v>644</v>
      </c>
      <c r="L841" s="19"/>
      <c r="M841" s="20" t="str">
        <f aca="false">IF(G841&lt;&gt;"","PASS","FAIL - Missing UPC")</f>
        <v>PASS</v>
      </c>
      <c r="N841" s="20" t="str">
        <f aca="false">IF(AND(G841&lt;&gt;"",H841&lt;&gt;""),IF("0"&amp;G841=H841,"PASS","FAIL - GTIN Mismatch"),"SKIP")</f>
        <v>PASS</v>
      </c>
      <c r="O841" s="20" t="str">
        <f aca="false">IF(I841="","FAIL - No Title",IF(LEN(I841)&lt;=126,"PASS","FAIL - Title &gt;"&amp;126&amp;" chars"))</f>
        <v>PASS</v>
      </c>
      <c r="P841" s="20" t="str">
        <f aca="false">IF(J841&gt;0,IF(J841&lt;5000,"PASS","FLAG - Review Price"),"FAIL - Zero Price")</f>
        <v>PASS</v>
      </c>
      <c r="Q841" s="20" t="str">
        <f aca="false">IF('Raw Catalog'!P839&lt;&gt;"","PASS","FAIL - No Image")</f>
        <v>PASS</v>
      </c>
      <c r="R841" s="20" t="str">
        <f aca="false">IF(F841&lt;&gt;"","PASS","FAIL - No Brand")</f>
        <v>PASS</v>
      </c>
      <c r="S841" s="20" t="str">
        <f aca="true">IF(K841="","FAIL - No Date",IF(TODAY()-DATEVALUE(K841)&lt;=180,"PASS","FLAG - Stale &gt;180d"))</f>
        <v>FLAG - Stale &gt;180d</v>
      </c>
      <c r="T841" s="20" t="n">
        <f aca="false">COUNTIF(M841:S841,"FAIL*")+COUNTIF(M841:S841,"FLAG*")</f>
        <v>1</v>
      </c>
      <c r="U841" s="20" t="str">
        <f aca="false">IF(T841=0,"CLEAN",IF(T841=1,"MINOR",IF(T841&lt;=3,"MODERATE","CRITICAL")))</f>
        <v>MINOR</v>
      </c>
      <c r="V841" s="20" t="str">
        <f aca="false">IF(U841="CLEAN","None",IF(U841="MINOR","Seller Notify",IF(U841="MODERATE","Listing Suspended","Immediate Removal")))</f>
        <v>Seller Notify</v>
      </c>
    </row>
    <row r="842" customFormat="false" ht="18" hidden="false" customHeight="true" outlineLevel="0" collapsed="false">
      <c r="A842" s="19" t="s">
        <v>6919</v>
      </c>
      <c r="B842" s="19" t="s">
        <v>5166</v>
      </c>
      <c r="C842" s="19" t="s">
        <v>173</v>
      </c>
      <c r="D842" s="19" t="s">
        <v>174</v>
      </c>
      <c r="E842" s="19" t="s">
        <v>50</v>
      </c>
      <c r="F842" s="19" t="s">
        <v>51</v>
      </c>
      <c r="G842" s="19" t="s">
        <v>5168</v>
      </c>
      <c r="H842" s="19" t="s">
        <v>5169</v>
      </c>
      <c r="I842" s="19" t="s">
        <v>56</v>
      </c>
      <c r="J842" s="19" t="n">
        <v>151.4</v>
      </c>
      <c r="K842" s="19" t="s">
        <v>1707</v>
      </c>
      <c r="L842" s="19"/>
      <c r="M842" s="20" t="str">
        <f aca="false">IF(G842&lt;&gt;"","PASS","FAIL - Missing UPC")</f>
        <v>PASS</v>
      </c>
      <c r="N842" s="20" t="str">
        <f aca="false">IF(AND(G842&lt;&gt;"",H842&lt;&gt;""),IF("0"&amp;G842=H842,"PASS","FAIL - GTIN Mismatch"),"SKIP")</f>
        <v>PASS</v>
      </c>
      <c r="O842" s="20" t="str">
        <f aca="false">IF(I842="","FAIL - No Title",IF(LEN(I842)&lt;=126,"PASS","FAIL - Title &gt;"&amp;126&amp;" chars"))</f>
        <v>PASS</v>
      </c>
      <c r="P842" s="20" t="str">
        <f aca="false">IF(J842&gt;0,IF(J842&lt;5000,"PASS","FLAG - Review Price"),"FAIL - Zero Price")</f>
        <v>PASS</v>
      </c>
      <c r="Q842" s="20" t="str">
        <f aca="false">IF('Raw Catalog'!P840&lt;&gt;"","PASS","FAIL - No Image")</f>
        <v>PASS</v>
      </c>
      <c r="R842" s="20" t="str">
        <f aca="false">IF(F842&lt;&gt;"","PASS","FAIL - No Brand")</f>
        <v>PASS</v>
      </c>
      <c r="S842" s="20" t="str">
        <f aca="true">IF(K842="","FAIL - No Date",IF(TODAY()-DATEVALUE(K842)&lt;=180,"PASS","FLAG - Stale &gt;180d"))</f>
        <v>FLAG - Stale &gt;180d</v>
      </c>
      <c r="T842" s="20" t="n">
        <f aca="false">COUNTIF(M842:S842,"FAIL*")+COUNTIF(M842:S842,"FLAG*")</f>
        <v>1</v>
      </c>
      <c r="U842" s="20" t="str">
        <f aca="false">IF(T842=0,"CLEAN",IF(T842=1,"MINOR",IF(T842&lt;=3,"MODERATE","CRITICAL")))</f>
        <v>MINOR</v>
      </c>
      <c r="V842" s="20" t="str">
        <f aca="false">IF(U842="CLEAN","None",IF(U842="MINOR","Seller Notify",IF(U842="MODERATE","Listing Suspended","Immediate Removal")))</f>
        <v>Seller Notify</v>
      </c>
    </row>
    <row r="843" customFormat="false" ht="18" hidden="false" customHeight="true" outlineLevel="0" collapsed="false">
      <c r="A843" s="19" t="s">
        <v>6920</v>
      </c>
      <c r="B843" s="19" t="s">
        <v>5171</v>
      </c>
      <c r="C843" s="19" t="s">
        <v>77</v>
      </c>
      <c r="D843" s="19" t="s">
        <v>78</v>
      </c>
      <c r="E843" s="19" t="s">
        <v>91</v>
      </c>
      <c r="F843" s="19" t="s">
        <v>587</v>
      </c>
      <c r="G843" s="19" t="s">
        <v>5173</v>
      </c>
      <c r="H843" s="19" t="s">
        <v>5174</v>
      </c>
      <c r="I843" s="19" t="s">
        <v>5175</v>
      </c>
      <c r="J843" s="19" t="n">
        <v>2034.59</v>
      </c>
      <c r="K843" s="19" t="s">
        <v>253</v>
      </c>
      <c r="L843" s="19"/>
      <c r="M843" s="20" t="str">
        <f aca="false">IF(G843&lt;&gt;"","PASS","FAIL - Missing UPC")</f>
        <v>PASS</v>
      </c>
      <c r="N843" s="20" t="str">
        <f aca="false">IF(AND(G843&lt;&gt;"",H843&lt;&gt;""),IF("0"&amp;G843=H843,"PASS","FAIL - GTIN Mismatch"),"SKIP")</f>
        <v>PASS</v>
      </c>
      <c r="O843" s="20" t="str">
        <f aca="false">IF(I843="","FAIL - No Title",IF(LEN(I843)&lt;=126,"PASS","FAIL - Title &gt;"&amp;126&amp;" chars"))</f>
        <v>PASS</v>
      </c>
      <c r="P843" s="20" t="str">
        <f aca="false">IF(J843&gt;0,IF(J843&lt;5000,"PASS","FLAG - Review Price"),"FAIL - Zero Price")</f>
        <v>PASS</v>
      </c>
      <c r="Q843" s="20" t="str">
        <f aca="false">IF('Raw Catalog'!P841&lt;&gt;"","PASS","FAIL - No Image")</f>
        <v>PASS</v>
      </c>
      <c r="R843" s="20" t="str">
        <f aca="false">IF(F843&lt;&gt;"","PASS","FAIL - No Brand")</f>
        <v>PASS</v>
      </c>
      <c r="S843" s="20" t="str">
        <f aca="true">IF(K843="","FAIL - No Date",IF(TODAY()-DATEVALUE(K843)&lt;=180,"PASS","FLAG - Stale &gt;180d"))</f>
        <v>FLAG - Stale &gt;180d</v>
      </c>
      <c r="T843" s="20" t="n">
        <f aca="false">COUNTIF(M843:S843,"FAIL*")+COUNTIF(M843:S843,"FLAG*")</f>
        <v>1</v>
      </c>
      <c r="U843" s="20" t="str">
        <f aca="false">IF(T843=0,"CLEAN",IF(T843=1,"MINOR",IF(T843&lt;=3,"MODERATE","CRITICAL")))</f>
        <v>MINOR</v>
      </c>
      <c r="V843" s="20" t="str">
        <f aca="false">IF(U843="CLEAN","None",IF(U843="MINOR","Seller Notify",IF(U843="MODERATE","Listing Suspended","Immediate Removal")))</f>
        <v>Seller Notify</v>
      </c>
    </row>
    <row r="844" customFormat="false" ht="18" hidden="false" customHeight="true" outlineLevel="0" collapsed="false">
      <c r="A844" s="19" t="s">
        <v>6921</v>
      </c>
      <c r="B844" s="19" t="s">
        <v>5176</v>
      </c>
      <c r="C844" s="19" t="s">
        <v>159</v>
      </c>
      <c r="D844" s="19" t="s">
        <v>160</v>
      </c>
      <c r="E844" s="19" t="s">
        <v>65</v>
      </c>
      <c r="F844" s="19" t="s">
        <v>115</v>
      </c>
      <c r="G844" s="19" t="s">
        <v>5178</v>
      </c>
      <c r="H844" s="19" t="s">
        <v>5179</v>
      </c>
      <c r="I844" s="19" t="s">
        <v>1257</v>
      </c>
      <c r="J844" s="19" t="n">
        <v>72.47</v>
      </c>
      <c r="K844" s="19" t="s">
        <v>3143</v>
      </c>
      <c r="L844" s="19"/>
      <c r="M844" s="20" t="str">
        <f aca="false">IF(G844&lt;&gt;"","PASS","FAIL - Missing UPC")</f>
        <v>PASS</v>
      </c>
      <c r="N844" s="20" t="str">
        <f aca="false">IF(AND(G844&lt;&gt;"",H844&lt;&gt;""),IF("0"&amp;G844=H844,"PASS","FAIL - GTIN Mismatch"),"SKIP")</f>
        <v>PASS</v>
      </c>
      <c r="O844" s="20" t="str">
        <f aca="false">IF(I844="","FAIL - No Title",IF(LEN(I844)&lt;=126,"PASS","FAIL - Title &gt;"&amp;126&amp;" chars"))</f>
        <v>PASS</v>
      </c>
      <c r="P844" s="20" t="str">
        <f aca="false">IF(J844&gt;0,IF(J844&lt;5000,"PASS","FLAG - Review Price"),"FAIL - Zero Price")</f>
        <v>PASS</v>
      </c>
      <c r="Q844" s="20" t="str">
        <f aca="false">IF('Raw Catalog'!P842&lt;&gt;"","PASS","FAIL - No Image")</f>
        <v>PASS</v>
      </c>
      <c r="R844" s="20" t="str">
        <f aca="false">IF(F844&lt;&gt;"","PASS","FAIL - No Brand")</f>
        <v>PASS</v>
      </c>
      <c r="S844" s="20" t="str">
        <f aca="true">IF(K844="","FAIL - No Date",IF(TODAY()-DATEVALUE(K844)&lt;=180,"PASS","FLAG - Stale &gt;180d"))</f>
        <v>FLAG - Stale &gt;180d</v>
      </c>
      <c r="T844" s="20" t="n">
        <f aca="false">COUNTIF(M844:S844,"FAIL*")+COUNTIF(M844:S844,"FLAG*")</f>
        <v>1</v>
      </c>
      <c r="U844" s="20" t="str">
        <f aca="false">IF(T844=0,"CLEAN",IF(T844=1,"MINOR",IF(T844&lt;=3,"MODERATE","CRITICAL")))</f>
        <v>MINOR</v>
      </c>
      <c r="V844" s="20" t="str">
        <f aca="false">IF(U844="CLEAN","None",IF(U844="MINOR","Seller Notify",IF(U844="MODERATE","Listing Suspended","Immediate Removal")))</f>
        <v>Seller Notify</v>
      </c>
    </row>
    <row r="845" customFormat="false" ht="18" hidden="false" customHeight="true" outlineLevel="0" collapsed="false">
      <c r="A845" s="19" t="s">
        <v>6922</v>
      </c>
      <c r="B845" s="19" t="s">
        <v>5180</v>
      </c>
      <c r="C845" s="19" t="s">
        <v>255</v>
      </c>
      <c r="D845" s="19" t="s">
        <v>256</v>
      </c>
      <c r="E845" s="19" t="s">
        <v>91</v>
      </c>
      <c r="F845" s="19" t="s">
        <v>185</v>
      </c>
      <c r="G845" s="19" t="s">
        <v>5182</v>
      </c>
      <c r="H845" s="19" t="s">
        <v>5183</v>
      </c>
      <c r="I845" s="19" t="s">
        <v>2532</v>
      </c>
      <c r="J845" s="19" t="n">
        <v>2867</v>
      </c>
      <c r="K845" s="19" t="s">
        <v>644</v>
      </c>
      <c r="L845" s="19"/>
      <c r="M845" s="20" t="str">
        <f aca="false">IF(G845&lt;&gt;"","PASS","FAIL - Missing UPC")</f>
        <v>PASS</v>
      </c>
      <c r="N845" s="20" t="str">
        <f aca="false">IF(AND(G845&lt;&gt;"",H845&lt;&gt;""),IF("0"&amp;G845=H845,"PASS","FAIL - GTIN Mismatch"),"SKIP")</f>
        <v>PASS</v>
      </c>
      <c r="O845" s="20" t="str">
        <f aca="false">IF(I845="","FAIL - No Title",IF(LEN(I845)&lt;=126,"PASS","FAIL - Title &gt;"&amp;126&amp;" chars"))</f>
        <v>PASS</v>
      </c>
      <c r="P845" s="20" t="str">
        <f aca="false">IF(J845&gt;0,IF(J845&lt;5000,"PASS","FLAG - Review Price"),"FAIL - Zero Price")</f>
        <v>PASS</v>
      </c>
      <c r="Q845" s="20" t="str">
        <f aca="false">IF('Raw Catalog'!P843&lt;&gt;"","PASS","FAIL - No Image")</f>
        <v>PASS</v>
      </c>
      <c r="R845" s="20" t="str">
        <f aca="false">IF(F845&lt;&gt;"","PASS","FAIL - No Brand")</f>
        <v>PASS</v>
      </c>
      <c r="S845" s="20" t="str">
        <f aca="true">IF(K845="","FAIL - No Date",IF(TODAY()-DATEVALUE(K845)&lt;=180,"PASS","FLAG - Stale &gt;180d"))</f>
        <v>FLAG - Stale &gt;180d</v>
      </c>
      <c r="T845" s="20" t="n">
        <f aca="false">COUNTIF(M845:S845,"FAIL*")+COUNTIF(M845:S845,"FLAG*")</f>
        <v>1</v>
      </c>
      <c r="U845" s="20" t="str">
        <f aca="false">IF(T845=0,"CLEAN",IF(T845=1,"MINOR",IF(T845&lt;=3,"MODERATE","CRITICAL")))</f>
        <v>MINOR</v>
      </c>
      <c r="V845" s="20" t="str">
        <f aca="false">IF(U845="CLEAN","None",IF(U845="MINOR","Seller Notify",IF(U845="MODERATE","Listing Suspended","Immediate Removal")))</f>
        <v>Seller Notify</v>
      </c>
    </row>
    <row r="846" customFormat="false" ht="18" hidden="false" customHeight="true" outlineLevel="0" collapsed="false">
      <c r="A846" s="19" t="s">
        <v>6923</v>
      </c>
      <c r="B846" s="19" t="s">
        <v>5184</v>
      </c>
      <c r="C846" s="19" t="s">
        <v>77</v>
      </c>
      <c r="D846" s="19" t="s">
        <v>78</v>
      </c>
      <c r="E846" s="19" t="s">
        <v>161</v>
      </c>
      <c r="F846" s="19" t="s">
        <v>822</v>
      </c>
      <c r="G846" s="19" t="s">
        <v>5186</v>
      </c>
      <c r="H846" s="19" t="s">
        <v>5187</v>
      </c>
      <c r="I846" s="19" t="s">
        <v>5188</v>
      </c>
      <c r="J846" s="19" t="n">
        <v>72.98</v>
      </c>
      <c r="K846" s="19" t="s">
        <v>3936</v>
      </c>
      <c r="L846" s="21" t="s">
        <v>325</v>
      </c>
      <c r="M846" s="20" t="str">
        <f aca="false">IF(G846&lt;&gt;"","PASS","FAIL - Missing UPC")</f>
        <v>PASS</v>
      </c>
      <c r="N846" s="20" t="str">
        <f aca="false">IF(AND(G846&lt;&gt;"",H846&lt;&gt;""),IF("0"&amp;G846=H846,"PASS","FAIL - GTIN Mismatch"),"SKIP")</f>
        <v>PASS</v>
      </c>
      <c r="O846" s="20" t="str">
        <f aca="false">IF(I846="","FAIL - No Title",IF(LEN(I846)&lt;=126,"PASS","FAIL - Title &gt;"&amp;126&amp;" chars"))</f>
        <v>PASS</v>
      </c>
      <c r="P846" s="20" t="str">
        <f aca="false">IF(J846&gt;0,IF(J846&lt;5000,"PASS","FLAG - Review Price"),"FAIL - Zero Price")</f>
        <v>PASS</v>
      </c>
      <c r="Q846" s="20" t="str">
        <f aca="false">IF('Raw Catalog'!P844&lt;&gt;"","PASS","FAIL - No Image")</f>
        <v>PASS</v>
      </c>
      <c r="R846" s="20" t="str">
        <f aca="false">IF(F846&lt;&gt;"","PASS","FAIL - No Brand")</f>
        <v>PASS</v>
      </c>
      <c r="S846" s="20" t="str">
        <f aca="true">IF(K846="","FAIL - No Date",IF(TODAY()-DATEVALUE(K846)&lt;=180,"PASS","FLAG - Stale &gt;180d"))</f>
        <v>FLAG - Stale &gt;180d</v>
      </c>
      <c r="T846" s="20" t="n">
        <f aca="false">COUNTIF(M846:S846,"FAIL*")+COUNTIF(M846:S846,"FLAG*")</f>
        <v>1</v>
      </c>
      <c r="U846" s="20" t="str">
        <f aca="false">IF(T846=0,"CLEAN",IF(T846=1,"MINOR",IF(T846&lt;=3,"MODERATE","CRITICAL")))</f>
        <v>MINOR</v>
      </c>
      <c r="V846" s="20" t="str">
        <f aca="false">IF(U846="CLEAN","None",IF(U846="MINOR","Seller Notify",IF(U846="MODERATE","Listing Suspended","Immediate Removal")))</f>
        <v>Seller Notify</v>
      </c>
    </row>
    <row r="847" customFormat="false" ht="18" hidden="false" customHeight="true" outlineLevel="0" collapsed="false">
      <c r="A847" s="19" t="s">
        <v>6924</v>
      </c>
      <c r="B847" s="19" t="s">
        <v>5189</v>
      </c>
      <c r="C847" s="19" t="s">
        <v>125</v>
      </c>
      <c r="D847" s="19" t="s">
        <v>126</v>
      </c>
      <c r="E847" s="19" t="s">
        <v>161</v>
      </c>
      <c r="F847" s="19" t="s">
        <v>295</v>
      </c>
      <c r="G847" s="19" t="s">
        <v>5191</v>
      </c>
      <c r="H847" s="19" t="s">
        <v>5192</v>
      </c>
      <c r="I847" s="19" t="s">
        <v>5193</v>
      </c>
      <c r="J847" s="19" t="n">
        <v>134.98</v>
      </c>
      <c r="K847" s="19" t="s">
        <v>627</v>
      </c>
      <c r="L847" s="19"/>
      <c r="M847" s="20" t="str">
        <f aca="false">IF(G847&lt;&gt;"","PASS","FAIL - Missing UPC")</f>
        <v>PASS</v>
      </c>
      <c r="N847" s="20" t="str">
        <f aca="false">IF(AND(G847&lt;&gt;"",H847&lt;&gt;""),IF("0"&amp;G847=H847,"PASS","FAIL - GTIN Mismatch"),"SKIP")</f>
        <v>PASS</v>
      </c>
      <c r="O847" s="20" t="str">
        <f aca="false">IF(I847="","FAIL - No Title",IF(LEN(I847)&lt;=126,"PASS","FAIL - Title &gt;"&amp;126&amp;" chars"))</f>
        <v>PASS</v>
      </c>
      <c r="P847" s="20" t="str">
        <f aca="false">IF(J847&gt;0,IF(J847&lt;5000,"PASS","FLAG - Review Price"),"FAIL - Zero Price")</f>
        <v>PASS</v>
      </c>
      <c r="Q847" s="20" t="str">
        <f aca="false">IF('Raw Catalog'!P845&lt;&gt;"","PASS","FAIL - No Image")</f>
        <v>PASS</v>
      </c>
      <c r="R847" s="20" t="str">
        <f aca="false">IF(F847&lt;&gt;"","PASS","FAIL - No Brand")</f>
        <v>PASS</v>
      </c>
      <c r="S847" s="20" t="str">
        <f aca="true">IF(K847="","FAIL - No Date",IF(TODAY()-DATEVALUE(K847)&lt;=180,"PASS","FLAG - Stale &gt;180d"))</f>
        <v>FLAG - Stale &gt;180d</v>
      </c>
      <c r="T847" s="20" t="n">
        <f aca="false">COUNTIF(M847:S847,"FAIL*")+COUNTIF(M847:S847,"FLAG*")</f>
        <v>1</v>
      </c>
      <c r="U847" s="20" t="str">
        <f aca="false">IF(T847=0,"CLEAN",IF(T847=1,"MINOR",IF(T847&lt;=3,"MODERATE","CRITICAL")))</f>
        <v>MINOR</v>
      </c>
      <c r="V847" s="20" t="str">
        <f aca="false">IF(U847="CLEAN","None",IF(U847="MINOR","Seller Notify",IF(U847="MODERATE","Listing Suspended","Immediate Removal")))</f>
        <v>Seller Notify</v>
      </c>
    </row>
    <row r="848" customFormat="false" ht="18" hidden="false" customHeight="true" outlineLevel="0" collapsed="false">
      <c r="A848" s="19" t="s">
        <v>6925</v>
      </c>
      <c r="B848" s="19" t="s">
        <v>5194</v>
      </c>
      <c r="C848" s="19" t="s">
        <v>77</v>
      </c>
      <c r="D848" s="19" t="s">
        <v>78</v>
      </c>
      <c r="E848" s="19" t="s">
        <v>50</v>
      </c>
      <c r="F848" s="19" t="s">
        <v>138</v>
      </c>
      <c r="G848" s="19" t="s">
        <v>5196</v>
      </c>
      <c r="H848" s="19" t="s">
        <v>5197</v>
      </c>
      <c r="I848" s="19" t="s">
        <v>3269</v>
      </c>
      <c r="J848" s="19" t="n">
        <v>894.73</v>
      </c>
      <c r="K848" s="19" t="s">
        <v>3553</v>
      </c>
      <c r="L848" s="19"/>
      <c r="M848" s="20" t="str">
        <f aca="false">IF(G848&lt;&gt;"","PASS","FAIL - Missing UPC")</f>
        <v>PASS</v>
      </c>
      <c r="N848" s="20" t="str">
        <f aca="false">IF(AND(G848&lt;&gt;"",H848&lt;&gt;""),IF("0"&amp;G848=H848,"PASS","FAIL - GTIN Mismatch"),"SKIP")</f>
        <v>PASS</v>
      </c>
      <c r="O848" s="20" t="str">
        <f aca="false">IF(I848="","FAIL - No Title",IF(LEN(I848)&lt;=126,"PASS","FAIL - Title &gt;"&amp;126&amp;" chars"))</f>
        <v>PASS</v>
      </c>
      <c r="P848" s="20" t="str">
        <f aca="false">IF(J848&gt;0,IF(J848&lt;5000,"PASS","FLAG - Review Price"),"FAIL - Zero Price")</f>
        <v>PASS</v>
      </c>
      <c r="Q848" s="20" t="str">
        <f aca="false">IF('Raw Catalog'!P846&lt;&gt;"","PASS","FAIL - No Image")</f>
        <v>PASS</v>
      </c>
      <c r="R848" s="20" t="str">
        <f aca="false">IF(F848&lt;&gt;"","PASS","FAIL - No Brand")</f>
        <v>PASS</v>
      </c>
      <c r="S848" s="20" t="str">
        <f aca="true">IF(K848="","FAIL - No Date",IF(TODAY()-DATEVALUE(K848)&lt;=180,"PASS","FLAG - Stale &gt;180d"))</f>
        <v>FLAG - Stale &gt;180d</v>
      </c>
      <c r="T848" s="20" t="n">
        <f aca="false">COUNTIF(M848:S848,"FAIL*")+COUNTIF(M848:S848,"FLAG*")</f>
        <v>1</v>
      </c>
      <c r="U848" s="20" t="str">
        <f aca="false">IF(T848=0,"CLEAN",IF(T848=1,"MINOR",IF(T848&lt;=3,"MODERATE","CRITICAL")))</f>
        <v>MINOR</v>
      </c>
      <c r="V848" s="20" t="str">
        <f aca="false">IF(U848="CLEAN","None",IF(U848="MINOR","Seller Notify",IF(U848="MODERATE","Listing Suspended","Immediate Removal")))</f>
        <v>Seller Notify</v>
      </c>
    </row>
    <row r="849" customFormat="false" ht="18" hidden="false" customHeight="true" outlineLevel="0" collapsed="false">
      <c r="A849" s="19" t="s">
        <v>6926</v>
      </c>
      <c r="B849" s="19" t="s">
        <v>5199</v>
      </c>
      <c r="C849" s="19" t="s">
        <v>173</v>
      </c>
      <c r="D849" s="19" t="s">
        <v>174</v>
      </c>
      <c r="E849" s="19" t="s">
        <v>79</v>
      </c>
      <c r="F849" s="19" t="s">
        <v>1531</v>
      </c>
      <c r="G849" s="19" t="s">
        <v>5201</v>
      </c>
      <c r="H849" s="19" t="s">
        <v>5202</v>
      </c>
      <c r="I849" s="19" t="s">
        <v>5203</v>
      </c>
      <c r="J849" s="19" t="n">
        <v>1126.36</v>
      </c>
      <c r="K849" s="19" t="s">
        <v>5204</v>
      </c>
      <c r="L849" s="21" t="s">
        <v>325</v>
      </c>
      <c r="M849" s="20" t="str">
        <f aca="false">IF(G849&lt;&gt;"","PASS","FAIL - Missing UPC")</f>
        <v>PASS</v>
      </c>
      <c r="N849" s="20" t="str">
        <f aca="false">IF(AND(G849&lt;&gt;"",H849&lt;&gt;""),IF("0"&amp;G849=H849,"PASS","FAIL - GTIN Mismatch"),"SKIP")</f>
        <v>PASS</v>
      </c>
      <c r="O849" s="20" t="str">
        <f aca="false">IF(I849="","FAIL - No Title",IF(LEN(I849)&lt;=126,"PASS","FAIL - Title &gt;"&amp;126&amp;" chars"))</f>
        <v>PASS</v>
      </c>
      <c r="P849" s="20" t="str">
        <f aca="false">IF(J849&gt;0,IF(J849&lt;5000,"PASS","FLAG - Review Price"),"FAIL - Zero Price")</f>
        <v>PASS</v>
      </c>
      <c r="Q849" s="20" t="str">
        <f aca="false">IF('Raw Catalog'!P847&lt;&gt;"","PASS","FAIL - No Image")</f>
        <v>PASS</v>
      </c>
      <c r="R849" s="20" t="str">
        <f aca="false">IF(F849&lt;&gt;"","PASS","FAIL - No Brand")</f>
        <v>PASS</v>
      </c>
      <c r="S849" s="20" t="str">
        <f aca="true">IF(K849="","FAIL - No Date",IF(TODAY()-DATEVALUE(K849)&lt;=180,"PASS","FLAG - Stale &gt;180d"))</f>
        <v>FLAG - Stale &gt;180d</v>
      </c>
      <c r="T849" s="20" t="n">
        <f aca="false">COUNTIF(M849:S849,"FAIL*")+COUNTIF(M849:S849,"FLAG*")</f>
        <v>1</v>
      </c>
      <c r="U849" s="20" t="str">
        <f aca="false">IF(T849=0,"CLEAN",IF(T849=1,"MINOR",IF(T849&lt;=3,"MODERATE","CRITICAL")))</f>
        <v>MINOR</v>
      </c>
      <c r="V849" s="20" t="str">
        <f aca="false">IF(U849="CLEAN","None",IF(U849="MINOR","Seller Notify",IF(U849="MODERATE","Listing Suspended","Immediate Removal")))</f>
        <v>Seller Notify</v>
      </c>
    </row>
    <row r="850" customFormat="false" ht="18" hidden="false" customHeight="true" outlineLevel="0" collapsed="false">
      <c r="A850" s="19" t="s">
        <v>6927</v>
      </c>
      <c r="B850" s="19" t="s">
        <v>5205</v>
      </c>
      <c r="C850" s="19" t="s">
        <v>63</v>
      </c>
      <c r="D850" s="19" t="s">
        <v>64</v>
      </c>
      <c r="E850" s="19" t="s">
        <v>65</v>
      </c>
      <c r="F850" s="19" t="s">
        <v>390</v>
      </c>
      <c r="G850" s="19" t="s">
        <v>5207</v>
      </c>
      <c r="H850" s="19" t="s">
        <v>5208</v>
      </c>
      <c r="I850" s="19" t="s">
        <v>395</v>
      </c>
      <c r="J850" s="19" t="n">
        <v>209.27</v>
      </c>
      <c r="K850" s="19" t="s">
        <v>407</v>
      </c>
      <c r="L850" s="19"/>
      <c r="M850" s="20" t="str">
        <f aca="false">IF(G850&lt;&gt;"","PASS","FAIL - Missing UPC")</f>
        <v>PASS</v>
      </c>
      <c r="N850" s="20" t="str">
        <f aca="false">IF(AND(G850&lt;&gt;"",H850&lt;&gt;""),IF("0"&amp;G850=H850,"PASS","FAIL - GTIN Mismatch"),"SKIP")</f>
        <v>PASS</v>
      </c>
      <c r="O850" s="20" t="str">
        <f aca="false">IF(I850="","FAIL - No Title",IF(LEN(I850)&lt;=126,"PASS","FAIL - Title &gt;"&amp;126&amp;" chars"))</f>
        <v>PASS</v>
      </c>
      <c r="P850" s="20" t="str">
        <f aca="false">IF(J850&gt;0,IF(J850&lt;5000,"PASS","FLAG - Review Price"),"FAIL - Zero Price")</f>
        <v>PASS</v>
      </c>
      <c r="Q850" s="20" t="str">
        <f aca="false">IF('Raw Catalog'!P848&lt;&gt;"","PASS","FAIL - No Image")</f>
        <v>PASS</v>
      </c>
      <c r="R850" s="20" t="str">
        <f aca="false">IF(F850&lt;&gt;"","PASS","FAIL - No Brand")</f>
        <v>PASS</v>
      </c>
      <c r="S850" s="20" t="str">
        <f aca="true">IF(K850="","FAIL - No Date",IF(TODAY()-DATEVALUE(K850)&lt;=180,"PASS","FLAG - Stale &gt;180d"))</f>
        <v>FLAG - Stale &gt;180d</v>
      </c>
      <c r="T850" s="20" t="n">
        <f aca="false">COUNTIF(M850:S850,"FAIL*")+COUNTIF(M850:S850,"FLAG*")</f>
        <v>1</v>
      </c>
      <c r="U850" s="20" t="str">
        <f aca="false">IF(T850=0,"CLEAN",IF(T850=1,"MINOR",IF(T850&lt;=3,"MODERATE","CRITICAL")))</f>
        <v>MINOR</v>
      </c>
      <c r="V850" s="20" t="str">
        <f aca="false">IF(U850="CLEAN","None",IF(U850="MINOR","Seller Notify",IF(U850="MODERATE","Listing Suspended","Immediate Removal")))</f>
        <v>Seller Notify</v>
      </c>
    </row>
    <row r="851" customFormat="false" ht="18" hidden="false" customHeight="true" outlineLevel="0" collapsed="false">
      <c r="A851" s="19" t="s">
        <v>6928</v>
      </c>
      <c r="B851" s="19" t="s">
        <v>5209</v>
      </c>
      <c r="C851" s="19" t="s">
        <v>125</v>
      </c>
      <c r="D851" s="19" t="s">
        <v>126</v>
      </c>
      <c r="E851" s="19" t="s">
        <v>91</v>
      </c>
      <c r="F851" s="19" t="s">
        <v>587</v>
      </c>
      <c r="G851" s="19" t="s">
        <v>5211</v>
      </c>
      <c r="H851" s="19" t="s">
        <v>5212</v>
      </c>
      <c r="I851" s="19" t="s">
        <v>1713</v>
      </c>
      <c r="J851" s="19" t="n">
        <v>2529.24</v>
      </c>
      <c r="K851" s="19" t="s">
        <v>183</v>
      </c>
      <c r="L851" s="19"/>
      <c r="M851" s="20" t="str">
        <f aca="false">IF(G851&lt;&gt;"","PASS","FAIL - Missing UPC")</f>
        <v>PASS</v>
      </c>
      <c r="N851" s="20" t="str">
        <f aca="false">IF(AND(G851&lt;&gt;"",H851&lt;&gt;""),IF("0"&amp;G851=H851,"PASS","FAIL - GTIN Mismatch"),"SKIP")</f>
        <v>PASS</v>
      </c>
      <c r="O851" s="20" t="str">
        <f aca="false">IF(I851="","FAIL - No Title",IF(LEN(I851)&lt;=126,"PASS","FAIL - Title &gt;"&amp;126&amp;" chars"))</f>
        <v>PASS</v>
      </c>
      <c r="P851" s="20" t="str">
        <f aca="false">IF(J851&gt;0,IF(J851&lt;5000,"PASS","FLAG - Review Price"),"FAIL - Zero Price")</f>
        <v>PASS</v>
      </c>
      <c r="Q851" s="20" t="str">
        <f aca="false">IF('Raw Catalog'!P849&lt;&gt;"","PASS","FAIL - No Image")</f>
        <v>PASS</v>
      </c>
      <c r="R851" s="20" t="str">
        <f aca="false">IF(F851&lt;&gt;"","PASS","FAIL - No Brand")</f>
        <v>PASS</v>
      </c>
      <c r="S851" s="20" t="str">
        <f aca="true">IF(K851="","FAIL - No Date",IF(TODAY()-DATEVALUE(K851)&lt;=180,"PASS","FLAG - Stale &gt;180d"))</f>
        <v>FLAG - Stale &gt;180d</v>
      </c>
      <c r="T851" s="20" t="n">
        <f aca="false">COUNTIF(M851:S851,"FAIL*")+COUNTIF(M851:S851,"FLAG*")</f>
        <v>1</v>
      </c>
      <c r="U851" s="20" t="str">
        <f aca="false">IF(T851=0,"CLEAN",IF(T851=1,"MINOR",IF(T851&lt;=3,"MODERATE","CRITICAL")))</f>
        <v>MINOR</v>
      </c>
      <c r="V851" s="20" t="str">
        <f aca="false">IF(U851="CLEAN","None",IF(U851="MINOR","Seller Notify",IF(U851="MODERATE","Listing Suspended","Immediate Removal")))</f>
        <v>Seller Notify</v>
      </c>
    </row>
    <row r="852" customFormat="false" ht="18" hidden="false" customHeight="true" outlineLevel="0" collapsed="false">
      <c r="A852" s="19" t="s">
        <v>6929</v>
      </c>
      <c r="B852" s="19" t="s">
        <v>5213</v>
      </c>
      <c r="C852" s="19" t="s">
        <v>48</v>
      </c>
      <c r="D852" s="19" t="s">
        <v>49</v>
      </c>
      <c r="E852" s="19" t="s">
        <v>91</v>
      </c>
      <c r="F852" s="19" t="s">
        <v>92</v>
      </c>
      <c r="G852" s="19" t="s">
        <v>5215</v>
      </c>
      <c r="H852" s="19" t="s">
        <v>5216</v>
      </c>
      <c r="I852" s="19" t="s">
        <v>5217</v>
      </c>
      <c r="J852" s="19" t="n">
        <v>2756.64</v>
      </c>
      <c r="K852" s="19" t="s">
        <v>4129</v>
      </c>
      <c r="L852" s="19"/>
      <c r="M852" s="20" t="str">
        <f aca="false">IF(G852&lt;&gt;"","PASS","FAIL - Missing UPC")</f>
        <v>PASS</v>
      </c>
      <c r="N852" s="20" t="str">
        <f aca="false">IF(AND(G852&lt;&gt;"",H852&lt;&gt;""),IF("0"&amp;G852=H852,"PASS","FAIL - GTIN Mismatch"),"SKIP")</f>
        <v>PASS</v>
      </c>
      <c r="O852" s="20" t="str">
        <f aca="false">IF(I852="","FAIL - No Title",IF(LEN(I852)&lt;=126,"PASS","FAIL - Title &gt;"&amp;126&amp;" chars"))</f>
        <v>PASS</v>
      </c>
      <c r="P852" s="20" t="str">
        <f aca="false">IF(J852&gt;0,IF(J852&lt;5000,"PASS","FLAG - Review Price"),"FAIL - Zero Price")</f>
        <v>PASS</v>
      </c>
      <c r="Q852" s="20" t="str">
        <f aca="false">IF('Raw Catalog'!P850&lt;&gt;"","PASS","FAIL - No Image")</f>
        <v>PASS</v>
      </c>
      <c r="R852" s="20" t="str">
        <f aca="false">IF(F852&lt;&gt;"","PASS","FAIL - No Brand")</f>
        <v>PASS</v>
      </c>
      <c r="S852" s="20" t="str">
        <f aca="true">IF(K852="","FAIL - No Date",IF(TODAY()-DATEVALUE(K852)&lt;=180,"PASS","FLAG - Stale &gt;180d"))</f>
        <v>FLAG - Stale &gt;180d</v>
      </c>
      <c r="T852" s="20" t="n">
        <f aca="false">COUNTIF(M852:S852,"FAIL*")+COUNTIF(M852:S852,"FLAG*")</f>
        <v>1</v>
      </c>
      <c r="U852" s="20" t="str">
        <f aca="false">IF(T852=0,"CLEAN",IF(T852=1,"MINOR",IF(T852&lt;=3,"MODERATE","CRITICAL")))</f>
        <v>MINOR</v>
      </c>
      <c r="V852" s="20" t="str">
        <f aca="false">IF(U852="CLEAN","None",IF(U852="MINOR","Seller Notify",IF(U852="MODERATE","Listing Suspended","Immediate Removal")))</f>
        <v>Seller Notify</v>
      </c>
    </row>
    <row r="853" customFormat="false" ht="18" hidden="false" customHeight="true" outlineLevel="0" collapsed="false">
      <c r="A853" s="19" t="s">
        <v>6930</v>
      </c>
      <c r="B853" s="19" t="s">
        <v>5218</v>
      </c>
      <c r="C853" s="19" t="s">
        <v>125</v>
      </c>
      <c r="D853" s="19" t="s">
        <v>126</v>
      </c>
      <c r="E853" s="19" t="s">
        <v>50</v>
      </c>
      <c r="F853" s="19" t="s">
        <v>138</v>
      </c>
      <c r="G853" s="19" t="s">
        <v>5220</v>
      </c>
      <c r="H853" s="19" t="s">
        <v>5221</v>
      </c>
      <c r="I853" s="19" t="s">
        <v>5222</v>
      </c>
      <c r="J853" s="19" t="n">
        <v>829.13</v>
      </c>
      <c r="K853" s="19" t="s">
        <v>5224</v>
      </c>
      <c r="L853" s="19"/>
      <c r="M853" s="20" t="str">
        <f aca="false">IF(G853&lt;&gt;"","PASS","FAIL - Missing UPC")</f>
        <v>PASS</v>
      </c>
      <c r="N853" s="20" t="str">
        <f aca="false">IF(AND(G853&lt;&gt;"",H853&lt;&gt;""),IF("0"&amp;G853=H853,"PASS","FAIL - GTIN Mismatch"),"SKIP")</f>
        <v>PASS</v>
      </c>
      <c r="O853" s="20" t="str">
        <f aca="false">IF(I853="","FAIL - No Title",IF(LEN(I853)&lt;=126,"PASS","FAIL - Title &gt;"&amp;126&amp;" chars"))</f>
        <v>PASS</v>
      </c>
      <c r="P853" s="20" t="str">
        <f aca="false">IF(J853&gt;0,IF(J853&lt;5000,"PASS","FLAG - Review Price"),"FAIL - Zero Price")</f>
        <v>PASS</v>
      </c>
      <c r="Q853" s="20" t="str">
        <f aca="false">IF('Raw Catalog'!P851&lt;&gt;"","PASS","FAIL - No Image")</f>
        <v>PASS</v>
      </c>
      <c r="R853" s="20" t="str">
        <f aca="false">IF(F853&lt;&gt;"","PASS","FAIL - No Brand")</f>
        <v>PASS</v>
      </c>
      <c r="S853" s="20" t="str">
        <f aca="true">IF(K853="","FAIL - No Date",IF(TODAY()-DATEVALUE(K853)&lt;=180,"PASS","FLAG - Stale &gt;180d"))</f>
        <v>FLAG - Stale &gt;180d</v>
      </c>
      <c r="T853" s="20" t="n">
        <f aca="false">COUNTIF(M853:S853,"FAIL*")+COUNTIF(M853:S853,"FLAG*")</f>
        <v>1</v>
      </c>
      <c r="U853" s="20" t="str">
        <f aca="false">IF(T853=0,"CLEAN",IF(T853=1,"MINOR",IF(T853&lt;=3,"MODERATE","CRITICAL")))</f>
        <v>MINOR</v>
      </c>
      <c r="V853" s="20" t="str">
        <f aca="false">IF(U853="CLEAN","None",IF(U853="MINOR","Seller Notify",IF(U853="MODERATE","Listing Suspended","Immediate Removal")))</f>
        <v>Seller Notify</v>
      </c>
    </row>
    <row r="854" customFormat="false" ht="18" hidden="false" customHeight="true" outlineLevel="0" collapsed="false">
      <c r="A854" s="19" t="s">
        <v>6931</v>
      </c>
      <c r="B854" s="19" t="s">
        <v>5225</v>
      </c>
      <c r="C854" s="19" t="s">
        <v>48</v>
      </c>
      <c r="D854" s="19" t="s">
        <v>49</v>
      </c>
      <c r="E854" s="19" t="s">
        <v>65</v>
      </c>
      <c r="F854" s="19" t="s">
        <v>438</v>
      </c>
      <c r="G854" s="19" t="s">
        <v>5227</v>
      </c>
      <c r="H854" s="19" t="s">
        <v>5228</v>
      </c>
      <c r="I854" s="19" t="s">
        <v>442</v>
      </c>
      <c r="J854" s="19" t="n">
        <v>149.06</v>
      </c>
      <c r="K854" s="19" t="s">
        <v>2241</v>
      </c>
      <c r="L854" s="19"/>
      <c r="M854" s="20" t="str">
        <f aca="false">IF(G854&lt;&gt;"","PASS","FAIL - Missing UPC")</f>
        <v>PASS</v>
      </c>
      <c r="N854" s="20" t="str">
        <f aca="false">IF(AND(G854&lt;&gt;"",H854&lt;&gt;""),IF("0"&amp;G854=H854,"PASS","FAIL - GTIN Mismatch"),"SKIP")</f>
        <v>PASS</v>
      </c>
      <c r="O854" s="20" t="str">
        <f aca="false">IF(I854="","FAIL - No Title",IF(LEN(I854)&lt;=126,"PASS","FAIL - Title &gt;"&amp;126&amp;" chars"))</f>
        <v>PASS</v>
      </c>
      <c r="P854" s="20" t="str">
        <f aca="false">IF(J854&gt;0,IF(J854&lt;5000,"PASS","FLAG - Review Price"),"FAIL - Zero Price")</f>
        <v>PASS</v>
      </c>
      <c r="Q854" s="20" t="str">
        <f aca="false">IF('Raw Catalog'!P852&lt;&gt;"","PASS","FAIL - No Image")</f>
        <v>PASS</v>
      </c>
      <c r="R854" s="20" t="str">
        <f aca="false">IF(F854&lt;&gt;"","PASS","FAIL - No Brand")</f>
        <v>PASS</v>
      </c>
      <c r="S854" s="20" t="str">
        <f aca="true">IF(K854="","FAIL - No Date",IF(TODAY()-DATEVALUE(K854)&lt;=180,"PASS","FLAG - Stale &gt;180d"))</f>
        <v>FLAG - Stale &gt;180d</v>
      </c>
      <c r="T854" s="20" t="n">
        <f aca="false">COUNTIF(M854:S854,"FAIL*")+COUNTIF(M854:S854,"FLAG*")</f>
        <v>1</v>
      </c>
      <c r="U854" s="20" t="str">
        <f aca="false">IF(T854=0,"CLEAN",IF(T854=1,"MINOR",IF(T854&lt;=3,"MODERATE","CRITICAL")))</f>
        <v>MINOR</v>
      </c>
      <c r="V854" s="20" t="str">
        <f aca="false">IF(U854="CLEAN","None",IF(U854="MINOR","Seller Notify",IF(U854="MODERATE","Listing Suspended","Immediate Removal")))</f>
        <v>Seller Notify</v>
      </c>
    </row>
    <row r="855" customFormat="false" ht="18" hidden="false" customHeight="true" outlineLevel="0" collapsed="false">
      <c r="A855" s="19" t="s">
        <v>6932</v>
      </c>
      <c r="B855" s="19" t="s">
        <v>5229</v>
      </c>
      <c r="C855" s="19" t="s">
        <v>159</v>
      </c>
      <c r="D855" s="19" t="s">
        <v>160</v>
      </c>
      <c r="E855" s="19" t="s">
        <v>65</v>
      </c>
      <c r="F855" s="19" t="s">
        <v>115</v>
      </c>
      <c r="G855" s="19" t="s">
        <v>5231</v>
      </c>
      <c r="H855" s="19" t="s">
        <v>5232</v>
      </c>
      <c r="I855" s="19" t="s">
        <v>2403</v>
      </c>
      <c r="J855" s="19" t="n">
        <v>429.18</v>
      </c>
      <c r="K855" s="19" t="s">
        <v>157</v>
      </c>
      <c r="L855" s="19"/>
      <c r="M855" s="20" t="str">
        <f aca="false">IF(G855&lt;&gt;"","PASS","FAIL - Missing UPC")</f>
        <v>PASS</v>
      </c>
      <c r="N855" s="20" t="str">
        <f aca="false">IF(AND(G855&lt;&gt;"",H855&lt;&gt;""),IF("0"&amp;G855=H855,"PASS","FAIL - GTIN Mismatch"),"SKIP")</f>
        <v>PASS</v>
      </c>
      <c r="O855" s="20" t="str">
        <f aca="false">IF(I855="","FAIL - No Title",IF(LEN(I855)&lt;=126,"PASS","FAIL - Title &gt;"&amp;126&amp;" chars"))</f>
        <v>PASS</v>
      </c>
      <c r="P855" s="20" t="str">
        <f aca="false">IF(J855&gt;0,IF(J855&lt;5000,"PASS","FLAG - Review Price"),"FAIL - Zero Price")</f>
        <v>PASS</v>
      </c>
      <c r="Q855" s="20" t="str">
        <f aca="false">IF('Raw Catalog'!P853&lt;&gt;"","PASS","FAIL - No Image")</f>
        <v>PASS</v>
      </c>
      <c r="R855" s="20" t="str">
        <f aca="false">IF(F855&lt;&gt;"","PASS","FAIL - No Brand")</f>
        <v>PASS</v>
      </c>
      <c r="S855" s="20" t="str">
        <f aca="true">IF(K855="","FAIL - No Date",IF(TODAY()-DATEVALUE(K855)&lt;=180,"PASS","FLAG - Stale &gt;180d"))</f>
        <v>FLAG - Stale &gt;180d</v>
      </c>
      <c r="T855" s="20" t="n">
        <f aca="false">COUNTIF(M855:S855,"FAIL*")+COUNTIF(M855:S855,"FLAG*")</f>
        <v>1</v>
      </c>
      <c r="U855" s="20" t="str">
        <f aca="false">IF(T855=0,"CLEAN",IF(T855=1,"MINOR",IF(T855&lt;=3,"MODERATE","CRITICAL")))</f>
        <v>MINOR</v>
      </c>
      <c r="V855" s="20" t="str">
        <f aca="false">IF(U855="CLEAN","None",IF(U855="MINOR","Seller Notify",IF(U855="MODERATE","Listing Suspended","Immediate Removal")))</f>
        <v>Seller Notify</v>
      </c>
    </row>
    <row r="856" customFormat="false" ht="18" hidden="false" customHeight="true" outlineLevel="0" collapsed="false">
      <c r="A856" s="19" t="s">
        <v>6933</v>
      </c>
      <c r="B856" s="19" t="s">
        <v>3662</v>
      </c>
      <c r="C856" s="19" t="s">
        <v>113</v>
      </c>
      <c r="D856" s="19" t="s">
        <v>114</v>
      </c>
      <c r="E856" s="19" t="s">
        <v>91</v>
      </c>
      <c r="F856" s="19" t="s">
        <v>587</v>
      </c>
      <c r="G856" s="19" t="s">
        <v>3664</v>
      </c>
      <c r="H856" s="19" t="s">
        <v>3665</v>
      </c>
      <c r="I856" s="19" t="s">
        <v>3666</v>
      </c>
      <c r="J856" s="19" t="n">
        <v>3830.88</v>
      </c>
      <c r="K856" s="19" t="s">
        <v>452</v>
      </c>
      <c r="L856" s="19"/>
      <c r="M856" s="20" t="str">
        <f aca="false">IF(G856&lt;&gt;"","PASS","FAIL - Missing UPC")</f>
        <v>PASS</v>
      </c>
      <c r="N856" s="20" t="str">
        <f aca="false">IF(AND(G856&lt;&gt;"",H856&lt;&gt;""),IF("0"&amp;G856=H856,"PASS","FAIL - GTIN Mismatch"),"SKIP")</f>
        <v>PASS</v>
      </c>
      <c r="O856" s="20" t="str">
        <f aca="false">IF(I856="","FAIL - No Title",IF(LEN(I856)&lt;=126,"PASS","FAIL - Title &gt;"&amp;126&amp;" chars"))</f>
        <v>PASS</v>
      </c>
      <c r="P856" s="20" t="str">
        <f aca="false">IF(J856&gt;0,IF(J856&lt;5000,"PASS","FLAG - Review Price"),"FAIL - Zero Price")</f>
        <v>PASS</v>
      </c>
      <c r="Q856" s="20" t="str">
        <f aca="false">IF('Raw Catalog'!P854&lt;&gt;"","PASS","FAIL - No Image")</f>
        <v>PASS</v>
      </c>
      <c r="R856" s="20" t="str">
        <f aca="false">IF(F856&lt;&gt;"","PASS","FAIL - No Brand")</f>
        <v>PASS</v>
      </c>
      <c r="S856" s="20" t="str">
        <f aca="true">IF(K856="","FAIL - No Date",IF(TODAY()-DATEVALUE(K856)&lt;=180,"PASS","FLAG - Stale &gt;180d"))</f>
        <v>FLAG - Stale &gt;180d</v>
      </c>
      <c r="T856" s="20" t="n">
        <f aca="false">COUNTIF(M856:S856,"FAIL*")+COUNTIF(M856:S856,"FLAG*")</f>
        <v>1</v>
      </c>
      <c r="U856" s="20" t="str">
        <f aca="false">IF(T856=0,"CLEAN",IF(T856=1,"MINOR",IF(T856&lt;=3,"MODERATE","CRITICAL")))</f>
        <v>MINOR</v>
      </c>
      <c r="V856" s="20" t="str">
        <f aca="false">IF(U856="CLEAN","None",IF(U856="MINOR","Seller Notify",IF(U856="MODERATE","Listing Suspended","Immediate Removal")))</f>
        <v>Seller Notify</v>
      </c>
    </row>
    <row r="857" customFormat="false" ht="18" hidden="false" customHeight="true" outlineLevel="0" collapsed="false">
      <c r="A857" s="19" t="s">
        <v>6934</v>
      </c>
      <c r="B857" s="19" t="s">
        <v>5234</v>
      </c>
      <c r="C857" s="19" t="s">
        <v>173</v>
      </c>
      <c r="D857" s="19" t="s">
        <v>174</v>
      </c>
      <c r="E857" s="19" t="s">
        <v>161</v>
      </c>
      <c r="F857" s="19" t="s">
        <v>185</v>
      </c>
      <c r="G857" s="19" t="s">
        <v>5236</v>
      </c>
      <c r="H857" s="19" t="s">
        <v>5237</v>
      </c>
      <c r="I857" s="19" t="s">
        <v>5238</v>
      </c>
      <c r="J857" s="19" t="n">
        <v>477.09</v>
      </c>
      <c r="K857" s="19" t="s">
        <v>1125</v>
      </c>
      <c r="L857" s="19"/>
      <c r="M857" s="20" t="str">
        <f aca="false">IF(G857&lt;&gt;"","PASS","FAIL - Missing UPC")</f>
        <v>PASS</v>
      </c>
      <c r="N857" s="20" t="str">
        <f aca="false">IF(AND(G857&lt;&gt;"",H857&lt;&gt;""),IF("0"&amp;G857=H857,"PASS","FAIL - GTIN Mismatch"),"SKIP")</f>
        <v>PASS</v>
      </c>
      <c r="O857" s="20" t="str">
        <f aca="false">IF(I857="","FAIL - No Title",IF(LEN(I857)&lt;=126,"PASS","FAIL - Title &gt;"&amp;126&amp;" chars"))</f>
        <v>PASS</v>
      </c>
      <c r="P857" s="20" t="str">
        <f aca="false">IF(J857&gt;0,IF(J857&lt;5000,"PASS","FLAG - Review Price"),"FAIL - Zero Price")</f>
        <v>PASS</v>
      </c>
      <c r="Q857" s="20" t="str">
        <f aca="false">IF('Raw Catalog'!P855&lt;&gt;"","PASS","FAIL - No Image")</f>
        <v>PASS</v>
      </c>
      <c r="R857" s="20" t="str">
        <f aca="false">IF(F857&lt;&gt;"","PASS","FAIL - No Brand")</f>
        <v>PASS</v>
      </c>
      <c r="S857" s="20" t="str">
        <f aca="true">IF(K857="","FAIL - No Date",IF(TODAY()-DATEVALUE(K857)&lt;=180,"PASS","FLAG - Stale &gt;180d"))</f>
        <v>FLAG - Stale &gt;180d</v>
      </c>
      <c r="T857" s="20" t="n">
        <f aca="false">COUNTIF(M857:S857,"FAIL*")+COUNTIF(M857:S857,"FLAG*")</f>
        <v>1</v>
      </c>
      <c r="U857" s="20" t="str">
        <f aca="false">IF(T857=0,"CLEAN",IF(T857=1,"MINOR",IF(T857&lt;=3,"MODERATE","CRITICAL")))</f>
        <v>MINOR</v>
      </c>
      <c r="V857" s="20" t="str">
        <f aca="false">IF(U857="CLEAN","None",IF(U857="MINOR","Seller Notify",IF(U857="MODERATE","Listing Suspended","Immediate Removal")))</f>
        <v>Seller Notify</v>
      </c>
    </row>
    <row r="858" customFormat="false" ht="18" hidden="false" customHeight="true" outlineLevel="0" collapsed="false">
      <c r="A858" s="19" t="s">
        <v>6935</v>
      </c>
      <c r="B858" s="19" t="s">
        <v>5242</v>
      </c>
      <c r="C858" s="19" t="s">
        <v>77</v>
      </c>
      <c r="D858" s="19" t="s">
        <v>78</v>
      </c>
      <c r="E858" s="19" t="s">
        <v>161</v>
      </c>
      <c r="F858" s="19" t="s">
        <v>429</v>
      </c>
      <c r="G858" s="19" t="s">
        <v>5244</v>
      </c>
      <c r="H858" s="19" t="s">
        <v>5245</v>
      </c>
      <c r="I858" s="19" t="s">
        <v>5246</v>
      </c>
      <c r="J858" s="19" t="n">
        <v>132.31</v>
      </c>
      <c r="K858" s="19" t="s">
        <v>4532</v>
      </c>
      <c r="L858" s="21" t="s">
        <v>1107</v>
      </c>
      <c r="M858" s="20" t="str">
        <f aca="false">IF(G858&lt;&gt;"","PASS","FAIL - Missing UPC")</f>
        <v>PASS</v>
      </c>
      <c r="N858" s="20" t="str">
        <f aca="false">IF(AND(G858&lt;&gt;"",H858&lt;&gt;""),IF("0"&amp;G858=H858,"PASS","FAIL - GTIN Mismatch"),"SKIP")</f>
        <v>PASS</v>
      </c>
      <c r="O858" s="20" t="str">
        <f aca="false">IF(I858="","FAIL - No Title",IF(LEN(I858)&lt;=126,"PASS","FAIL - Title &gt;"&amp;126&amp;" chars"))</f>
        <v>PASS</v>
      </c>
      <c r="P858" s="20" t="str">
        <f aca="false">IF(J858&gt;0,IF(J858&lt;5000,"PASS","FLAG - Review Price"),"FAIL - Zero Price")</f>
        <v>PASS</v>
      </c>
      <c r="Q858" s="20" t="str">
        <f aca="false">IF('Raw Catalog'!P856&lt;&gt;"","PASS","FAIL - No Image")</f>
        <v>PASS</v>
      </c>
      <c r="R858" s="20" t="str">
        <f aca="false">IF(F858&lt;&gt;"","PASS","FAIL - No Brand")</f>
        <v>PASS</v>
      </c>
      <c r="S858" s="20" t="str">
        <f aca="true">IF(K858="","FAIL - No Date",IF(TODAY()-DATEVALUE(K858)&lt;=180,"PASS","FLAG - Stale &gt;180d"))</f>
        <v>FLAG - Stale &gt;180d</v>
      </c>
      <c r="T858" s="20" t="n">
        <f aca="false">COUNTIF(M858:S858,"FAIL*")+COUNTIF(M858:S858,"FLAG*")</f>
        <v>1</v>
      </c>
      <c r="U858" s="20" t="str">
        <f aca="false">IF(T858=0,"CLEAN",IF(T858=1,"MINOR",IF(T858&lt;=3,"MODERATE","CRITICAL")))</f>
        <v>MINOR</v>
      </c>
      <c r="V858" s="20" t="str">
        <f aca="false">IF(U858="CLEAN","None",IF(U858="MINOR","Seller Notify",IF(U858="MODERATE","Listing Suspended","Immediate Removal")))</f>
        <v>Seller Notify</v>
      </c>
    </row>
    <row r="859" customFormat="false" ht="18" hidden="false" customHeight="true" outlineLevel="0" collapsed="false">
      <c r="A859" s="19" t="s">
        <v>6936</v>
      </c>
      <c r="B859" s="19" t="s">
        <v>5247</v>
      </c>
      <c r="C859" s="19" t="s">
        <v>48</v>
      </c>
      <c r="D859" s="19" t="s">
        <v>49</v>
      </c>
      <c r="E859" s="19" t="s">
        <v>65</v>
      </c>
      <c r="F859" s="19" t="s">
        <v>438</v>
      </c>
      <c r="G859" s="19" t="s">
        <v>5249</v>
      </c>
      <c r="H859" s="19" t="s">
        <v>5250</v>
      </c>
      <c r="I859" s="19" t="s">
        <v>442</v>
      </c>
      <c r="J859" s="19" t="n">
        <v>145.19</v>
      </c>
      <c r="K859" s="19" t="s">
        <v>1936</v>
      </c>
      <c r="L859" s="19"/>
      <c r="M859" s="20" t="str">
        <f aca="false">IF(G859&lt;&gt;"","PASS","FAIL - Missing UPC")</f>
        <v>PASS</v>
      </c>
      <c r="N859" s="20" t="str">
        <f aca="false">IF(AND(G859&lt;&gt;"",H859&lt;&gt;""),IF("0"&amp;G859=H859,"PASS","FAIL - GTIN Mismatch"),"SKIP")</f>
        <v>PASS</v>
      </c>
      <c r="O859" s="20" t="str">
        <f aca="false">IF(I859="","FAIL - No Title",IF(LEN(I859)&lt;=126,"PASS","FAIL - Title &gt;"&amp;126&amp;" chars"))</f>
        <v>PASS</v>
      </c>
      <c r="P859" s="20" t="str">
        <f aca="false">IF(J859&gt;0,IF(J859&lt;5000,"PASS","FLAG - Review Price"),"FAIL - Zero Price")</f>
        <v>PASS</v>
      </c>
      <c r="Q859" s="20" t="str">
        <f aca="false">IF('Raw Catalog'!P857&lt;&gt;"","PASS","FAIL - No Image")</f>
        <v>PASS</v>
      </c>
      <c r="R859" s="20" t="str">
        <f aca="false">IF(F859&lt;&gt;"","PASS","FAIL - No Brand")</f>
        <v>PASS</v>
      </c>
      <c r="S859" s="20" t="str">
        <f aca="true">IF(K859="","FAIL - No Date",IF(TODAY()-DATEVALUE(K859)&lt;=180,"PASS","FLAG - Stale &gt;180d"))</f>
        <v>FLAG - Stale &gt;180d</v>
      </c>
      <c r="T859" s="20" t="n">
        <f aca="false">COUNTIF(M859:S859,"FAIL*")+COUNTIF(M859:S859,"FLAG*")</f>
        <v>1</v>
      </c>
      <c r="U859" s="20" t="str">
        <f aca="false">IF(T859=0,"CLEAN",IF(T859=1,"MINOR",IF(T859&lt;=3,"MODERATE","CRITICAL")))</f>
        <v>MINOR</v>
      </c>
      <c r="V859" s="20" t="str">
        <f aca="false">IF(U859="CLEAN","None",IF(U859="MINOR","Seller Notify",IF(U859="MODERATE","Listing Suspended","Immediate Removal")))</f>
        <v>Seller Notify</v>
      </c>
    </row>
    <row r="860" customFormat="false" ht="18" hidden="false" customHeight="true" outlineLevel="0" collapsed="false">
      <c r="A860" s="19" t="s">
        <v>6937</v>
      </c>
      <c r="B860" s="19" t="s">
        <v>5251</v>
      </c>
      <c r="C860" s="19" t="s">
        <v>173</v>
      </c>
      <c r="D860" s="19" t="s">
        <v>174</v>
      </c>
      <c r="E860" s="19" t="s">
        <v>65</v>
      </c>
      <c r="F860" s="19" t="s">
        <v>115</v>
      </c>
      <c r="G860" s="19" t="s">
        <v>5253</v>
      </c>
      <c r="H860" s="19" t="s">
        <v>5254</v>
      </c>
      <c r="I860" s="19" t="s">
        <v>2796</v>
      </c>
      <c r="J860" s="19" t="n">
        <v>95.66</v>
      </c>
      <c r="K860" s="19" t="s">
        <v>2622</v>
      </c>
      <c r="L860" s="19"/>
      <c r="M860" s="20" t="str">
        <f aca="false">IF(G860&lt;&gt;"","PASS","FAIL - Missing UPC")</f>
        <v>PASS</v>
      </c>
      <c r="N860" s="20" t="str">
        <f aca="false">IF(AND(G860&lt;&gt;"",H860&lt;&gt;""),IF("0"&amp;G860=H860,"PASS","FAIL - GTIN Mismatch"),"SKIP")</f>
        <v>PASS</v>
      </c>
      <c r="O860" s="20" t="str">
        <f aca="false">IF(I860="","FAIL - No Title",IF(LEN(I860)&lt;=126,"PASS","FAIL - Title &gt;"&amp;126&amp;" chars"))</f>
        <v>PASS</v>
      </c>
      <c r="P860" s="20" t="str">
        <f aca="false">IF(J860&gt;0,IF(J860&lt;5000,"PASS","FLAG - Review Price"),"FAIL - Zero Price")</f>
        <v>PASS</v>
      </c>
      <c r="Q860" s="20" t="str">
        <f aca="false">IF('Raw Catalog'!P858&lt;&gt;"","PASS","FAIL - No Image")</f>
        <v>PASS</v>
      </c>
      <c r="R860" s="20" t="str">
        <f aca="false">IF(F860&lt;&gt;"","PASS","FAIL - No Brand")</f>
        <v>PASS</v>
      </c>
      <c r="S860" s="20" t="str">
        <f aca="true">IF(K860="","FAIL - No Date",IF(TODAY()-DATEVALUE(K860)&lt;=180,"PASS","FLAG - Stale &gt;180d"))</f>
        <v>FLAG - Stale &gt;180d</v>
      </c>
      <c r="T860" s="20" t="n">
        <f aca="false">COUNTIF(M860:S860,"FAIL*")+COUNTIF(M860:S860,"FLAG*")</f>
        <v>1</v>
      </c>
      <c r="U860" s="20" t="str">
        <f aca="false">IF(T860=0,"CLEAN",IF(T860=1,"MINOR",IF(T860&lt;=3,"MODERATE","CRITICAL")))</f>
        <v>MINOR</v>
      </c>
      <c r="V860" s="20" t="str">
        <f aca="false">IF(U860="CLEAN","None",IF(U860="MINOR","Seller Notify",IF(U860="MODERATE","Listing Suspended","Immediate Removal")))</f>
        <v>Seller Notify</v>
      </c>
    </row>
    <row r="861" customFormat="false" ht="18" hidden="false" customHeight="true" outlineLevel="0" collapsed="false">
      <c r="A861" s="19" t="s">
        <v>6938</v>
      </c>
      <c r="B861" s="19" t="s">
        <v>5255</v>
      </c>
      <c r="C861" s="19" t="s">
        <v>48</v>
      </c>
      <c r="D861" s="19" t="s">
        <v>49</v>
      </c>
      <c r="E861" s="19" t="s">
        <v>65</v>
      </c>
      <c r="F861" s="19" t="s">
        <v>66</v>
      </c>
      <c r="G861" s="19" t="s">
        <v>5257</v>
      </c>
      <c r="H861" s="19" t="s">
        <v>5258</v>
      </c>
      <c r="I861" s="19" t="s">
        <v>1175</v>
      </c>
      <c r="J861" s="19" t="n">
        <v>384.74</v>
      </c>
      <c r="K861" s="19" t="s">
        <v>2169</v>
      </c>
      <c r="L861" s="21" t="s">
        <v>325</v>
      </c>
      <c r="M861" s="20" t="str">
        <f aca="false">IF(G861&lt;&gt;"","PASS","FAIL - Missing UPC")</f>
        <v>PASS</v>
      </c>
      <c r="N861" s="20" t="str">
        <f aca="false">IF(AND(G861&lt;&gt;"",H861&lt;&gt;""),IF("0"&amp;G861=H861,"PASS","FAIL - GTIN Mismatch"),"SKIP")</f>
        <v>PASS</v>
      </c>
      <c r="O861" s="20" t="str">
        <f aca="false">IF(I861="","FAIL - No Title",IF(LEN(I861)&lt;=126,"PASS","FAIL - Title &gt;"&amp;126&amp;" chars"))</f>
        <v>PASS</v>
      </c>
      <c r="P861" s="20" t="str">
        <f aca="false">IF(J861&gt;0,IF(J861&lt;5000,"PASS","FLAG - Review Price"),"FAIL - Zero Price")</f>
        <v>PASS</v>
      </c>
      <c r="Q861" s="20" t="str">
        <f aca="false">IF('Raw Catalog'!P859&lt;&gt;"","PASS","FAIL - No Image")</f>
        <v>PASS</v>
      </c>
      <c r="R861" s="20" t="str">
        <f aca="false">IF(F861&lt;&gt;"","PASS","FAIL - No Brand")</f>
        <v>PASS</v>
      </c>
      <c r="S861" s="20" t="str">
        <f aca="true">IF(K861="","FAIL - No Date",IF(TODAY()-DATEVALUE(K861)&lt;=180,"PASS","FLAG - Stale &gt;180d"))</f>
        <v>FLAG - Stale &gt;180d</v>
      </c>
      <c r="T861" s="20" t="n">
        <f aca="false">COUNTIF(M861:S861,"FAIL*")+COUNTIF(M861:S861,"FLAG*")</f>
        <v>1</v>
      </c>
      <c r="U861" s="20" t="str">
        <f aca="false">IF(T861=0,"CLEAN",IF(T861=1,"MINOR",IF(T861&lt;=3,"MODERATE","CRITICAL")))</f>
        <v>MINOR</v>
      </c>
      <c r="V861" s="20" t="str">
        <f aca="false">IF(U861="CLEAN","None",IF(U861="MINOR","Seller Notify",IF(U861="MODERATE","Listing Suspended","Immediate Removal")))</f>
        <v>Seller Notify</v>
      </c>
    </row>
    <row r="862" customFormat="false" ht="18" hidden="false" customHeight="true" outlineLevel="0" collapsed="false">
      <c r="A862" s="19" t="s">
        <v>6939</v>
      </c>
      <c r="B862" s="19" t="s">
        <v>5259</v>
      </c>
      <c r="C862" s="19" t="s">
        <v>48</v>
      </c>
      <c r="D862" s="19" t="s">
        <v>49</v>
      </c>
      <c r="E862" s="19" t="s">
        <v>91</v>
      </c>
      <c r="F862" s="19" t="s">
        <v>92</v>
      </c>
      <c r="G862" s="19" t="s">
        <v>5261</v>
      </c>
      <c r="H862" s="19" t="s">
        <v>5262</v>
      </c>
      <c r="I862" s="19" t="s">
        <v>5263</v>
      </c>
      <c r="J862" s="19" t="n">
        <v>1733.81</v>
      </c>
      <c r="K862" s="19" t="s">
        <v>1417</v>
      </c>
      <c r="L862" s="19"/>
      <c r="M862" s="20" t="str">
        <f aca="false">IF(G862&lt;&gt;"","PASS","FAIL - Missing UPC")</f>
        <v>PASS</v>
      </c>
      <c r="N862" s="20" t="str">
        <f aca="false">IF(AND(G862&lt;&gt;"",H862&lt;&gt;""),IF("0"&amp;G862=H862,"PASS","FAIL - GTIN Mismatch"),"SKIP")</f>
        <v>PASS</v>
      </c>
      <c r="O862" s="20" t="str">
        <f aca="false">IF(I862="","FAIL - No Title",IF(LEN(I862)&lt;=126,"PASS","FAIL - Title &gt;"&amp;126&amp;" chars"))</f>
        <v>PASS</v>
      </c>
      <c r="P862" s="20" t="str">
        <f aca="false">IF(J862&gt;0,IF(J862&lt;5000,"PASS","FLAG - Review Price"),"FAIL - Zero Price")</f>
        <v>PASS</v>
      </c>
      <c r="Q862" s="20" t="str">
        <f aca="false">IF('Raw Catalog'!P860&lt;&gt;"","PASS","FAIL - No Image")</f>
        <v>PASS</v>
      </c>
      <c r="R862" s="20" t="str">
        <f aca="false">IF(F862&lt;&gt;"","PASS","FAIL - No Brand")</f>
        <v>PASS</v>
      </c>
      <c r="S862" s="20" t="str">
        <f aca="true">IF(K862="","FAIL - No Date",IF(TODAY()-DATEVALUE(K862)&lt;=180,"PASS","FLAG - Stale &gt;180d"))</f>
        <v>FLAG - Stale &gt;180d</v>
      </c>
      <c r="T862" s="20" t="n">
        <f aca="false">COUNTIF(M862:S862,"FAIL*")+COUNTIF(M862:S862,"FLAG*")</f>
        <v>1</v>
      </c>
      <c r="U862" s="20" t="str">
        <f aca="false">IF(T862=0,"CLEAN",IF(T862=1,"MINOR",IF(T862&lt;=3,"MODERATE","CRITICAL")))</f>
        <v>MINOR</v>
      </c>
      <c r="V862" s="20" t="str">
        <f aca="false">IF(U862="CLEAN","None",IF(U862="MINOR","Seller Notify",IF(U862="MODERATE","Listing Suspended","Immediate Removal")))</f>
        <v>Seller Notify</v>
      </c>
    </row>
    <row r="863" customFormat="false" ht="18" hidden="false" customHeight="true" outlineLevel="0" collapsed="false">
      <c r="A863" s="19" t="s">
        <v>6940</v>
      </c>
      <c r="B863" s="19" t="s">
        <v>5266</v>
      </c>
      <c r="C863" s="19" t="s">
        <v>77</v>
      </c>
      <c r="D863" s="19" t="s">
        <v>78</v>
      </c>
      <c r="E863" s="19" t="s">
        <v>161</v>
      </c>
      <c r="F863" s="19" t="s">
        <v>822</v>
      </c>
      <c r="G863" s="19" t="s">
        <v>5268</v>
      </c>
      <c r="H863" s="19" t="s">
        <v>5269</v>
      </c>
      <c r="I863" s="19" t="s">
        <v>1095</v>
      </c>
      <c r="J863" s="19" t="n">
        <v>282.23</v>
      </c>
      <c r="K863" s="19" t="s">
        <v>1821</v>
      </c>
      <c r="L863" s="19"/>
      <c r="M863" s="20" t="str">
        <f aca="false">IF(G863&lt;&gt;"","PASS","FAIL - Missing UPC")</f>
        <v>PASS</v>
      </c>
      <c r="N863" s="20" t="str">
        <f aca="false">IF(AND(G863&lt;&gt;"",H863&lt;&gt;""),IF("0"&amp;G863=H863,"PASS","FAIL - GTIN Mismatch"),"SKIP")</f>
        <v>PASS</v>
      </c>
      <c r="O863" s="20" t="str">
        <f aca="false">IF(I863="","FAIL - No Title",IF(LEN(I863)&lt;=126,"PASS","FAIL - Title &gt;"&amp;126&amp;" chars"))</f>
        <v>PASS</v>
      </c>
      <c r="P863" s="20" t="str">
        <f aca="false">IF(J863&gt;0,IF(J863&lt;5000,"PASS","FLAG - Review Price"),"FAIL - Zero Price")</f>
        <v>PASS</v>
      </c>
      <c r="Q863" s="20" t="str">
        <f aca="false">IF('Raw Catalog'!P861&lt;&gt;"","PASS","FAIL - No Image")</f>
        <v>PASS</v>
      </c>
      <c r="R863" s="20" t="str">
        <f aca="false">IF(F863&lt;&gt;"","PASS","FAIL - No Brand")</f>
        <v>PASS</v>
      </c>
      <c r="S863" s="20" t="str">
        <f aca="true">IF(K863="","FAIL - No Date",IF(TODAY()-DATEVALUE(K863)&lt;=180,"PASS","FLAG - Stale &gt;180d"))</f>
        <v>FLAG - Stale &gt;180d</v>
      </c>
      <c r="T863" s="20" t="n">
        <f aca="false">COUNTIF(M863:S863,"FAIL*")+COUNTIF(M863:S863,"FLAG*")</f>
        <v>1</v>
      </c>
      <c r="U863" s="20" t="str">
        <f aca="false">IF(T863=0,"CLEAN",IF(T863=1,"MINOR",IF(T863&lt;=3,"MODERATE","CRITICAL")))</f>
        <v>MINOR</v>
      </c>
      <c r="V863" s="20" t="str">
        <f aca="false">IF(U863="CLEAN","None",IF(U863="MINOR","Seller Notify",IF(U863="MODERATE","Listing Suspended","Immediate Removal")))</f>
        <v>Seller Notify</v>
      </c>
    </row>
    <row r="864" customFormat="false" ht="18" hidden="false" customHeight="true" outlineLevel="0" collapsed="false">
      <c r="A864" s="19" t="s">
        <v>6941</v>
      </c>
      <c r="B864" s="19" t="s">
        <v>5271</v>
      </c>
      <c r="C864" s="19" t="s">
        <v>125</v>
      </c>
      <c r="D864" s="19" t="s">
        <v>126</v>
      </c>
      <c r="E864" s="19" t="s">
        <v>161</v>
      </c>
      <c r="F864" s="19" t="s">
        <v>185</v>
      </c>
      <c r="G864" s="19" t="s">
        <v>5273</v>
      </c>
      <c r="H864" s="19" t="s">
        <v>5274</v>
      </c>
      <c r="I864" s="19" t="s">
        <v>2194</v>
      </c>
      <c r="J864" s="19" t="n">
        <v>47.51</v>
      </c>
      <c r="K864" s="19" t="s">
        <v>2182</v>
      </c>
      <c r="L864" s="19"/>
      <c r="M864" s="20" t="str">
        <f aca="false">IF(G864&lt;&gt;"","PASS","FAIL - Missing UPC")</f>
        <v>PASS</v>
      </c>
      <c r="N864" s="20" t="str">
        <f aca="false">IF(AND(G864&lt;&gt;"",H864&lt;&gt;""),IF("0"&amp;G864=H864,"PASS","FAIL - GTIN Mismatch"),"SKIP")</f>
        <v>PASS</v>
      </c>
      <c r="O864" s="20" t="str">
        <f aca="false">IF(I864="","FAIL - No Title",IF(LEN(I864)&lt;=126,"PASS","FAIL - Title &gt;"&amp;126&amp;" chars"))</f>
        <v>PASS</v>
      </c>
      <c r="P864" s="20" t="str">
        <f aca="false">IF(J864&gt;0,IF(J864&lt;5000,"PASS","FLAG - Review Price"),"FAIL - Zero Price")</f>
        <v>PASS</v>
      </c>
      <c r="Q864" s="20" t="str">
        <f aca="false">IF('Raw Catalog'!P862&lt;&gt;"","PASS","FAIL - No Image")</f>
        <v>PASS</v>
      </c>
      <c r="R864" s="20" t="str">
        <f aca="false">IF(F864&lt;&gt;"","PASS","FAIL - No Brand")</f>
        <v>PASS</v>
      </c>
      <c r="S864" s="20" t="str">
        <f aca="true">IF(K864="","FAIL - No Date",IF(TODAY()-DATEVALUE(K864)&lt;=180,"PASS","FLAG - Stale &gt;180d"))</f>
        <v>FLAG - Stale &gt;180d</v>
      </c>
      <c r="T864" s="20" t="n">
        <f aca="false">COUNTIF(M864:S864,"FAIL*")+COUNTIF(M864:S864,"FLAG*")</f>
        <v>1</v>
      </c>
      <c r="U864" s="20" t="str">
        <f aca="false">IF(T864=0,"CLEAN",IF(T864=1,"MINOR",IF(T864&lt;=3,"MODERATE","CRITICAL")))</f>
        <v>MINOR</v>
      </c>
      <c r="V864" s="20" t="str">
        <f aca="false">IF(U864="CLEAN","None",IF(U864="MINOR","Seller Notify",IF(U864="MODERATE","Listing Suspended","Immediate Removal")))</f>
        <v>Seller Notify</v>
      </c>
    </row>
    <row r="865" customFormat="false" ht="18" hidden="false" customHeight="true" outlineLevel="0" collapsed="false">
      <c r="A865" s="19" t="s">
        <v>6942</v>
      </c>
      <c r="B865" s="19" t="s">
        <v>5275</v>
      </c>
      <c r="C865" s="19" t="s">
        <v>125</v>
      </c>
      <c r="D865" s="19" t="s">
        <v>126</v>
      </c>
      <c r="E865" s="19" t="s">
        <v>91</v>
      </c>
      <c r="F865" s="19" t="s">
        <v>92</v>
      </c>
      <c r="G865" s="19" t="s">
        <v>5277</v>
      </c>
      <c r="H865" s="19" t="s">
        <v>5278</v>
      </c>
      <c r="I865" s="19" t="s">
        <v>5279</v>
      </c>
      <c r="J865" s="19" t="n">
        <v>2037.65</v>
      </c>
      <c r="K865" s="19" t="s">
        <v>5280</v>
      </c>
      <c r="L865" s="21" t="s">
        <v>325</v>
      </c>
      <c r="M865" s="20" t="str">
        <f aca="false">IF(G865&lt;&gt;"","PASS","FAIL - Missing UPC")</f>
        <v>PASS</v>
      </c>
      <c r="N865" s="20" t="str">
        <f aca="false">IF(AND(G865&lt;&gt;"",H865&lt;&gt;""),IF("0"&amp;G865=H865,"PASS","FAIL - GTIN Mismatch"),"SKIP")</f>
        <v>PASS</v>
      </c>
      <c r="O865" s="20" t="str">
        <f aca="false">IF(I865="","FAIL - No Title",IF(LEN(I865)&lt;=126,"PASS","FAIL - Title &gt;"&amp;126&amp;" chars"))</f>
        <v>PASS</v>
      </c>
      <c r="P865" s="20" t="str">
        <f aca="false">IF(J865&gt;0,IF(J865&lt;5000,"PASS","FLAG - Review Price"),"FAIL - Zero Price")</f>
        <v>PASS</v>
      </c>
      <c r="Q865" s="20" t="str">
        <f aca="false">IF('Raw Catalog'!P863&lt;&gt;"","PASS","FAIL - No Image")</f>
        <v>PASS</v>
      </c>
      <c r="R865" s="20" t="str">
        <f aca="false">IF(F865&lt;&gt;"","PASS","FAIL - No Brand")</f>
        <v>PASS</v>
      </c>
      <c r="S865" s="20" t="str">
        <f aca="true">IF(K865="","FAIL - No Date",IF(TODAY()-DATEVALUE(K865)&lt;=180,"PASS","FLAG - Stale &gt;180d"))</f>
        <v>FLAG - Stale &gt;180d</v>
      </c>
      <c r="T865" s="20" t="n">
        <f aca="false">COUNTIF(M865:S865,"FAIL*")+COUNTIF(M865:S865,"FLAG*")</f>
        <v>1</v>
      </c>
      <c r="U865" s="20" t="str">
        <f aca="false">IF(T865=0,"CLEAN",IF(T865=1,"MINOR",IF(T865&lt;=3,"MODERATE","CRITICAL")))</f>
        <v>MINOR</v>
      </c>
      <c r="V865" s="20" t="str">
        <f aca="false">IF(U865="CLEAN","None",IF(U865="MINOR","Seller Notify",IF(U865="MODERATE","Listing Suspended","Immediate Removal")))</f>
        <v>Seller Notify</v>
      </c>
    </row>
    <row r="866" customFormat="false" ht="18" hidden="false" customHeight="true" outlineLevel="0" collapsed="false">
      <c r="A866" s="19" t="s">
        <v>6943</v>
      </c>
      <c r="B866" s="19" t="s">
        <v>5281</v>
      </c>
      <c r="C866" s="19" t="s">
        <v>159</v>
      </c>
      <c r="D866" s="19" t="s">
        <v>160</v>
      </c>
      <c r="E866" s="19" t="s">
        <v>161</v>
      </c>
      <c r="F866" s="19" t="s">
        <v>429</v>
      </c>
      <c r="G866" s="19" t="s">
        <v>5283</v>
      </c>
      <c r="H866" s="19" t="s">
        <v>5284</v>
      </c>
      <c r="I866" s="19" t="s">
        <v>5285</v>
      </c>
      <c r="J866" s="19" t="n">
        <v>271.27</v>
      </c>
      <c r="K866" s="19" t="s">
        <v>3546</v>
      </c>
      <c r="L866" s="19"/>
      <c r="M866" s="20" t="str">
        <f aca="false">IF(G866&lt;&gt;"","PASS","FAIL - Missing UPC")</f>
        <v>PASS</v>
      </c>
      <c r="N866" s="20" t="str">
        <f aca="false">IF(AND(G866&lt;&gt;"",H866&lt;&gt;""),IF("0"&amp;G866=H866,"PASS","FAIL - GTIN Mismatch"),"SKIP")</f>
        <v>PASS</v>
      </c>
      <c r="O866" s="20" t="str">
        <f aca="false">IF(I866="","FAIL - No Title",IF(LEN(I866)&lt;=126,"PASS","FAIL - Title &gt;"&amp;126&amp;" chars"))</f>
        <v>PASS</v>
      </c>
      <c r="P866" s="20" t="str">
        <f aca="false">IF(J866&gt;0,IF(J866&lt;5000,"PASS","FLAG - Review Price"),"FAIL - Zero Price")</f>
        <v>PASS</v>
      </c>
      <c r="Q866" s="20" t="str">
        <f aca="false">IF('Raw Catalog'!P864&lt;&gt;"","PASS","FAIL - No Image")</f>
        <v>PASS</v>
      </c>
      <c r="R866" s="20" t="str">
        <f aca="false">IF(F866&lt;&gt;"","PASS","FAIL - No Brand")</f>
        <v>PASS</v>
      </c>
      <c r="S866" s="20" t="str">
        <f aca="true">IF(K866="","FAIL - No Date",IF(TODAY()-DATEVALUE(K866)&lt;=180,"PASS","FLAG - Stale &gt;180d"))</f>
        <v>FLAG - Stale &gt;180d</v>
      </c>
      <c r="T866" s="20" t="n">
        <f aca="false">COUNTIF(M866:S866,"FAIL*")+COUNTIF(M866:S866,"FLAG*")</f>
        <v>1</v>
      </c>
      <c r="U866" s="20" t="str">
        <f aca="false">IF(T866=0,"CLEAN",IF(T866=1,"MINOR",IF(T866&lt;=3,"MODERATE","CRITICAL")))</f>
        <v>MINOR</v>
      </c>
      <c r="V866" s="20" t="str">
        <f aca="false">IF(U866="CLEAN","None",IF(U866="MINOR","Seller Notify",IF(U866="MODERATE","Listing Suspended","Immediate Removal")))</f>
        <v>Seller Notify</v>
      </c>
    </row>
    <row r="867" customFormat="false" ht="18" hidden="false" customHeight="true" outlineLevel="0" collapsed="false">
      <c r="A867" s="19" t="s">
        <v>6944</v>
      </c>
      <c r="B867" s="19" t="s">
        <v>5286</v>
      </c>
      <c r="C867" s="19" t="s">
        <v>63</v>
      </c>
      <c r="D867" s="19" t="s">
        <v>64</v>
      </c>
      <c r="E867" s="19" t="s">
        <v>65</v>
      </c>
      <c r="F867" s="19" t="s">
        <v>115</v>
      </c>
      <c r="G867" s="19" t="s">
        <v>5288</v>
      </c>
      <c r="H867" s="19" t="s">
        <v>5289</v>
      </c>
      <c r="I867" s="19" t="s">
        <v>496</v>
      </c>
      <c r="J867" s="19" t="n">
        <v>359.95</v>
      </c>
      <c r="K867" s="19" t="s">
        <v>1821</v>
      </c>
      <c r="L867" s="19"/>
      <c r="M867" s="20" t="str">
        <f aca="false">IF(G867&lt;&gt;"","PASS","FAIL - Missing UPC")</f>
        <v>PASS</v>
      </c>
      <c r="N867" s="20" t="str">
        <f aca="false">IF(AND(G867&lt;&gt;"",H867&lt;&gt;""),IF("0"&amp;G867=H867,"PASS","FAIL - GTIN Mismatch"),"SKIP")</f>
        <v>PASS</v>
      </c>
      <c r="O867" s="20" t="str">
        <f aca="false">IF(I867="","FAIL - No Title",IF(LEN(I867)&lt;=126,"PASS","FAIL - Title &gt;"&amp;126&amp;" chars"))</f>
        <v>PASS</v>
      </c>
      <c r="P867" s="20" t="str">
        <f aca="false">IF(J867&gt;0,IF(J867&lt;5000,"PASS","FLAG - Review Price"),"FAIL - Zero Price")</f>
        <v>PASS</v>
      </c>
      <c r="Q867" s="20" t="str">
        <f aca="false">IF('Raw Catalog'!P865&lt;&gt;"","PASS","FAIL - No Image")</f>
        <v>PASS</v>
      </c>
      <c r="R867" s="20" t="str">
        <f aca="false">IF(F867&lt;&gt;"","PASS","FAIL - No Brand")</f>
        <v>PASS</v>
      </c>
      <c r="S867" s="20" t="str">
        <f aca="true">IF(K867="","FAIL - No Date",IF(TODAY()-DATEVALUE(K867)&lt;=180,"PASS","FLAG - Stale &gt;180d"))</f>
        <v>FLAG - Stale &gt;180d</v>
      </c>
      <c r="T867" s="20" t="n">
        <f aca="false">COUNTIF(M867:S867,"FAIL*")+COUNTIF(M867:S867,"FLAG*")</f>
        <v>1</v>
      </c>
      <c r="U867" s="20" t="str">
        <f aca="false">IF(T867=0,"CLEAN",IF(T867=1,"MINOR",IF(T867&lt;=3,"MODERATE","CRITICAL")))</f>
        <v>MINOR</v>
      </c>
      <c r="V867" s="20" t="str">
        <f aca="false">IF(U867="CLEAN","None",IF(U867="MINOR","Seller Notify",IF(U867="MODERATE","Listing Suspended","Immediate Removal")))</f>
        <v>Seller Notify</v>
      </c>
    </row>
    <row r="868" customFormat="false" ht="18" hidden="false" customHeight="true" outlineLevel="0" collapsed="false">
      <c r="A868" s="19" t="s">
        <v>6945</v>
      </c>
      <c r="B868" s="19" t="s">
        <v>5290</v>
      </c>
      <c r="C868" s="19" t="s">
        <v>255</v>
      </c>
      <c r="D868" s="19" t="s">
        <v>256</v>
      </c>
      <c r="E868" s="19" t="s">
        <v>91</v>
      </c>
      <c r="F868" s="19" t="s">
        <v>419</v>
      </c>
      <c r="G868" s="19" t="s">
        <v>5292</v>
      </c>
      <c r="H868" s="19" t="s">
        <v>5293</v>
      </c>
      <c r="I868" s="19" t="s">
        <v>5294</v>
      </c>
      <c r="J868" s="19" t="n">
        <v>3989.46</v>
      </c>
      <c r="K868" s="19" t="s">
        <v>4137</v>
      </c>
      <c r="L868" s="19"/>
      <c r="M868" s="20" t="str">
        <f aca="false">IF(G868&lt;&gt;"","PASS","FAIL - Missing UPC")</f>
        <v>PASS</v>
      </c>
      <c r="N868" s="20" t="str">
        <f aca="false">IF(AND(G868&lt;&gt;"",H868&lt;&gt;""),IF("0"&amp;G868=H868,"PASS","FAIL - GTIN Mismatch"),"SKIP")</f>
        <v>PASS</v>
      </c>
      <c r="O868" s="20" t="str">
        <f aca="false">IF(I868="","FAIL - No Title",IF(LEN(I868)&lt;=126,"PASS","FAIL - Title &gt;"&amp;126&amp;" chars"))</f>
        <v>PASS</v>
      </c>
      <c r="P868" s="20" t="str">
        <f aca="false">IF(J868&gt;0,IF(J868&lt;5000,"PASS","FLAG - Review Price"),"FAIL - Zero Price")</f>
        <v>PASS</v>
      </c>
      <c r="Q868" s="20" t="str">
        <f aca="false">IF('Raw Catalog'!P866&lt;&gt;"","PASS","FAIL - No Image")</f>
        <v>PASS</v>
      </c>
      <c r="R868" s="20" t="str">
        <f aca="false">IF(F868&lt;&gt;"","PASS","FAIL - No Brand")</f>
        <v>PASS</v>
      </c>
      <c r="S868" s="20" t="str">
        <f aca="true">IF(K868="","FAIL - No Date",IF(TODAY()-DATEVALUE(K868)&lt;=180,"PASS","FLAG - Stale &gt;180d"))</f>
        <v>FLAG - Stale &gt;180d</v>
      </c>
      <c r="T868" s="20" t="n">
        <f aca="false">COUNTIF(M868:S868,"FAIL*")+COUNTIF(M868:S868,"FLAG*")</f>
        <v>1</v>
      </c>
      <c r="U868" s="20" t="str">
        <f aca="false">IF(T868=0,"CLEAN",IF(T868=1,"MINOR",IF(T868&lt;=3,"MODERATE","CRITICAL")))</f>
        <v>MINOR</v>
      </c>
      <c r="V868" s="20" t="str">
        <f aca="false">IF(U868="CLEAN","None",IF(U868="MINOR","Seller Notify",IF(U868="MODERATE","Listing Suspended","Immediate Removal")))</f>
        <v>Seller Notify</v>
      </c>
    </row>
    <row r="869" customFormat="false" ht="18" hidden="false" customHeight="true" outlineLevel="0" collapsed="false">
      <c r="A869" s="19" t="s">
        <v>6946</v>
      </c>
      <c r="B869" s="19" t="s">
        <v>5295</v>
      </c>
      <c r="C869" s="19" t="s">
        <v>159</v>
      </c>
      <c r="D869" s="19" t="s">
        <v>160</v>
      </c>
      <c r="E869" s="19" t="s">
        <v>50</v>
      </c>
      <c r="F869" s="19" t="s">
        <v>138</v>
      </c>
      <c r="G869" s="19" t="s">
        <v>5297</v>
      </c>
      <c r="H869" s="19" t="s">
        <v>5298</v>
      </c>
      <c r="I869" s="19" t="s">
        <v>5299</v>
      </c>
      <c r="J869" s="19" t="n">
        <v>540.76</v>
      </c>
      <c r="K869" s="19" t="s">
        <v>1157</v>
      </c>
      <c r="L869" s="19"/>
      <c r="M869" s="20" t="str">
        <f aca="false">IF(G869&lt;&gt;"","PASS","FAIL - Missing UPC")</f>
        <v>PASS</v>
      </c>
      <c r="N869" s="20" t="str">
        <f aca="false">IF(AND(G869&lt;&gt;"",H869&lt;&gt;""),IF("0"&amp;G869=H869,"PASS","FAIL - GTIN Mismatch"),"SKIP")</f>
        <v>PASS</v>
      </c>
      <c r="O869" s="20" t="str">
        <f aca="false">IF(I869="","FAIL - No Title",IF(LEN(I869)&lt;=126,"PASS","FAIL - Title &gt;"&amp;126&amp;" chars"))</f>
        <v>PASS</v>
      </c>
      <c r="P869" s="20" t="str">
        <f aca="false">IF(J869&gt;0,IF(J869&lt;5000,"PASS","FLAG - Review Price"),"FAIL - Zero Price")</f>
        <v>PASS</v>
      </c>
      <c r="Q869" s="20" t="str">
        <f aca="false">IF('Raw Catalog'!P867&lt;&gt;"","PASS","FAIL - No Image")</f>
        <v>PASS</v>
      </c>
      <c r="R869" s="20" t="str">
        <f aca="false">IF(F869&lt;&gt;"","PASS","FAIL - No Brand")</f>
        <v>PASS</v>
      </c>
      <c r="S869" s="20" t="str">
        <f aca="true">IF(K869="","FAIL - No Date",IF(TODAY()-DATEVALUE(K869)&lt;=180,"PASS","FLAG - Stale &gt;180d"))</f>
        <v>FLAG - Stale &gt;180d</v>
      </c>
      <c r="T869" s="20" t="n">
        <f aca="false">COUNTIF(M869:S869,"FAIL*")+COUNTIF(M869:S869,"FLAG*")</f>
        <v>1</v>
      </c>
      <c r="U869" s="20" t="str">
        <f aca="false">IF(T869=0,"CLEAN",IF(T869=1,"MINOR",IF(T869&lt;=3,"MODERATE","CRITICAL")))</f>
        <v>MINOR</v>
      </c>
      <c r="V869" s="20" t="str">
        <f aca="false">IF(U869="CLEAN","None",IF(U869="MINOR","Seller Notify",IF(U869="MODERATE","Listing Suspended","Immediate Removal")))</f>
        <v>Seller Notify</v>
      </c>
    </row>
    <row r="870" customFormat="false" ht="18" hidden="false" customHeight="true" outlineLevel="0" collapsed="false">
      <c r="A870" s="19" t="s">
        <v>6947</v>
      </c>
      <c r="B870" s="19" t="s">
        <v>5300</v>
      </c>
      <c r="C870" s="19" t="s">
        <v>113</v>
      </c>
      <c r="D870" s="19" t="s">
        <v>114</v>
      </c>
      <c r="E870" s="19" t="s">
        <v>50</v>
      </c>
      <c r="F870" s="19" t="s">
        <v>51</v>
      </c>
      <c r="G870" s="19" t="s">
        <v>5302</v>
      </c>
      <c r="H870" s="19" t="s">
        <v>5303</v>
      </c>
      <c r="I870" s="19" t="s">
        <v>5304</v>
      </c>
      <c r="J870" s="19" t="n">
        <v>1035.47</v>
      </c>
      <c r="K870" s="19" t="s">
        <v>872</v>
      </c>
      <c r="L870" s="21" t="s">
        <v>1014</v>
      </c>
      <c r="M870" s="20" t="str">
        <f aca="false">IF(G870&lt;&gt;"","PASS","FAIL - Missing UPC")</f>
        <v>PASS</v>
      </c>
      <c r="N870" s="20" t="str">
        <f aca="false">IF(AND(G870&lt;&gt;"",H870&lt;&gt;""),IF("0"&amp;G870=H870,"PASS","FAIL - GTIN Mismatch"),"SKIP")</f>
        <v>PASS</v>
      </c>
      <c r="O870" s="20" t="str">
        <f aca="false">IF(I870="","FAIL - No Title",IF(LEN(I870)&lt;=126,"PASS","FAIL - Title &gt;"&amp;126&amp;" chars"))</f>
        <v>PASS</v>
      </c>
      <c r="P870" s="20" t="str">
        <f aca="false">IF(J870&gt;0,IF(J870&lt;5000,"PASS","FLAG - Review Price"),"FAIL - Zero Price")</f>
        <v>PASS</v>
      </c>
      <c r="Q870" s="20" t="str">
        <f aca="false">IF('Raw Catalog'!P868&lt;&gt;"","PASS","FAIL - No Image")</f>
        <v>FAIL - No Image</v>
      </c>
      <c r="R870" s="20" t="str">
        <f aca="false">IF(F870&lt;&gt;"","PASS","FAIL - No Brand")</f>
        <v>PASS</v>
      </c>
      <c r="S870" s="20" t="str">
        <f aca="true">IF(K870="","FAIL - No Date",IF(TODAY()-DATEVALUE(K870)&lt;=180,"PASS","FLAG - Stale &gt;180d"))</f>
        <v>FLAG - Stale &gt;180d</v>
      </c>
      <c r="T870" s="20" t="n">
        <f aca="false">COUNTIF(M870:S870,"FAIL*")+COUNTIF(M870:S870,"FLAG*")</f>
        <v>2</v>
      </c>
      <c r="U870" s="20" t="str">
        <f aca="false">IF(T870=0,"CLEAN",IF(T870=1,"MINOR",IF(T870&lt;=3,"MODERATE","CRITICAL")))</f>
        <v>MODERATE</v>
      </c>
      <c r="V870" s="20" t="str">
        <f aca="false">IF(U870="CLEAN","None",IF(U870="MINOR","Seller Notify",IF(U870="MODERATE","Listing Suspended","Immediate Removal")))</f>
        <v>Listing Suspended</v>
      </c>
    </row>
    <row r="871" customFormat="false" ht="18" hidden="false" customHeight="true" outlineLevel="0" collapsed="false">
      <c r="A871" s="19" t="s">
        <v>6948</v>
      </c>
      <c r="B871" s="19" t="s">
        <v>5306</v>
      </c>
      <c r="C871" s="19" t="s">
        <v>48</v>
      </c>
      <c r="D871" s="19" t="s">
        <v>49</v>
      </c>
      <c r="E871" s="19" t="s">
        <v>50</v>
      </c>
      <c r="F871" s="19" t="s">
        <v>115</v>
      </c>
      <c r="G871" s="19" t="s">
        <v>5308</v>
      </c>
      <c r="H871" s="19" t="s">
        <v>5309</v>
      </c>
      <c r="I871" s="19" t="s">
        <v>5310</v>
      </c>
      <c r="J871" s="19" t="n">
        <v>985.02</v>
      </c>
      <c r="K871" s="19" t="s">
        <v>522</v>
      </c>
      <c r="L871" s="19"/>
      <c r="M871" s="20" t="str">
        <f aca="false">IF(G871&lt;&gt;"","PASS","FAIL - Missing UPC")</f>
        <v>PASS</v>
      </c>
      <c r="N871" s="20" t="str">
        <f aca="false">IF(AND(G871&lt;&gt;"",H871&lt;&gt;""),IF("0"&amp;G871=H871,"PASS","FAIL - GTIN Mismatch"),"SKIP")</f>
        <v>PASS</v>
      </c>
      <c r="O871" s="20" t="str">
        <f aca="false">IF(I871="","FAIL - No Title",IF(LEN(I871)&lt;=126,"PASS","FAIL - Title &gt;"&amp;126&amp;" chars"))</f>
        <v>PASS</v>
      </c>
      <c r="P871" s="20" t="str">
        <f aca="false">IF(J871&gt;0,IF(J871&lt;5000,"PASS","FLAG - Review Price"),"FAIL - Zero Price")</f>
        <v>PASS</v>
      </c>
      <c r="Q871" s="20" t="str">
        <f aca="false">IF('Raw Catalog'!P869&lt;&gt;"","PASS","FAIL - No Image")</f>
        <v>PASS</v>
      </c>
      <c r="R871" s="20" t="str">
        <f aca="false">IF(F871&lt;&gt;"","PASS","FAIL - No Brand")</f>
        <v>PASS</v>
      </c>
      <c r="S871" s="20" t="str">
        <f aca="true">IF(K871="","FAIL - No Date",IF(TODAY()-DATEVALUE(K871)&lt;=180,"PASS","FLAG - Stale &gt;180d"))</f>
        <v>FLAG - Stale &gt;180d</v>
      </c>
      <c r="T871" s="20" t="n">
        <f aca="false">COUNTIF(M871:S871,"FAIL*")+COUNTIF(M871:S871,"FLAG*")</f>
        <v>1</v>
      </c>
      <c r="U871" s="20" t="str">
        <f aca="false">IF(T871=0,"CLEAN",IF(T871=1,"MINOR",IF(T871&lt;=3,"MODERATE","CRITICAL")))</f>
        <v>MINOR</v>
      </c>
      <c r="V871" s="20" t="str">
        <f aca="false">IF(U871="CLEAN","None",IF(U871="MINOR","Seller Notify",IF(U871="MODERATE","Listing Suspended","Immediate Removal")))</f>
        <v>Seller Notify</v>
      </c>
    </row>
    <row r="872" customFormat="false" ht="18" hidden="false" customHeight="true" outlineLevel="0" collapsed="false">
      <c r="A872" s="19" t="s">
        <v>6949</v>
      </c>
      <c r="B872" s="19" t="s">
        <v>5311</v>
      </c>
      <c r="C872" s="19" t="s">
        <v>113</v>
      </c>
      <c r="D872" s="19" t="s">
        <v>114</v>
      </c>
      <c r="E872" s="19" t="s">
        <v>79</v>
      </c>
      <c r="F872" s="19" t="s">
        <v>51</v>
      </c>
      <c r="G872" s="19" t="s">
        <v>5313</v>
      </c>
      <c r="H872" s="19" t="s">
        <v>5314</v>
      </c>
      <c r="I872" s="19" t="s">
        <v>5315</v>
      </c>
      <c r="J872" s="19" t="n">
        <v>1965.83</v>
      </c>
      <c r="K872" s="19" t="s">
        <v>1260</v>
      </c>
      <c r="L872" s="19"/>
      <c r="M872" s="20" t="str">
        <f aca="false">IF(G872&lt;&gt;"","PASS","FAIL - Missing UPC")</f>
        <v>PASS</v>
      </c>
      <c r="N872" s="20" t="str">
        <f aca="false">IF(AND(G872&lt;&gt;"",H872&lt;&gt;""),IF("0"&amp;G872=H872,"PASS","FAIL - GTIN Mismatch"),"SKIP")</f>
        <v>PASS</v>
      </c>
      <c r="O872" s="20" t="str">
        <f aca="false">IF(I872="","FAIL - No Title",IF(LEN(I872)&lt;=126,"PASS","FAIL - Title &gt;"&amp;126&amp;" chars"))</f>
        <v>PASS</v>
      </c>
      <c r="P872" s="20" t="str">
        <f aca="false">IF(J872&gt;0,IF(J872&lt;5000,"PASS","FLAG - Review Price"),"FAIL - Zero Price")</f>
        <v>PASS</v>
      </c>
      <c r="Q872" s="20" t="str">
        <f aca="false">IF('Raw Catalog'!P870&lt;&gt;"","PASS","FAIL - No Image")</f>
        <v>PASS</v>
      </c>
      <c r="R872" s="20" t="str">
        <f aca="false">IF(F872&lt;&gt;"","PASS","FAIL - No Brand")</f>
        <v>PASS</v>
      </c>
      <c r="S872" s="20" t="str">
        <f aca="true">IF(K872="","FAIL - No Date",IF(TODAY()-DATEVALUE(K872)&lt;=180,"PASS","FLAG - Stale &gt;180d"))</f>
        <v>FLAG - Stale &gt;180d</v>
      </c>
      <c r="T872" s="20" t="n">
        <f aca="false">COUNTIF(M872:S872,"FAIL*")+COUNTIF(M872:S872,"FLAG*")</f>
        <v>1</v>
      </c>
      <c r="U872" s="20" t="str">
        <f aca="false">IF(T872=0,"CLEAN",IF(T872=1,"MINOR",IF(T872&lt;=3,"MODERATE","CRITICAL")))</f>
        <v>MINOR</v>
      </c>
      <c r="V872" s="20" t="str">
        <f aca="false">IF(U872="CLEAN","None",IF(U872="MINOR","Seller Notify",IF(U872="MODERATE","Listing Suspended","Immediate Removal")))</f>
        <v>Seller Notify</v>
      </c>
    </row>
    <row r="873" customFormat="false" ht="18" hidden="false" customHeight="true" outlineLevel="0" collapsed="false">
      <c r="A873" s="19" t="s">
        <v>6950</v>
      </c>
      <c r="B873" s="19" t="s">
        <v>5317</v>
      </c>
      <c r="C873" s="19" t="s">
        <v>255</v>
      </c>
      <c r="D873" s="19" t="s">
        <v>256</v>
      </c>
      <c r="E873" s="19" t="s">
        <v>79</v>
      </c>
      <c r="F873" s="19" t="s">
        <v>51</v>
      </c>
      <c r="G873" s="19" t="s">
        <v>5319</v>
      </c>
      <c r="H873" s="19" t="s">
        <v>5320</v>
      </c>
      <c r="I873" s="19" t="s">
        <v>5321</v>
      </c>
      <c r="J873" s="19" t="n">
        <v>1280.34</v>
      </c>
      <c r="K873" s="19" t="s">
        <v>2757</v>
      </c>
      <c r="L873" s="19"/>
      <c r="M873" s="20" t="str">
        <f aca="false">IF(G873&lt;&gt;"","PASS","FAIL - Missing UPC")</f>
        <v>PASS</v>
      </c>
      <c r="N873" s="20" t="str">
        <f aca="false">IF(AND(G873&lt;&gt;"",H873&lt;&gt;""),IF("0"&amp;G873=H873,"PASS","FAIL - GTIN Mismatch"),"SKIP")</f>
        <v>PASS</v>
      </c>
      <c r="O873" s="20" t="str">
        <f aca="false">IF(I873="","FAIL - No Title",IF(LEN(I873)&lt;=126,"PASS","FAIL - Title &gt;"&amp;126&amp;" chars"))</f>
        <v>PASS</v>
      </c>
      <c r="P873" s="20" t="str">
        <f aca="false">IF(J873&gt;0,IF(J873&lt;5000,"PASS","FLAG - Review Price"),"FAIL - Zero Price")</f>
        <v>PASS</v>
      </c>
      <c r="Q873" s="20" t="str">
        <f aca="false">IF('Raw Catalog'!P871&lt;&gt;"","PASS","FAIL - No Image")</f>
        <v>PASS</v>
      </c>
      <c r="R873" s="20" t="str">
        <f aca="false">IF(F873&lt;&gt;"","PASS","FAIL - No Brand")</f>
        <v>PASS</v>
      </c>
      <c r="S873" s="20" t="str">
        <f aca="true">IF(K873="","FAIL - No Date",IF(TODAY()-DATEVALUE(K873)&lt;=180,"PASS","FLAG - Stale &gt;180d"))</f>
        <v>FLAG - Stale &gt;180d</v>
      </c>
      <c r="T873" s="20" t="n">
        <f aca="false">COUNTIF(M873:S873,"FAIL*")+COUNTIF(M873:S873,"FLAG*")</f>
        <v>1</v>
      </c>
      <c r="U873" s="20" t="str">
        <f aca="false">IF(T873=0,"CLEAN",IF(T873=1,"MINOR",IF(T873&lt;=3,"MODERATE","CRITICAL")))</f>
        <v>MINOR</v>
      </c>
      <c r="V873" s="20" t="str">
        <f aca="false">IF(U873="CLEAN","None",IF(U873="MINOR","Seller Notify",IF(U873="MODERATE","Listing Suspended","Immediate Removal")))</f>
        <v>Seller Notify</v>
      </c>
    </row>
    <row r="874" customFormat="false" ht="18" hidden="false" customHeight="true" outlineLevel="0" collapsed="false">
      <c r="A874" s="19" t="s">
        <v>6951</v>
      </c>
      <c r="B874" s="19" t="s">
        <v>5323</v>
      </c>
      <c r="C874" s="19" t="s">
        <v>48</v>
      </c>
      <c r="D874" s="19" t="s">
        <v>49</v>
      </c>
      <c r="E874" s="19" t="s">
        <v>91</v>
      </c>
      <c r="F874" s="19" t="s">
        <v>780</v>
      </c>
      <c r="G874" s="19" t="s">
        <v>5325</v>
      </c>
      <c r="H874" s="19" t="s">
        <v>5326</v>
      </c>
      <c r="I874" s="19" t="s">
        <v>3520</v>
      </c>
      <c r="J874" s="19" t="n">
        <v>943.05</v>
      </c>
      <c r="K874" s="19" t="s">
        <v>1352</v>
      </c>
      <c r="L874" s="19"/>
      <c r="M874" s="20" t="str">
        <f aca="false">IF(G874&lt;&gt;"","PASS","FAIL - Missing UPC")</f>
        <v>PASS</v>
      </c>
      <c r="N874" s="20" t="str">
        <f aca="false">IF(AND(G874&lt;&gt;"",H874&lt;&gt;""),IF("0"&amp;G874=H874,"PASS","FAIL - GTIN Mismatch"),"SKIP")</f>
        <v>PASS</v>
      </c>
      <c r="O874" s="20" t="str">
        <f aca="false">IF(I874="","FAIL - No Title",IF(LEN(I874)&lt;=126,"PASS","FAIL - Title &gt;"&amp;126&amp;" chars"))</f>
        <v>PASS</v>
      </c>
      <c r="P874" s="20" t="str">
        <f aca="false">IF(J874&gt;0,IF(J874&lt;5000,"PASS","FLAG - Review Price"),"FAIL - Zero Price")</f>
        <v>PASS</v>
      </c>
      <c r="Q874" s="20" t="str">
        <f aca="false">IF('Raw Catalog'!P872&lt;&gt;"","PASS","FAIL - No Image")</f>
        <v>PASS</v>
      </c>
      <c r="R874" s="20" t="str">
        <f aca="false">IF(F874&lt;&gt;"","PASS","FAIL - No Brand")</f>
        <v>PASS</v>
      </c>
      <c r="S874" s="20" t="str">
        <f aca="true">IF(K874="","FAIL - No Date",IF(TODAY()-DATEVALUE(K874)&lt;=180,"PASS","FLAG - Stale &gt;180d"))</f>
        <v>FLAG - Stale &gt;180d</v>
      </c>
      <c r="T874" s="20" t="n">
        <f aca="false">COUNTIF(M874:S874,"FAIL*")+COUNTIF(M874:S874,"FLAG*")</f>
        <v>1</v>
      </c>
      <c r="U874" s="20" t="str">
        <f aca="false">IF(T874=0,"CLEAN",IF(T874=1,"MINOR",IF(T874&lt;=3,"MODERATE","CRITICAL")))</f>
        <v>MINOR</v>
      </c>
      <c r="V874" s="20" t="str">
        <f aca="false">IF(U874="CLEAN","None",IF(U874="MINOR","Seller Notify",IF(U874="MODERATE","Listing Suspended","Immediate Removal")))</f>
        <v>Seller Notify</v>
      </c>
    </row>
    <row r="875" customFormat="false" ht="18" hidden="false" customHeight="true" outlineLevel="0" collapsed="false">
      <c r="A875" s="19" t="s">
        <v>6952</v>
      </c>
      <c r="B875" s="19" t="s">
        <v>5327</v>
      </c>
      <c r="C875" s="19" t="s">
        <v>173</v>
      </c>
      <c r="D875" s="19" t="s">
        <v>174</v>
      </c>
      <c r="E875" s="19" t="s">
        <v>91</v>
      </c>
      <c r="F875" s="19" t="s">
        <v>185</v>
      </c>
      <c r="G875" s="19" t="s">
        <v>5329</v>
      </c>
      <c r="H875" s="19" t="s">
        <v>5330</v>
      </c>
      <c r="I875" s="19" t="s">
        <v>5331</v>
      </c>
      <c r="J875" s="19" t="n">
        <v>2876.67</v>
      </c>
      <c r="K875" s="19" t="s">
        <v>1366</v>
      </c>
      <c r="L875" s="19"/>
      <c r="M875" s="20" t="str">
        <f aca="false">IF(G875&lt;&gt;"","PASS","FAIL - Missing UPC")</f>
        <v>PASS</v>
      </c>
      <c r="N875" s="20" t="str">
        <f aca="false">IF(AND(G875&lt;&gt;"",H875&lt;&gt;""),IF("0"&amp;G875=H875,"PASS","FAIL - GTIN Mismatch"),"SKIP")</f>
        <v>PASS</v>
      </c>
      <c r="O875" s="20" t="str">
        <f aca="false">IF(I875="","FAIL - No Title",IF(LEN(I875)&lt;=126,"PASS","FAIL - Title &gt;"&amp;126&amp;" chars"))</f>
        <v>PASS</v>
      </c>
      <c r="P875" s="20" t="str">
        <f aca="false">IF(J875&gt;0,IF(J875&lt;5000,"PASS","FLAG - Review Price"),"FAIL - Zero Price")</f>
        <v>PASS</v>
      </c>
      <c r="Q875" s="20" t="str">
        <f aca="false">IF('Raw Catalog'!P873&lt;&gt;"","PASS","FAIL - No Image")</f>
        <v>PASS</v>
      </c>
      <c r="R875" s="20" t="str">
        <f aca="false">IF(F875&lt;&gt;"","PASS","FAIL - No Brand")</f>
        <v>PASS</v>
      </c>
      <c r="S875" s="20" t="str">
        <f aca="true">IF(K875="","FAIL - No Date",IF(TODAY()-DATEVALUE(K875)&lt;=180,"PASS","FLAG - Stale &gt;180d"))</f>
        <v>FLAG - Stale &gt;180d</v>
      </c>
      <c r="T875" s="20" t="n">
        <f aca="false">COUNTIF(M875:S875,"FAIL*")+COUNTIF(M875:S875,"FLAG*")</f>
        <v>1</v>
      </c>
      <c r="U875" s="20" t="str">
        <f aca="false">IF(T875=0,"CLEAN",IF(T875=1,"MINOR",IF(T875&lt;=3,"MODERATE","CRITICAL")))</f>
        <v>MINOR</v>
      </c>
      <c r="V875" s="20" t="str">
        <f aca="false">IF(U875="CLEAN","None",IF(U875="MINOR","Seller Notify",IF(U875="MODERATE","Listing Suspended","Immediate Removal")))</f>
        <v>Seller Notify</v>
      </c>
    </row>
    <row r="876" customFormat="false" ht="18" hidden="false" customHeight="true" outlineLevel="0" collapsed="false">
      <c r="A876" s="19" t="s">
        <v>6953</v>
      </c>
      <c r="B876" s="19" t="s">
        <v>5332</v>
      </c>
      <c r="C876" s="19" t="s">
        <v>63</v>
      </c>
      <c r="D876" s="19" t="s">
        <v>64</v>
      </c>
      <c r="E876" s="19" t="s">
        <v>50</v>
      </c>
      <c r="F876" s="19" t="s">
        <v>115</v>
      </c>
      <c r="G876" s="19" t="s">
        <v>5334</v>
      </c>
      <c r="H876" s="19" t="s">
        <v>5335</v>
      </c>
      <c r="I876" s="19" t="s">
        <v>5336</v>
      </c>
      <c r="J876" s="19" t="n">
        <v>9213.72</v>
      </c>
      <c r="K876" s="19" t="s">
        <v>627</v>
      </c>
      <c r="L876" s="21" t="s">
        <v>343</v>
      </c>
      <c r="M876" s="20" t="str">
        <f aca="false">IF(G876&lt;&gt;"","PASS","FAIL - Missing UPC")</f>
        <v>PASS</v>
      </c>
      <c r="N876" s="20" t="str">
        <f aca="false">IF(AND(G876&lt;&gt;"",H876&lt;&gt;""),IF("0"&amp;G876=H876,"PASS","FAIL - GTIN Mismatch"),"SKIP")</f>
        <v>PASS</v>
      </c>
      <c r="O876" s="20" t="str">
        <f aca="false">IF(I876="","FAIL - No Title",IF(LEN(I876)&lt;=126,"PASS","FAIL - Title &gt;"&amp;126&amp;" chars"))</f>
        <v>PASS</v>
      </c>
      <c r="P876" s="20" t="str">
        <f aca="false">IF(J876&gt;0,IF(J876&lt;5000,"PASS","FLAG - Review Price"),"FAIL - Zero Price")</f>
        <v>FLAG - Review Price</v>
      </c>
      <c r="Q876" s="20" t="str">
        <f aca="false">IF('Raw Catalog'!P874&lt;&gt;"","PASS","FAIL - No Image")</f>
        <v>PASS</v>
      </c>
      <c r="R876" s="20" t="str">
        <f aca="false">IF(F876&lt;&gt;"","PASS","FAIL - No Brand")</f>
        <v>PASS</v>
      </c>
      <c r="S876" s="20" t="str">
        <f aca="true">IF(K876="","FAIL - No Date",IF(TODAY()-DATEVALUE(K876)&lt;=180,"PASS","FLAG - Stale &gt;180d"))</f>
        <v>FLAG - Stale &gt;180d</v>
      </c>
      <c r="T876" s="20" t="n">
        <f aca="false">COUNTIF(M876:S876,"FAIL*")+COUNTIF(M876:S876,"FLAG*")</f>
        <v>2</v>
      </c>
      <c r="U876" s="20" t="str">
        <f aca="false">IF(T876=0,"CLEAN",IF(T876=1,"MINOR",IF(T876&lt;=3,"MODERATE","CRITICAL")))</f>
        <v>MODERATE</v>
      </c>
      <c r="V876" s="20" t="str">
        <f aca="false">IF(U876="CLEAN","None",IF(U876="MINOR","Seller Notify",IF(U876="MODERATE","Listing Suspended","Immediate Removal")))</f>
        <v>Listing Suspended</v>
      </c>
    </row>
    <row r="877" customFormat="false" ht="18" hidden="false" customHeight="true" outlineLevel="0" collapsed="false">
      <c r="A877" s="19" t="s">
        <v>6954</v>
      </c>
      <c r="B877" s="19" t="s">
        <v>5338</v>
      </c>
      <c r="C877" s="19" t="s">
        <v>77</v>
      </c>
      <c r="D877" s="19" t="s">
        <v>78</v>
      </c>
      <c r="E877" s="19" t="s">
        <v>50</v>
      </c>
      <c r="F877" s="19" t="s">
        <v>115</v>
      </c>
      <c r="G877" s="19" t="s">
        <v>5340</v>
      </c>
      <c r="H877" s="19" t="s">
        <v>5341</v>
      </c>
      <c r="I877" s="19" t="s">
        <v>5342</v>
      </c>
      <c r="J877" s="19" t="n">
        <v>729.48</v>
      </c>
      <c r="K877" s="19" t="s">
        <v>5343</v>
      </c>
      <c r="L877" s="19"/>
      <c r="M877" s="20" t="str">
        <f aca="false">IF(G877&lt;&gt;"","PASS","FAIL - Missing UPC")</f>
        <v>PASS</v>
      </c>
      <c r="N877" s="20" t="str">
        <f aca="false">IF(AND(G877&lt;&gt;"",H877&lt;&gt;""),IF("0"&amp;G877=H877,"PASS","FAIL - GTIN Mismatch"),"SKIP")</f>
        <v>PASS</v>
      </c>
      <c r="O877" s="20" t="str">
        <f aca="false">IF(I877="","FAIL - No Title",IF(LEN(I877)&lt;=126,"PASS","FAIL - Title &gt;"&amp;126&amp;" chars"))</f>
        <v>PASS</v>
      </c>
      <c r="P877" s="20" t="str">
        <f aca="false">IF(J877&gt;0,IF(J877&lt;5000,"PASS","FLAG - Review Price"),"FAIL - Zero Price")</f>
        <v>PASS</v>
      </c>
      <c r="Q877" s="20" t="str">
        <f aca="false">IF('Raw Catalog'!P875&lt;&gt;"","PASS","FAIL - No Image")</f>
        <v>PASS</v>
      </c>
      <c r="R877" s="20" t="str">
        <f aca="false">IF(F877&lt;&gt;"","PASS","FAIL - No Brand")</f>
        <v>PASS</v>
      </c>
      <c r="S877" s="20" t="str">
        <f aca="true">IF(K877="","FAIL - No Date",IF(TODAY()-DATEVALUE(K877)&lt;=180,"PASS","FLAG - Stale &gt;180d"))</f>
        <v>FLAG - Stale &gt;180d</v>
      </c>
      <c r="T877" s="20" t="n">
        <f aca="false">COUNTIF(M877:S877,"FAIL*")+COUNTIF(M877:S877,"FLAG*")</f>
        <v>1</v>
      </c>
      <c r="U877" s="20" t="str">
        <f aca="false">IF(T877=0,"CLEAN",IF(T877=1,"MINOR",IF(T877&lt;=3,"MODERATE","CRITICAL")))</f>
        <v>MINOR</v>
      </c>
      <c r="V877" s="20" t="str">
        <f aca="false">IF(U877="CLEAN","None",IF(U877="MINOR","Seller Notify",IF(U877="MODERATE","Listing Suspended","Immediate Removal")))</f>
        <v>Seller Notify</v>
      </c>
    </row>
    <row r="878" customFormat="false" ht="18" hidden="false" customHeight="true" outlineLevel="0" collapsed="false">
      <c r="A878" s="19" t="s">
        <v>6955</v>
      </c>
      <c r="B878" s="19" t="s">
        <v>5344</v>
      </c>
      <c r="C878" s="19" t="s">
        <v>173</v>
      </c>
      <c r="D878" s="19" t="s">
        <v>174</v>
      </c>
      <c r="E878" s="19" t="s">
        <v>79</v>
      </c>
      <c r="F878" s="19" t="s">
        <v>465</v>
      </c>
      <c r="G878" s="19" t="s">
        <v>5346</v>
      </c>
      <c r="H878" s="19" t="s">
        <v>5347</v>
      </c>
      <c r="I878" s="19" t="s">
        <v>5348</v>
      </c>
      <c r="J878" s="19" t="n">
        <v>2243.39</v>
      </c>
      <c r="K878" s="19" t="s">
        <v>2030</v>
      </c>
      <c r="L878" s="19"/>
      <c r="M878" s="20" t="str">
        <f aca="false">IF(G878&lt;&gt;"","PASS","FAIL - Missing UPC")</f>
        <v>PASS</v>
      </c>
      <c r="N878" s="20" t="str">
        <f aca="false">IF(AND(G878&lt;&gt;"",H878&lt;&gt;""),IF("0"&amp;G878=H878,"PASS","FAIL - GTIN Mismatch"),"SKIP")</f>
        <v>PASS</v>
      </c>
      <c r="O878" s="20" t="str">
        <f aca="false">IF(I878="","FAIL - No Title",IF(LEN(I878)&lt;=126,"PASS","FAIL - Title &gt;"&amp;126&amp;" chars"))</f>
        <v>PASS</v>
      </c>
      <c r="P878" s="20" t="str">
        <f aca="false">IF(J878&gt;0,IF(J878&lt;5000,"PASS","FLAG - Review Price"),"FAIL - Zero Price")</f>
        <v>PASS</v>
      </c>
      <c r="Q878" s="20" t="str">
        <f aca="false">IF('Raw Catalog'!P876&lt;&gt;"","PASS","FAIL - No Image")</f>
        <v>PASS</v>
      </c>
      <c r="R878" s="20" t="str">
        <f aca="false">IF(F878&lt;&gt;"","PASS","FAIL - No Brand")</f>
        <v>PASS</v>
      </c>
      <c r="S878" s="20" t="str">
        <f aca="true">IF(K878="","FAIL - No Date",IF(TODAY()-DATEVALUE(K878)&lt;=180,"PASS","FLAG - Stale &gt;180d"))</f>
        <v>FLAG - Stale &gt;180d</v>
      </c>
      <c r="T878" s="20" t="n">
        <f aca="false">COUNTIF(M878:S878,"FAIL*")+COUNTIF(M878:S878,"FLAG*")</f>
        <v>1</v>
      </c>
      <c r="U878" s="20" t="str">
        <f aca="false">IF(T878=0,"CLEAN",IF(T878=1,"MINOR",IF(T878&lt;=3,"MODERATE","CRITICAL")))</f>
        <v>MINOR</v>
      </c>
      <c r="V878" s="20" t="str">
        <f aca="false">IF(U878="CLEAN","None",IF(U878="MINOR","Seller Notify",IF(U878="MODERATE","Listing Suspended","Immediate Removal")))</f>
        <v>Seller Notify</v>
      </c>
    </row>
    <row r="879" customFormat="false" ht="18" hidden="false" customHeight="true" outlineLevel="0" collapsed="false">
      <c r="A879" s="19" t="s">
        <v>6956</v>
      </c>
      <c r="B879" s="19" t="s">
        <v>5349</v>
      </c>
      <c r="C879" s="19" t="s">
        <v>125</v>
      </c>
      <c r="D879" s="19" t="s">
        <v>126</v>
      </c>
      <c r="E879" s="19" t="s">
        <v>79</v>
      </c>
      <c r="F879" s="19" t="s">
        <v>127</v>
      </c>
      <c r="G879" s="19" t="s">
        <v>5351</v>
      </c>
      <c r="H879" s="19" t="s">
        <v>5352</v>
      </c>
      <c r="I879" s="19" t="s">
        <v>4189</v>
      </c>
      <c r="J879" s="19" t="n">
        <v>965.82</v>
      </c>
      <c r="K879" s="19" t="s">
        <v>2899</v>
      </c>
      <c r="L879" s="19"/>
      <c r="M879" s="20" t="str">
        <f aca="false">IF(G879&lt;&gt;"","PASS","FAIL - Missing UPC")</f>
        <v>PASS</v>
      </c>
      <c r="N879" s="20" t="str">
        <f aca="false">IF(AND(G879&lt;&gt;"",H879&lt;&gt;""),IF("0"&amp;G879=H879,"PASS","FAIL - GTIN Mismatch"),"SKIP")</f>
        <v>PASS</v>
      </c>
      <c r="O879" s="20" t="str">
        <f aca="false">IF(I879="","FAIL - No Title",IF(LEN(I879)&lt;=126,"PASS","FAIL - Title &gt;"&amp;126&amp;" chars"))</f>
        <v>PASS</v>
      </c>
      <c r="P879" s="20" t="str">
        <f aca="false">IF(J879&gt;0,IF(J879&lt;5000,"PASS","FLAG - Review Price"),"FAIL - Zero Price")</f>
        <v>PASS</v>
      </c>
      <c r="Q879" s="20" t="str">
        <f aca="false">IF('Raw Catalog'!P877&lt;&gt;"","PASS","FAIL - No Image")</f>
        <v>PASS</v>
      </c>
      <c r="R879" s="20" t="str">
        <f aca="false">IF(F879&lt;&gt;"","PASS","FAIL - No Brand")</f>
        <v>PASS</v>
      </c>
      <c r="S879" s="20" t="str">
        <f aca="true">IF(K879="","FAIL - No Date",IF(TODAY()-DATEVALUE(K879)&lt;=180,"PASS","FLAG - Stale &gt;180d"))</f>
        <v>FLAG - Stale &gt;180d</v>
      </c>
      <c r="T879" s="20" t="n">
        <f aca="false">COUNTIF(M879:S879,"FAIL*")+COUNTIF(M879:S879,"FLAG*")</f>
        <v>1</v>
      </c>
      <c r="U879" s="20" t="str">
        <f aca="false">IF(T879=0,"CLEAN",IF(T879=1,"MINOR",IF(T879&lt;=3,"MODERATE","CRITICAL")))</f>
        <v>MINOR</v>
      </c>
      <c r="V879" s="20" t="str">
        <f aca="false">IF(U879="CLEAN","None",IF(U879="MINOR","Seller Notify",IF(U879="MODERATE","Listing Suspended","Immediate Removal")))</f>
        <v>Seller Notify</v>
      </c>
    </row>
    <row r="880" customFormat="false" ht="18" hidden="false" customHeight="true" outlineLevel="0" collapsed="false">
      <c r="A880" s="19" t="s">
        <v>6957</v>
      </c>
      <c r="B880" s="19" t="s">
        <v>5354</v>
      </c>
      <c r="C880" s="19" t="s">
        <v>125</v>
      </c>
      <c r="D880" s="19" t="s">
        <v>126</v>
      </c>
      <c r="E880" s="19" t="s">
        <v>91</v>
      </c>
      <c r="F880" s="19" t="s">
        <v>185</v>
      </c>
      <c r="G880" s="19" t="s">
        <v>5356</v>
      </c>
      <c r="H880" s="19" t="s">
        <v>5357</v>
      </c>
      <c r="I880" s="19" t="s">
        <v>5358</v>
      </c>
      <c r="J880" s="19" t="n">
        <v>2836.32</v>
      </c>
      <c r="K880" s="19" t="s">
        <v>5359</v>
      </c>
      <c r="L880" s="19"/>
      <c r="M880" s="20" t="str">
        <f aca="false">IF(G880&lt;&gt;"","PASS","FAIL - Missing UPC")</f>
        <v>PASS</v>
      </c>
      <c r="N880" s="20" t="str">
        <f aca="false">IF(AND(G880&lt;&gt;"",H880&lt;&gt;""),IF("0"&amp;G880=H880,"PASS","FAIL - GTIN Mismatch"),"SKIP")</f>
        <v>PASS</v>
      </c>
      <c r="O880" s="20" t="str">
        <f aca="false">IF(I880="","FAIL - No Title",IF(LEN(I880)&lt;=126,"PASS","FAIL - Title &gt;"&amp;126&amp;" chars"))</f>
        <v>PASS</v>
      </c>
      <c r="P880" s="20" t="str">
        <f aca="false">IF(J880&gt;0,IF(J880&lt;5000,"PASS","FLAG - Review Price"),"FAIL - Zero Price")</f>
        <v>PASS</v>
      </c>
      <c r="Q880" s="20" t="str">
        <f aca="false">IF('Raw Catalog'!P878&lt;&gt;"","PASS","FAIL - No Image")</f>
        <v>PASS</v>
      </c>
      <c r="R880" s="20" t="str">
        <f aca="false">IF(F880&lt;&gt;"","PASS","FAIL - No Brand")</f>
        <v>PASS</v>
      </c>
      <c r="S880" s="20" t="str">
        <f aca="true">IF(K880="","FAIL - No Date",IF(TODAY()-DATEVALUE(K880)&lt;=180,"PASS","FLAG - Stale &gt;180d"))</f>
        <v>FLAG - Stale &gt;180d</v>
      </c>
      <c r="T880" s="20" t="n">
        <f aca="false">COUNTIF(M880:S880,"FAIL*")+COUNTIF(M880:S880,"FLAG*")</f>
        <v>1</v>
      </c>
      <c r="U880" s="20" t="str">
        <f aca="false">IF(T880=0,"CLEAN",IF(T880=1,"MINOR",IF(T880&lt;=3,"MODERATE","CRITICAL")))</f>
        <v>MINOR</v>
      </c>
      <c r="V880" s="20" t="str">
        <f aca="false">IF(U880="CLEAN","None",IF(U880="MINOR","Seller Notify",IF(U880="MODERATE","Listing Suspended","Immediate Removal")))</f>
        <v>Seller Notify</v>
      </c>
    </row>
    <row r="881" customFormat="false" ht="18" hidden="false" customHeight="true" outlineLevel="0" collapsed="false">
      <c r="A881" s="19" t="s">
        <v>6958</v>
      </c>
      <c r="B881" s="19" t="s">
        <v>5360</v>
      </c>
      <c r="C881" s="19" t="s">
        <v>63</v>
      </c>
      <c r="D881" s="19" t="s">
        <v>64</v>
      </c>
      <c r="E881" s="19" t="s">
        <v>91</v>
      </c>
      <c r="F881" s="19" t="s">
        <v>185</v>
      </c>
      <c r="G881" s="19" t="s">
        <v>5362</v>
      </c>
      <c r="H881" s="19" t="s">
        <v>5363</v>
      </c>
      <c r="I881" s="19" t="s">
        <v>3655</v>
      </c>
      <c r="J881" s="19" t="n">
        <v>1502.56</v>
      </c>
      <c r="K881" s="19" t="s">
        <v>369</v>
      </c>
      <c r="L881" s="19"/>
      <c r="M881" s="20" t="str">
        <f aca="false">IF(G881&lt;&gt;"","PASS","FAIL - Missing UPC")</f>
        <v>PASS</v>
      </c>
      <c r="N881" s="20" t="str">
        <f aca="false">IF(AND(G881&lt;&gt;"",H881&lt;&gt;""),IF("0"&amp;G881=H881,"PASS","FAIL - GTIN Mismatch"),"SKIP")</f>
        <v>PASS</v>
      </c>
      <c r="O881" s="20" t="str">
        <f aca="false">IF(I881="","FAIL - No Title",IF(LEN(I881)&lt;=126,"PASS","FAIL - Title &gt;"&amp;126&amp;" chars"))</f>
        <v>PASS</v>
      </c>
      <c r="P881" s="20" t="str">
        <f aca="false">IF(J881&gt;0,IF(J881&lt;5000,"PASS","FLAG - Review Price"),"FAIL - Zero Price")</f>
        <v>PASS</v>
      </c>
      <c r="Q881" s="20" t="str">
        <f aca="false">IF('Raw Catalog'!P879&lt;&gt;"","PASS","FAIL - No Image")</f>
        <v>PASS</v>
      </c>
      <c r="R881" s="20" t="str">
        <f aca="false">IF(F881&lt;&gt;"","PASS","FAIL - No Brand")</f>
        <v>PASS</v>
      </c>
      <c r="S881" s="20" t="str">
        <f aca="true">IF(K881="","FAIL - No Date",IF(TODAY()-DATEVALUE(K881)&lt;=180,"PASS","FLAG - Stale &gt;180d"))</f>
        <v>FLAG - Stale &gt;180d</v>
      </c>
      <c r="T881" s="20" t="n">
        <f aca="false">COUNTIF(M881:S881,"FAIL*")+COUNTIF(M881:S881,"FLAG*")</f>
        <v>1</v>
      </c>
      <c r="U881" s="20" t="str">
        <f aca="false">IF(T881=0,"CLEAN",IF(T881=1,"MINOR",IF(T881&lt;=3,"MODERATE","CRITICAL")))</f>
        <v>MINOR</v>
      </c>
      <c r="V881" s="20" t="str">
        <f aca="false">IF(U881="CLEAN","None",IF(U881="MINOR","Seller Notify",IF(U881="MODERATE","Listing Suspended","Immediate Removal")))</f>
        <v>Seller Notify</v>
      </c>
    </row>
    <row r="882" customFormat="false" ht="18" hidden="false" customHeight="true" outlineLevel="0" collapsed="false">
      <c r="A882" s="19" t="s">
        <v>6959</v>
      </c>
      <c r="B882" s="19" t="s">
        <v>5364</v>
      </c>
      <c r="C882" s="19" t="s">
        <v>48</v>
      </c>
      <c r="D882" s="19" t="s">
        <v>49</v>
      </c>
      <c r="E882" s="19" t="s">
        <v>79</v>
      </c>
      <c r="F882" s="19" t="s">
        <v>127</v>
      </c>
      <c r="G882" s="19" t="s">
        <v>5366</v>
      </c>
      <c r="H882" s="19" t="s">
        <v>5367</v>
      </c>
      <c r="I882" s="19" t="s">
        <v>5368</v>
      </c>
      <c r="J882" s="19" t="n">
        <v>578.14</v>
      </c>
      <c r="K882" s="19" t="s">
        <v>2377</v>
      </c>
      <c r="L882" s="21" t="s">
        <v>1014</v>
      </c>
      <c r="M882" s="20" t="str">
        <f aca="false">IF(G882&lt;&gt;"","PASS","FAIL - Missing UPC")</f>
        <v>PASS</v>
      </c>
      <c r="N882" s="20" t="str">
        <f aca="false">IF(AND(G882&lt;&gt;"",H882&lt;&gt;""),IF("0"&amp;G882=H882,"PASS","FAIL - GTIN Mismatch"),"SKIP")</f>
        <v>PASS</v>
      </c>
      <c r="O882" s="20" t="str">
        <f aca="false">IF(I882="","FAIL - No Title",IF(LEN(I882)&lt;=126,"PASS","FAIL - Title &gt;"&amp;126&amp;" chars"))</f>
        <v>PASS</v>
      </c>
      <c r="P882" s="20" t="str">
        <f aca="false">IF(J882&gt;0,IF(J882&lt;5000,"PASS","FLAG - Review Price"),"FAIL - Zero Price")</f>
        <v>PASS</v>
      </c>
      <c r="Q882" s="20" t="str">
        <f aca="false">IF('Raw Catalog'!P880&lt;&gt;"","PASS","FAIL - No Image")</f>
        <v>FAIL - No Image</v>
      </c>
      <c r="R882" s="20" t="str">
        <f aca="false">IF(F882&lt;&gt;"","PASS","FAIL - No Brand")</f>
        <v>PASS</v>
      </c>
      <c r="S882" s="20" t="str">
        <f aca="true">IF(K882="","FAIL - No Date",IF(TODAY()-DATEVALUE(K882)&lt;=180,"PASS","FLAG - Stale &gt;180d"))</f>
        <v>FLAG - Stale &gt;180d</v>
      </c>
      <c r="T882" s="20" t="n">
        <f aca="false">COUNTIF(M882:S882,"FAIL*")+COUNTIF(M882:S882,"FLAG*")</f>
        <v>2</v>
      </c>
      <c r="U882" s="20" t="str">
        <f aca="false">IF(T882=0,"CLEAN",IF(T882=1,"MINOR",IF(T882&lt;=3,"MODERATE","CRITICAL")))</f>
        <v>MODERATE</v>
      </c>
      <c r="V882" s="20" t="str">
        <f aca="false">IF(U882="CLEAN","None",IF(U882="MINOR","Seller Notify",IF(U882="MODERATE","Listing Suspended","Immediate Removal")))</f>
        <v>Listing Suspended</v>
      </c>
    </row>
    <row r="883" customFormat="false" ht="18" hidden="false" customHeight="true" outlineLevel="0" collapsed="false">
      <c r="A883" s="19" t="s">
        <v>6960</v>
      </c>
      <c r="B883" s="19" t="s">
        <v>5369</v>
      </c>
      <c r="C883" s="19" t="s">
        <v>125</v>
      </c>
      <c r="D883" s="19" t="s">
        <v>126</v>
      </c>
      <c r="E883" s="19" t="s">
        <v>65</v>
      </c>
      <c r="F883" s="19" t="s">
        <v>371</v>
      </c>
      <c r="G883" s="19" t="s">
        <v>5371</v>
      </c>
      <c r="H883" s="19" t="s">
        <v>5372</v>
      </c>
      <c r="I883" s="19" t="s">
        <v>2147</v>
      </c>
      <c r="J883" s="19" t="n">
        <v>142.26</v>
      </c>
      <c r="K883" s="19" t="s">
        <v>2634</v>
      </c>
      <c r="L883" s="19"/>
      <c r="M883" s="20" t="str">
        <f aca="false">IF(G883&lt;&gt;"","PASS","FAIL - Missing UPC")</f>
        <v>PASS</v>
      </c>
      <c r="N883" s="20" t="str">
        <f aca="false">IF(AND(G883&lt;&gt;"",H883&lt;&gt;""),IF("0"&amp;G883=H883,"PASS","FAIL - GTIN Mismatch"),"SKIP")</f>
        <v>PASS</v>
      </c>
      <c r="O883" s="20" t="str">
        <f aca="false">IF(I883="","FAIL - No Title",IF(LEN(I883)&lt;=126,"PASS","FAIL - Title &gt;"&amp;126&amp;" chars"))</f>
        <v>PASS</v>
      </c>
      <c r="P883" s="20" t="str">
        <f aca="false">IF(J883&gt;0,IF(J883&lt;5000,"PASS","FLAG - Review Price"),"FAIL - Zero Price")</f>
        <v>PASS</v>
      </c>
      <c r="Q883" s="20" t="str">
        <f aca="false">IF('Raw Catalog'!P881&lt;&gt;"","PASS","FAIL - No Image")</f>
        <v>PASS</v>
      </c>
      <c r="R883" s="20" t="str">
        <f aca="false">IF(F883&lt;&gt;"","PASS","FAIL - No Brand")</f>
        <v>PASS</v>
      </c>
      <c r="S883" s="20" t="str">
        <f aca="true">IF(K883="","FAIL - No Date",IF(TODAY()-DATEVALUE(K883)&lt;=180,"PASS","FLAG - Stale &gt;180d"))</f>
        <v>FLAG - Stale &gt;180d</v>
      </c>
      <c r="T883" s="20" t="n">
        <f aca="false">COUNTIF(M883:S883,"FAIL*")+COUNTIF(M883:S883,"FLAG*")</f>
        <v>1</v>
      </c>
      <c r="U883" s="20" t="str">
        <f aca="false">IF(T883=0,"CLEAN",IF(T883=1,"MINOR",IF(T883&lt;=3,"MODERATE","CRITICAL")))</f>
        <v>MINOR</v>
      </c>
      <c r="V883" s="20" t="str">
        <f aca="false">IF(U883="CLEAN","None",IF(U883="MINOR","Seller Notify",IF(U883="MODERATE","Listing Suspended","Immediate Removal")))</f>
        <v>Seller Notify</v>
      </c>
    </row>
    <row r="884" customFormat="false" ht="18" hidden="false" customHeight="true" outlineLevel="0" collapsed="false">
      <c r="A884" s="19" t="s">
        <v>6961</v>
      </c>
      <c r="B884" s="19" t="s">
        <v>5373</v>
      </c>
      <c r="C884" s="19" t="s">
        <v>113</v>
      </c>
      <c r="D884" s="19" t="s">
        <v>114</v>
      </c>
      <c r="E884" s="19" t="s">
        <v>65</v>
      </c>
      <c r="F884" s="19" t="s">
        <v>66</v>
      </c>
      <c r="G884" s="19" t="s">
        <v>5375</v>
      </c>
      <c r="H884" s="19" t="s">
        <v>5376</v>
      </c>
      <c r="I884" s="19" t="s">
        <v>649</v>
      </c>
      <c r="J884" s="19" t="n">
        <v>224.02</v>
      </c>
      <c r="K884" s="19" t="s">
        <v>2224</v>
      </c>
      <c r="L884" s="19"/>
      <c r="M884" s="20" t="str">
        <f aca="false">IF(G884&lt;&gt;"","PASS","FAIL - Missing UPC")</f>
        <v>PASS</v>
      </c>
      <c r="N884" s="20" t="str">
        <f aca="false">IF(AND(G884&lt;&gt;"",H884&lt;&gt;""),IF("0"&amp;G884=H884,"PASS","FAIL - GTIN Mismatch"),"SKIP")</f>
        <v>PASS</v>
      </c>
      <c r="O884" s="20" t="str">
        <f aca="false">IF(I884="","FAIL - No Title",IF(LEN(I884)&lt;=126,"PASS","FAIL - Title &gt;"&amp;126&amp;" chars"))</f>
        <v>PASS</v>
      </c>
      <c r="P884" s="20" t="str">
        <f aca="false">IF(J884&gt;0,IF(J884&lt;5000,"PASS","FLAG - Review Price"),"FAIL - Zero Price")</f>
        <v>PASS</v>
      </c>
      <c r="Q884" s="20" t="str">
        <f aca="false">IF('Raw Catalog'!P882&lt;&gt;"","PASS","FAIL - No Image")</f>
        <v>PASS</v>
      </c>
      <c r="R884" s="20" t="str">
        <f aca="false">IF(F884&lt;&gt;"","PASS","FAIL - No Brand")</f>
        <v>PASS</v>
      </c>
      <c r="S884" s="20" t="str">
        <f aca="true">IF(K884="","FAIL - No Date",IF(TODAY()-DATEVALUE(K884)&lt;=180,"PASS","FLAG - Stale &gt;180d"))</f>
        <v>FLAG - Stale &gt;180d</v>
      </c>
      <c r="T884" s="20" t="n">
        <f aca="false">COUNTIF(M884:S884,"FAIL*")+COUNTIF(M884:S884,"FLAG*")</f>
        <v>1</v>
      </c>
      <c r="U884" s="20" t="str">
        <f aca="false">IF(T884=0,"CLEAN",IF(T884=1,"MINOR",IF(T884&lt;=3,"MODERATE","CRITICAL")))</f>
        <v>MINOR</v>
      </c>
      <c r="V884" s="20" t="str">
        <f aca="false">IF(U884="CLEAN","None",IF(U884="MINOR","Seller Notify",IF(U884="MODERATE","Listing Suspended","Immediate Removal")))</f>
        <v>Seller Notify</v>
      </c>
    </row>
    <row r="885" customFormat="false" ht="18" hidden="false" customHeight="true" outlineLevel="0" collapsed="false">
      <c r="A885" s="19" t="s">
        <v>6962</v>
      </c>
      <c r="B885" s="19" t="s">
        <v>5377</v>
      </c>
      <c r="C885" s="19" t="s">
        <v>48</v>
      </c>
      <c r="D885" s="19" t="s">
        <v>49</v>
      </c>
      <c r="E885" s="19" t="s">
        <v>65</v>
      </c>
      <c r="F885" s="19" t="s">
        <v>245</v>
      </c>
      <c r="G885" s="19" t="s">
        <v>5379</v>
      </c>
      <c r="H885" s="19" t="s">
        <v>5380</v>
      </c>
      <c r="I885" s="19" t="s">
        <v>4060</v>
      </c>
      <c r="J885" s="19" t="n">
        <v>324.33</v>
      </c>
      <c r="K885" s="19" t="s">
        <v>452</v>
      </c>
      <c r="L885" s="19"/>
      <c r="M885" s="20" t="str">
        <f aca="false">IF(G885&lt;&gt;"","PASS","FAIL - Missing UPC")</f>
        <v>PASS</v>
      </c>
      <c r="N885" s="20" t="str">
        <f aca="false">IF(AND(G885&lt;&gt;"",H885&lt;&gt;""),IF("0"&amp;G885=H885,"PASS","FAIL - GTIN Mismatch"),"SKIP")</f>
        <v>PASS</v>
      </c>
      <c r="O885" s="20" t="str">
        <f aca="false">IF(I885="","FAIL - No Title",IF(LEN(I885)&lt;=126,"PASS","FAIL - Title &gt;"&amp;126&amp;" chars"))</f>
        <v>PASS</v>
      </c>
      <c r="P885" s="20" t="str">
        <f aca="false">IF(J885&gt;0,IF(J885&lt;5000,"PASS","FLAG - Review Price"),"FAIL - Zero Price")</f>
        <v>PASS</v>
      </c>
      <c r="Q885" s="20" t="str">
        <f aca="false">IF('Raw Catalog'!P883&lt;&gt;"","PASS","FAIL - No Image")</f>
        <v>PASS</v>
      </c>
      <c r="R885" s="20" t="str">
        <f aca="false">IF(F885&lt;&gt;"","PASS","FAIL - No Brand")</f>
        <v>PASS</v>
      </c>
      <c r="S885" s="20" t="str">
        <f aca="true">IF(K885="","FAIL - No Date",IF(TODAY()-DATEVALUE(K885)&lt;=180,"PASS","FLAG - Stale &gt;180d"))</f>
        <v>FLAG - Stale &gt;180d</v>
      </c>
      <c r="T885" s="20" t="n">
        <f aca="false">COUNTIF(M885:S885,"FAIL*")+COUNTIF(M885:S885,"FLAG*")</f>
        <v>1</v>
      </c>
      <c r="U885" s="20" t="str">
        <f aca="false">IF(T885=0,"CLEAN",IF(T885=1,"MINOR",IF(T885&lt;=3,"MODERATE","CRITICAL")))</f>
        <v>MINOR</v>
      </c>
      <c r="V885" s="20" t="str">
        <f aca="false">IF(U885="CLEAN","None",IF(U885="MINOR","Seller Notify",IF(U885="MODERATE","Listing Suspended","Immediate Removal")))</f>
        <v>Seller Notify</v>
      </c>
    </row>
    <row r="886" customFormat="false" ht="18" hidden="false" customHeight="true" outlineLevel="0" collapsed="false">
      <c r="A886" s="19" t="s">
        <v>6963</v>
      </c>
      <c r="B886" s="19" t="s">
        <v>5381</v>
      </c>
      <c r="C886" s="19" t="s">
        <v>48</v>
      </c>
      <c r="D886" s="19" t="s">
        <v>49</v>
      </c>
      <c r="E886" s="19" t="s">
        <v>91</v>
      </c>
      <c r="F886" s="19" t="s">
        <v>780</v>
      </c>
      <c r="G886" s="19" t="s">
        <v>5383</v>
      </c>
      <c r="H886" s="19" t="s">
        <v>5384</v>
      </c>
      <c r="I886" s="19" t="s">
        <v>2748</v>
      </c>
      <c r="J886" s="19" t="n">
        <v>3528.8</v>
      </c>
      <c r="K886" s="19" t="s">
        <v>741</v>
      </c>
      <c r="L886" s="19"/>
      <c r="M886" s="20" t="str">
        <f aca="false">IF(G886&lt;&gt;"","PASS","FAIL - Missing UPC")</f>
        <v>PASS</v>
      </c>
      <c r="N886" s="20" t="str">
        <f aca="false">IF(AND(G886&lt;&gt;"",H886&lt;&gt;""),IF("0"&amp;G886=H886,"PASS","FAIL - GTIN Mismatch"),"SKIP")</f>
        <v>PASS</v>
      </c>
      <c r="O886" s="20" t="str">
        <f aca="false">IF(I886="","FAIL - No Title",IF(LEN(I886)&lt;=126,"PASS","FAIL - Title &gt;"&amp;126&amp;" chars"))</f>
        <v>PASS</v>
      </c>
      <c r="P886" s="20" t="str">
        <f aca="false">IF(J886&gt;0,IF(J886&lt;5000,"PASS","FLAG - Review Price"),"FAIL - Zero Price")</f>
        <v>PASS</v>
      </c>
      <c r="Q886" s="20" t="str">
        <f aca="false">IF('Raw Catalog'!P884&lt;&gt;"","PASS","FAIL - No Image")</f>
        <v>PASS</v>
      </c>
      <c r="R886" s="20" t="str">
        <f aca="false">IF(F886&lt;&gt;"","PASS","FAIL - No Brand")</f>
        <v>PASS</v>
      </c>
      <c r="S886" s="20" t="str">
        <f aca="true">IF(K886="","FAIL - No Date",IF(TODAY()-DATEVALUE(K886)&lt;=180,"PASS","FLAG - Stale &gt;180d"))</f>
        <v>FLAG - Stale &gt;180d</v>
      </c>
      <c r="T886" s="20" t="n">
        <f aca="false">COUNTIF(M886:S886,"FAIL*")+COUNTIF(M886:S886,"FLAG*")</f>
        <v>1</v>
      </c>
      <c r="U886" s="20" t="str">
        <f aca="false">IF(T886=0,"CLEAN",IF(T886=1,"MINOR",IF(T886&lt;=3,"MODERATE","CRITICAL")))</f>
        <v>MINOR</v>
      </c>
      <c r="V886" s="20" t="str">
        <f aca="false">IF(U886="CLEAN","None",IF(U886="MINOR","Seller Notify",IF(U886="MODERATE","Listing Suspended","Immediate Removal")))</f>
        <v>Seller Notify</v>
      </c>
    </row>
    <row r="887" customFormat="false" ht="18" hidden="false" customHeight="true" outlineLevel="0" collapsed="false">
      <c r="A887" s="19" t="s">
        <v>6964</v>
      </c>
      <c r="B887" s="19" t="s">
        <v>2577</v>
      </c>
      <c r="C887" s="19" t="s">
        <v>48</v>
      </c>
      <c r="D887" s="19" t="s">
        <v>49</v>
      </c>
      <c r="E887" s="19" t="s">
        <v>65</v>
      </c>
      <c r="F887" s="19" t="s">
        <v>390</v>
      </c>
      <c r="G887" s="19" t="s">
        <v>2579</v>
      </c>
      <c r="H887" s="19" t="s">
        <v>2580</v>
      </c>
      <c r="I887" s="19" t="s">
        <v>2114</v>
      </c>
      <c r="J887" s="19" t="n">
        <v>180.21</v>
      </c>
      <c r="K887" s="19" t="s">
        <v>2581</v>
      </c>
      <c r="L887" s="21" t="s">
        <v>283</v>
      </c>
      <c r="M887" s="20" t="str">
        <f aca="false">IF(G887&lt;&gt;"","PASS","FAIL - Missing UPC")</f>
        <v>PASS</v>
      </c>
      <c r="N887" s="20" t="str">
        <f aca="false">IF(AND(G887&lt;&gt;"",H887&lt;&gt;""),IF("0"&amp;G887=H887,"PASS","FAIL - GTIN Mismatch"),"SKIP")</f>
        <v>PASS</v>
      </c>
      <c r="O887" s="20" t="str">
        <f aca="false">IF(I887="","FAIL - No Title",IF(LEN(I887)&lt;=126,"PASS","FAIL - Title &gt;"&amp;126&amp;" chars"))</f>
        <v>PASS</v>
      </c>
      <c r="P887" s="20" t="str">
        <f aca="false">IF(J887&gt;0,IF(J887&lt;5000,"PASS","FLAG - Review Price"),"FAIL - Zero Price")</f>
        <v>PASS</v>
      </c>
      <c r="Q887" s="20" t="str">
        <f aca="false">IF('Raw Catalog'!P885&lt;&gt;"","PASS","FAIL - No Image")</f>
        <v>PASS</v>
      </c>
      <c r="R887" s="20" t="str">
        <f aca="false">IF(F887&lt;&gt;"","PASS","FAIL - No Brand")</f>
        <v>PASS</v>
      </c>
      <c r="S887" s="20" t="str">
        <f aca="true">IF(K887="","FAIL - No Date",IF(TODAY()-DATEVALUE(K887)&lt;=180,"PASS","FLAG - Stale &gt;180d"))</f>
        <v>FLAG - Stale &gt;180d</v>
      </c>
      <c r="T887" s="20" t="n">
        <f aca="false">COUNTIF(M887:S887,"FAIL*")+COUNTIF(M887:S887,"FLAG*")</f>
        <v>1</v>
      </c>
      <c r="U887" s="20" t="str">
        <f aca="false">IF(T887=0,"CLEAN",IF(T887=1,"MINOR",IF(T887&lt;=3,"MODERATE","CRITICAL")))</f>
        <v>MINOR</v>
      </c>
      <c r="V887" s="20" t="str">
        <f aca="false">IF(U887="CLEAN","None",IF(U887="MINOR","Seller Notify",IF(U887="MODERATE","Listing Suspended","Immediate Removal")))</f>
        <v>Seller Notify</v>
      </c>
    </row>
    <row r="888" customFormat="false" ht="18" hidden="false" customHeight="true" outlineLevel="0" collapsed="false">
      <c r="A888" s="19" t="s">
        <v>6965</v>
      </c>
      <c r="B888" s="19" t="s">
        <v>2357</v>
      </c>
      <c r="C888" s="19" t="s">
        <v>48</v>
      </c>
      <c r="D888" s="19" t="s">
        <v>49</v>
      </c>
      <c r="E888" s="19" t="s">
        <v>79</v>
      </c>
      <c r="F888" s="19" t="s">
        <v>513</v>
      </c>
      <c r="G888" s="19" t="s">
        <v>2359</v>
      </c>
      <c r="H888" s="19" t="s">
        <v>2360</v>
      </c>
      <c r="I888" s="19" t="s">
        <v>2361</v>
      </c>
      <c r="J888" s="19" t="n">
        <v>1991.97</v>
      </c>
      <c r="K888" s="19" t="s">
        <v>369</v>
      </c>
      <c r="L888" s="21" t="s">
        <v>283</v>
      </c>
      <c r="M888" s="20" t="str">
        <f aca="false">IF(G888&lt;&gt;"","PASS","FAIL - Missing UPC")</f>
        <v>PASS</v>
      </c>
      <c r="N888" s="20" t="str">
        <f aca="false">IF(AND(G888&lt;&gt;"",H888&lt;&gt;""),IF("0"&amp;G888=H888,"PASS","FAIL - GTIN Mismatch"),"SKIP")</f>
        <v>PASS</v>
      </c>
      <c r="O888" s="20" t="str">
        <f aca="false">IF(I888="","FAIL - No Title",IF(LEN(I888)&lt;=126,"PASS","FAIL - Title &gt;"&amp;126&amp;" chars"))</f>
        <v>PASS</v>
      </c>
      <c r="P888" s="20" t="str">
        <f aca="false">IF(J888&gt;0,IF(J888&lt;5000,"PASS","FLAG - Review Price"),"FAIL - Zero Price")</f>
        <v>PASS</v>
      </c>
      <c r="Q888" s="20" t="str">
        <f aca="false">IF('Raw Catalog'!P886&lt;&gt;"","PASS","FAIL - No Image")</f>
        <v>PASS</v>
      </c>
      <c r="R888" s="20" t="str">
        <f aca="false">IF(F888&lt;&gt;"","PASS","FAIL - No Brand")</f>
        <v>PASS</v>
      </c>
      <c r="S888" s="20" t="str">
        <f aca="true">IF(K888="","FAIL - No Date",IF(TODAY()-DATEVALUE(K888)&lt;=180,"PASS","FLAG - Stale &gt;180d"))</f>
        <v>FLAG - Stale &gt;180d</v>
      </c>
      <c r="T888" s="20" t="n">
        <f aca="false">COUNTIF(M888:S888,"FAIL*")+COUNTIF(M888:S888,"FLAG*")</f>
        <v>1</v>
      </c>
      <c r="U888" s="20" t="str">
        <f aca="false">IF(T888=0,"CLEAN",IF(T888=1,"MINOR",IF(T888&lt;=3,"MODERATE","CRITICAL")))</f>
        <v>MINOR</v>
      </c>
      <c r="V888" s="20" t="str">
        <f aca="false">IF(U888="CLEAN","None",IF(U888="MINOR","Seller Notify",IF(U888="MODERATE","Listing Suspended","Immediate Removal")))</f>
        <v>Seller Notify</v>
      </c>
    </row>
    <row r="889" customFormat="false" ht="18" hidden="false" customHeight="true" outlineLevel="0" collapsed="false">
      <c r="A889" s="19" t="s">
        <v>6966</v>
      </c>
      <c r="B889" s="19" t="s">
        <v>5385</v>
      </c>
      <c r="C889" s="19" t="s">
        <v>125</v>
      </c>
      <c r="D889" s="19" t="s">
        <v>126</v>
      </c>
      <c r="E889" s="19" t="s">
        <v>79</v>
      </c>
      <c r="F889" s="19" t="s">
        <v>465</v>
      </c>
      <c r="G889" s="19" t="s">
        <v>5387</v>
      </c>
      <c r="H889" s="19" t="s">
        <v>5388</v>
      </c>
      <c r="I889" s="19" t="s">
        <v>5389</v>
      </c>
      <c r="J889" s="19" t="n">
        <v>2412.97</v>
      </c>
      <c r="K889" s="19" t="s">
        <v>2581</v>
      </c>
      <c r="L889" s="19"/>
      <c r="M889" s="20" t="str">
        <f aca="false">IF(G889&lt;&gt;"","PASS","FAIL - Missing UPC")</f>
        <v>PASS</v>
      </c>
      <c r="N889" s="20" t="str">
        <f aca="false">IF(AND(G889&lt;&gt;"",H889&lt;&gt;""),IF("0"&amp;G889=H889,"PASS","FAIL - GTIN Mismatch"),"SKIP")</f>
        <v>PASS</v>
      </c>
      <c r="O889" s="20" t="str">
        <f aca="false">IF(I889="","FAIL - No Title",IF(LEN(I889)&lt;=126,"PASS","FAIL - Title &gt;"&amp;126&amp;" chars"))</f>
        <v>PASS</v>
      </c>
      <c r="P889" s="20" t="str">
        <f aca="false">IF(J889&gt;0,IF(J889&lt;5000,"PASS","FLAG - Review Price"),"FAIL - Zero Price")</f>
        <v>PASS</v>
      </c>
      <c r="Q889" s="20" t="str">
        <f aca="false">IF('Raw Catalog'!P887&lt;&gt;"","PASS","FAIL - No Image")</f>
        <v>PASS</v>
      </c>
      <c r="R889" s="20" t="str">
        <f aca="false">IF(F889&lt;&gt;"","PASS","FAIL - No Brand")</f>
        <v>PASS</v>
      </c>
      <c r="S889" s="20" t="str">
        <f aca="true">IF(K889="","FAIL - No Date",IF(TODAY()-DATEVALUE(K889)&lt;=180,"PASS","FLAG - Stale &gt;180d"))</f>
        <v>FLAG - Stale &gt;180d</v>
      </c>
      <c r="T889" s="20" t="n">
        <f aca="false">COUNTIF(M889:S889,"FAIL*")+COUNTIF(M889:S889,"FLAG*")</f>
        <v>1</v>
      </c>
      <c r="U889" s="20" t="str">
        <f aca="false">IF(T889=0,"CLEAN",IF(T889=1,"MINOR",IF(T889&lt;=3,"MODERATE","CRITICAL")))</f>
        <v>MINOR</v>
      </c>
      <c r="V889" s="20" t="str">
        <f aca="false">IF(U889="CLEAN","None",IF(U889="MINOR","Seller Notify",IF(U889="MODERATE","Listing Suspended","Immediate Removal")))</f>
        <v>Seller Notify</v>
      </c>
    </row>
    <row r="890" customFormat="false" ht="18" hidden="false" customHeight="true" outlineLevel="0" collapsed="false">
      <c r="A890" s="19" t="s">
        <v>6967</v>
      </c>
      <c r="B890" s="19" t="s">
        <v>5391</v>
      </c>
      <c r="C890" s="19" t="s">
        <v>113</v>
      </c>
      <c r="D890" s="19" t="s">
        <v>114</v>
      </c>
      <c r="E890" s="19" t="s">
        <v>79</v>
      </c>
      <c r="F890" s="19" t="s">
        <v>465</v>
      </c>
      <c r="G890" s="19" t="s">
        <v>5393</v>
      </c>
      <c r="H890" s="19" t="s">
        <v>5394</v>
      </c>
      <c r="I890" s="19" t="s">
        <v>5395</v>
      </c>
      <c r="J890" s="19" t="n">
        <v>1673.86</v>
      </c>
      <c r="K890" s="19" t="s">
        <v>4333</v>
      </c>
      <c r="L890" s="19"/>
      <c r="M890" s="20" t="str">
        <f aca="false">IF(G890&lt;&gt;"","PASS","FAIL - Missing UPC")</f>
        <v>PASS</v>
      </c>
      <c r="N890" s="20" t="str">
        <f aca="false">IF(AND(G890&lt;&gt;"",H890&lt;&gt;""),IF("0"&amp;G890=H890,"PASS","FAIL - GTIN Mismatch"),"SKIP")</f>
        <v>PASS</v>
      </c>
      <c r="O890" s="20" t="str">
        <f aca="false">IF(I890="","FAIL - No Title",IF(LEN(I890)&lt;=126,"PASS","FAIL - Title &gt;"&amp;126&amp;" chars"))</f>
        <v>PASS</v>
      </c>
      <c r="P890" s="20" t="str">
        <f aca="false">IF(J890&gt;0,IF(J890&lt;5000,"PASS","FLAG - Review Price"),"FAIL - Zero Price")</f>
        <v>PASS</v>
      </c>
      <c r="Q890" s="20" t="str">
        <f aca="false">IF('Raw Catalog'!P888&lt;&gt;"","PASS","FAIL - No Image")</f>
        <v>PASS</v>
      </c>
      <c r="R890" s="20" t="str">
        <f aca="false">IF(F890&lt;&gt;"","PASS","FAIL - No Brand")</f>
        <v>PASS</v>
      </c>
      <c r="S890" s="20" t="str">
        <f aca="true">IF(K890="","FAIL - No Date",IF(TODAY()-DATEVALUE(K890)&lt;=180,"PASS","FLAG - Stale &gt;180d"))</f>
        <v>FLAG - Stale &gt;180d</v>
      </c>
      <c r="T890" s="20" t="n">
        <f aca="false">COUNTIF(M890:S890,"FAIL*")+COUNTIF(M890:S890,"FLAG*")</f>
        <v>1</v>
      </c>
      <c r="U890" s="20" t="str">
        <f aca="false">IF(T890=0,"CLEAN",IF(T890=1,"MINOR",IF(T890&lt;=3,"MODERATE","CRITICAL")))</f>
        <v>MINOR</v>
      </c>
      <c r="V890" s="20" t="str">
        <f aca="false">IF(U890="CLEAN","None",IF(U890="MINOR","Seller Notify",IF(U890="MODERATE","Listing Suspended","Immediate Removal")))</f>
        <v>Seller Notify</v>
      </c>
    </row>
    <row r="891" customFormat="false" ht="18" hidden="false" customHeight="true" outlineLevel="0" collapsed="false">
      <c r="A891" s="19" t="s">
        <v>6968</v>
      </c>
      <c r="B891" s="19" t="s">
        <v>5397</v>
      </c>
      <c r="C891" s="19" t="s">
        <v>125</v>
      </c>
      <c r="D891" s="19" t="s">
        <v>126</v>
      </c>
      <c r="E891" s="19" t="s">
        <v>65</v>
      </c>
      <c r="F891" s="19" t="s">
        <v>245</v>
      </c>
      <c r="G891" s="19" t="s">
        <v>5399</v>
      </c>
      <c r="H891" s="19" t="s">
        <v>5400</v>
      </c>
      <c r="I891" s="19" t="s">
        <v>4060</v>
      </c>
      <c r="J891" s="19" t="n">
        <v>273.74</v>
      </c>
      <c r="K891" s="19" t="s">
        <v>2622</v>
      </c>
      <c r="L891" s="19"/>
      <c r="M891" s="20" t="str">
        <f aca="false">IF(G891&lt;&gt;"","PASS","FAIL - Missing UPC")</f>
        <v>PASS</v>
      </c>
      <c r="N891" s="20" t="str">
        <f aca="false">IF(AND(G891&lt;&gt;"",H891&lt;&gt;""),IF("0"&amp;G891=H891,"PASS","FAIL - GTIN Mismatch"),"SKIP")</f>
        <v>PASS</v>
      </c>
      <c r="O891" s="20" t="str">
        <f aca="false">IF(I891="","FAIL - No Title",IF(LEN(I891)&lt;=126,"PASS","FAIL - Title &gt;"&amp;126&amp;" chars"))</f>
        <v>PASS</v>
      </c>
      <c r="P891" s="20" t="str">
        <f aca="false">IF(J891&gt;0,IF(J891&lt;5000,"PASS","FLAG - Review Price"),"FAIL - Zero Price")</f>
        <v>PASS</v>
      </c>
      <c r="Q891" s="20" t="str">
        <f aca="false">IF('Raw Catalog'!P889&lt;&gt;"","PASS","FAIL - No Image")</f>
        <v>PASS</v>
      </c>
      <c r="R891" s="20" t="str">
        <f aca="false">IF(F891&lt;&gt;"","PASS","FAIL - No Brand")</f>
        <v>PASS</v>
      </c>
      <c r="S891" s="20" t="str">
        <f aca="true">IF(K891="","FAIL - No Date",IF(TODAY()-DATEVALUE(K891)&lt;=180,"PASS","FLAG - Stale &gt;180d"))</f>
        <v>FLAG - Stale &gt;180d</v>
      </c>
      <c r="T891" s="20" t="n">
        <f aca="false">COUNTIF(M891:S891,"FAIL*")+COUNTIF(M891:S891,"FLAG*")</f>
        <v>1</v>
      </c>
      <c r="U891" s="20" t="str">
        <f aca="false">IF(T891=0,"CLEAN",IF(T891=1,"MINOR",IF(T891&lt;=3,"MODERATE","CRITICAL")))</f>
        <v>MINOR</v>
      </c>
      <c r="V891" s="20" t="str">
        <f aca="false">IF(U891="CLEAN","None",IF(U891="MINOR","Seller Notify",IF(U891="MODERATE","Listing Suspended","Immediate Removal")))</f>
        <v>Seller Notify</v>
      </c>
    </row>
    <row r="892" customFormat="false" ht="18" hidden="false" customHeight="true" outlineLevel="0" collapsed="false">
      <c r="A892" s="19" t="s">
        <v>6969</v>
      </c>
      <c r="B892" s="19" t="s">
        <v>5401</v>
      </c>
      <c r="C892" s="19" t="s">
        <v>125</v>
      </c>
      <c r="D892" s="19" t="s">
        <v>126</v>
      </c>
      <c r="E892" s="19" t="s">
        <v>79</v>
      </c>
      <c r="F892" s="19" t="s">
        <v>127</v>
      </c>
      <c r="G892" s="19" t="s">
        <v>5403</v>
      </c>
      <c r="H892" s="19" t="s">
        <v>5404</v>
      </c>
      <c r="I892" s="19" t="s">
        <v>1428</v>
      </c>
      <c r="J892" s="19" t="n">
        <v>1228.74</v>
      </c>
      <c r="K892" s="19" t="s">
        <v>194</v>
      </c>
      <c r="L892" s="19"/>
      <c r="M892" s="20" t="str">
        <f aca="false">IF(G892&lt;&gt;"","PASS","FAIL - Missing UPC")</f>
        <v>PASS</v>
      </c>
      <c r="N892" s="20" t="str">
        <f aca="false">IF(AND(G892&lt;&gt;"",H892&lt;&gt;""),IF("0"&amp;G892=H892,"PASS","FAIL - GTIN Mismatch"),"SKIP")</f>
        <v>PASS</v>
      </c>
      <c r="O892" s="20" t="str">
        <f aca="false">IF(I892="","FAIL - No Title",IF(LEN(I892)&lt;=126,"PASS","FAIL - Title &gt;"&amp;126&amp;" chars"))</f>
        <v>PASS</v>
      </c>
      <c r="P892" s="20" t="str">
        <f aca="false">IF(J892&gt;0,IF(J892&lt;5000,"PASS","FLAG - Review Price"),"FAIL - Zero Price")</f>
        <v>PASS</v>
      </c>
      <c r="Q892" s="20" t="str">
        <f aca="false">IF('Raw Catalog'!P890&lt;&gt;"","PASS","FAIL - No Image")</f>
        <v>PASS</v>
      </c>
      <c r="R892" s="20" t="str">
        <f aca="false">IF(F892&lt;&gt;"","PASS","FAIL - No Brand")</f>
        <v>PASS</v>
      </c>
      <c r="S892" s="20" t="str">
        <f aca="true">IF(K892="","FAIL - No Date",IF(TODAY()-DATEVALUE(K892)&lt;=180,"PASS","FLAG - Stale &gt;180d"))</f>
        <v>FLAG - Stale &gt;180d</v>
      </c>
      <c r="T892" s="20" t="n">
        <f aca="false">COUNTIF(M892:S892,"FAIL*")+COUNTIF(M892:S892,"FLAG*")</f>
        <v>1</v>
      </c>
      <c r="U892" s="20" t="str">
        <f aca="false">IF(T892=0,"CLEAN",IF(T892=1,"MINOR",IF(T892&lt;=3,"MODERATE","CRITICAL")))</f>
        <v>MINOR</v>
      </c>
      <c r="V892" s="20" t="str">
        <f aca="false">IF(U892="CLEAN","None",IF(U892="MINOR","Seller Notify",IF(U892="MODERATE","Listing Suspended","Immediate Removal")))</f>
        <v>Seller Notify</v>
      </c>
    </row>
    <row r="893" customFormat="false" ht="18" hidden="false" customHeight="true" outlineLevel="0" collapsed="false">
      <c r="A893" s="19" t="s">
        <v>6970</v>
      </c>
      <c r="B893" s="19" t="s">
        <v>5405</v>
      </c>
      <c r="C893" s="19" t="s">
        <v>63</v>
      </c>
      <c r="D893" s="19" t="s">
        <v>64</v>
      </c>
      <c r="E893" s="19" t="s">
        <v>50</v>
      </c>
      <c r="F893" s="19" t="s">
        <v>115</v>
      </c>
      <c r="G893" s="19" t="s">
        <v>5407</v>
      </c>
      <c r="H893" s="19" t="s">
        <v>5408</v>
      </c>
      <c r="I893" s="19" t="s">
        <v>5409</v>
      </c>
      <c r="J893" s="19" t="n">
        <v>438.11</v>
      </c>
      <c r="K893" s="19" t="s">
        <v>5410</v>
      </c>
      <c r="L893" s="19"/>
      <c r="M893" s="20" t="str">
        <f aca="false">IF(G893&lt;&gt;"","PASS","FAIL - Missing UPC")</f>
        <v>PASS</v>
      </c>
      <c r="N893" s="20" t="str">
        <f aca="false">IF(AND(G893&lt;&gt;"",H893&lt;&gt;""),IF("0"&amp;G893=H893,"PASS","FAIL - GTIN Mismatch"),"SKIP")</f>
        <v>PASS</v>
      </c>
      <c r="O893" s="20" t="str">
        <f aca="false">IF(I893="","FAIL - No Title",IF(LEN(I893)&lt;=126,"PASS","FAIL - Title &gt;"&amp;126&amp;" chars"))</f>
        <v>PASS</v>
      </c>
      <c r="P893" s="20" t="str">
        <f aca="false">IF(J893&gt;0,IF(J893&lt;5000,"PASS","FLAG - Review Price"),"FAIL - Zero Price")</f>
        <v>PASS</v>
      </c>
      <c r="Q893" s="20" t="str">
        <f aca="false">IF('Raw Catalog'!P891&lt;&gt;"","PASS","FAIL - No Image")</f>
        <v>PASS</v>
      </c>
      <c r="R893" s="20" t="str">
        <f aca="false">IF(F893&lt;&gt;"","PASS","FAIL - No Brand")</f>
        <v>PASS</v>
      </c>
      <c r="S893" s="20" t="str">
        <f aca="true">IF(K893="","FAIL - No Date",IF(TODAY()-DATEVALUE(K893)&lt;=180,"PASS","FLAG - Stale &gt;180d"))</f>
        <v>FLAG - Stale &gt;180d</v>
      </c>
      <c r="T893" s="20" t="n">
        <f aca="false">COUNTIF(M893:S893,"FAIL*")+COUNTIF(M893:S893,"FLAG*")</f>
        <v>1</v>
      </c>
      <c r="U893" s="20" t="str">
        <f aca="false">IF(T893=0,"CLEAN",IF(T893=1,"MINOR",IF(T893&lt;=3,"MODERATE","CRITICAL")))</f>
        <v>MINOR</v>
      </c>
      <c r="V893" s="20" t="str">
        <f aca="false">IF(U893="CLEAN","None",IF(U893="MINOR","Seller Notify",IF(U893="MODERATE","Listing Suspended","Immediate Removal")))</f>
        <v>Seller Notify</v>
      </c>
    </row>
    <row r="894" customFormat="false" ht="18" hidden="false" customHeight="true" outlineLevel="0" collapsed="false">
      <c r="A894" s="19" t="s">
        <v>6971</v>
      </c>
      <c r="B894" s="19" t="s">
        <v>5411</v>
      </c>
      <c r="C894" s="19" t="s">
        <v>48</v>
      </c>
      <c r="D894" s="19" t="s">
        <v>49</v>
      </c>
      <c r="E894" s="19" t="s">
        <v>91</v>
      </c>
      <c r="F894" s="19" t="s">
        <v>92</v>
      </c>
      <c r="G894" s="19" t="s">
        <v>5413</v>
      </c>
      <c r="H894" s="19" t="s">
        <v>5414</v>
      </c>
      <c r="I894" s="19" t="s">
        <v>2656</v>
      </c>
      <c r="J894" s="19" t="n">
        <v>307.47</v>
      </c>
      <c r="K894" s="19" t="s">
        <v>2064</v>
      </c>
      <c r="L894" s="19"/>
      <c r="M894" s="20" t="str">
        <f aca="false">IF(G894&lt;&gt;"","PASS","FAIL - Missing UPC")</f>
        <v>PASS</v>
      </c>
      <c r="N894" s="20" t="str">
        <f aca="false">IF(AND(G894&lt;&gt;"",H894&lt;&gt;""),IF("0"&amp;G894=H894,"PASS","FAIL - GTIN Mismatch"),"SKIP")</f>
        <v>PASS</v>
      </c>
      <c r="O894" s="20" t="str">
        <f aca="false">IF(I894="","FAIL - No Title",IF(LEN(I894)&lt;=126,"PASS","FAIL - Title &gt;"&amp;126&amp;" chars"))</f>
        <v>PASS</v>
      </c>
      <c r="P894" s="20" t="str">
        <f aca="false">IF(J894&gt;0,IF(J894&lt;5000,"PASS","FLAG - Review Price"),"FAIL - Zero Price")</f>
        <v>PASS</v>
      </c>
      <c r="Q894" s="20" t="str">
        <f aca="false">IF('Raw Catalog'!P892&lt;&gt;"","PASS","FAIL - No Image")</f>
        <v>PASS</v>
      </c>
      <c r="R894" s="20" t="str">
        <f aca="false">IF(F894&lt;&gt;"","PASS","FAIL - No Brand")</f>
        <v>PASS</v>
      </c>
      <c r="S894" s="20" t="str">
        <f aca="true">IF(K894="","FAIL - No Date",IF(TODAY()-DATEVALUE(K894)&lt;=180,"PASS","FLAG - Stale &gt;180d"))</f>
        <v>FLAG - Stale &gt;180d</v>
      </c>
      <c r="T894" s="20" t="n">
        <f aca="false">COUNTIF(M894:S894,"FAIL*")+COUNTIF(M894:S894,"FLAG*")</f>
        <v>1</v>
      </c>
      <c r="U894" s="20" t="str">
        <f aca="false">IF(T894=0,"CLEAN",IF(T894=1,"MINOR",IF(T894&lt;=3,"MODERATE","CRITICAL")))</f>
        <v>MINOR</v>
      </c>
      <c r="V894" s="20" t="str">
        <f aca="false">IF(U894="CLEAN","None",IF(U894="MINOR","Seller Notify",IF(U894="MODERATE","Listing Suspended","Immediate Removal")))</f>
        <v>Seller Notify</v>
      </c>
    </row>
    <row r="895" customFormat="false" ht="18" hidden="false" customHeight="true" outlineLevel="0" collapsed="false">
      <c r="A895" s="19" t="s">
        <v>6972</v>
      </c>
      <c r="B895" s="19" t="s">
        <v>4807</v>
      </c>
      <c r="C895" s="19" t="s">
        <v>77</v>
      </c>
      <c r="D895" s="19" t="s">
        <v>78</v>
      </c>
      <c r="E895" s="19" t="s">
        <v>79</v>
      </c>
      <c r="F895" s="19" t="s">
        <v>956</v>
      </c>
      <c r="G895" s="19" t="s">
        <v>4809</v>
      </c>
      <c r="H895" s="19" t="s">
        <v>4810</v>
      </c>
      <c r="I895" s="19" t="s">
        <v>4811</v>
      </c>
      <c r="J895" s="19" t="n">
        <v>1292.98</v>
      </c>
      <c r="K895" s="19" t="s">
        <v>4813</v>
      </c>
      <c r="L895" s="19"/>
      <c r="M895" s="20" t="str">
        <f aca="false">IF(G895&lt;&gt;"","PASS","FAIL - Missing UPC")</f>
        <v>PASS</v>
      </c>
      <c r="N895" s="20" t="str">
        <f aca="false">IF(AND(G895&lt;&gt;"",H895&lt;&gt;""),IF("0"&amp;G895=H895,"PASS","FAIL - GTIN Mismatch"),"SKIP")</f>
        <v>PASS</v>
      </c>
      <c r="O895" s="20" t="str">
        <f aca="false">IF(I895="","FAIL - No Title",IF(LEN(I895)&lt;=126,"PASS","FAIL - Title &gt;"&amp;126&amp;" chars"))</f>
        <v>PASS</v>
      </c>
      <c r="P895" s="20" t="str">
        <f aca="false">IF(J895&gt;0,IF(J895&lt;5000,"PASS","FLAG - Review Price"),"FAIL - Zero Price")</f>
        <v>PASS</v>
      </c>
      <c r="Q895" s="20" t="str">
        <f aca="false">IF('Raw Catalog'!P893&lt;&gt;"","PASS","FAIL - No Image")</f>
        <v>PASS</v>
      </c>
      <c r="R895" s="20" t="str">
        <f aca="false">IF(F895&lt;&gt;"","PASS","FAIL - No Brand")</f>
        <v>PASS</v>
      </c>
      <c r="S895" s="20" t="str">
        <f aca="true">IF(K895="","FAIL - No Date",IF(TODAY()-DATEVALUE(K895)&lt;=180,"PASS","FLAG - Stale &gt;180d"))</f>
        <v>FLAG - Stale &gt;180d</v>
      </c>
      <c r="T895" s="20" t="n">
        <f aca="false">COUNTIF(M895:S895,"FAIL*")+COUNTIF(M895:S895,"FLAG*")</f>
        <v>1</v>
      </c>
      <c r="U895" s="20" t="str">
        <f aca="false">IF(T895=0,"CLEAN",IF(T895=1,"MINOR",IF(T895&lt;=3,"MODERATE","CRITICAL")))</f>
        <v>MINOR</v>
      </c>
      <c r="V895" s="20" t="str">
        <f aca="false">IF(U895="CLEAN","None",IF(U895="MINOR","Seller Notify",IF(U895="MODERATE","Listing Suspended","Immediate Removal")))</f>
        <v>Seller Notify</v>
      </c>
    </row>
    <row r="896" customFormat="false" ht="18" hidden="false" customHeight="true" outlineLevel="0" collapsed="false">
      <c r="A896" s="19" t="s">
        <v>6973</v>
      </c>
      <c r="B896" s="19" t="s">
        <v>5416</v>
      </c>
      <c r="C896" s="19" t="s">
        <v>255</v>
      </c>
      <c r="D896" s="19" t="s">
        <v>256</v>
      </c>
      <c r="E896" s="19" t="s">
        <v>65</v>
      </c>
      <c r="F896" s="19" t="s">
        <v>115</v>
      </c>
      <c r="G896" s="19" t="s">
        <v>5418</v>
      </c>
      <c r="H896" s="19" t="s">
        <v>5419</v>
      </c>
      <c r="I896" s="19" t="s">
        <v>3872</v>
      </c>
      <c r="J896" s="19" t="n">
        <v>42.86</v>
      </c>
      <c r="K896" s="19" t="s">
        <v>3766</v>
      </c>
      <c r="L896" s="19"/>
      <c r="M896" s="20" t="str">
        <f aca="false">IF(G896&lt;&gt;"","PASS","FAIL - Missing UPC")</f>
        <v>PASS</v>
      </c>
      <c r="N896" s="20" t="str">
        <f aca="false">IF(AND(G896&lt;&gt;"",H896&lt;&gt;""),IF("0"&amp;G896=H896,"PASS","FAIL - GTIN Mismatch"),"SKIP")</f>
        <v>PASS</v>
      </c>
      <c r="O896" s="20" t="str">
        <f aca="false">IF(I896="","FAIL - No Title",IF(LEN(I896)&lt;=126,"PASS","FAIL - Title &gt;"&amp;126&amp;" chars"))</f>
        <v>PASS</v>
      </c>
      <c r="P896" s="20" t="str">
        <f aca="false">IF(J896&gt;0,IF(J896&lt;5000,"PASS","FLAG - Review Price"),"FAIL - Zero Price")</f>
        <v>PASS</v>
      </c>
      <c r="Q896" s="20" t="str">
        <f aca="false">IF('Raw Catalog'!P894&lt;&gt;"","PASS","FAIL - No Image")</f>
        <v>PASS</v>
      </c>
      <c r="R896" s="20" t="str">
        <f aca="false">IF(F896&lt;&gt;"","PASS","FAIL - No Brand")</f>
        <v>PASS</v>
      </c>
      <c r="S896" s="20" t="str">
        <f aca="true">IF(K896="","FAIL - No Date",IF(TODAY()-DATEVALUE(K896)&lt;=180,"PASS","FLAG - Stale &gt;180d"))</f>
        <v>FLAG - Stale &gt;180d</v>
      </c>
      <c r="T896" s="20" t="n">
        <f aca="false">COUNTIF(M896:S896,"FAIL*")+COUNTIF(M896:S896,"FLAG*")</f>
        <v>1</v>
      </c>
      <c r="U896" s="20" t="str">
        <f aca="false">IF(T896=0,"CLEAN",IF(T896=1,"MINOR",IF(T896&lt;=3,"MODERATE","CRITICAL")))</f>
        <v>MINOR</v>
      </c>
      <c r="V896" s="20" t="str">
        <f aca="false">IF(U896="CLEAN","None",IF(U896="MINOR","Seller Notify",IF(U896="MODERATE","Listing Suspended","Immediate Removal")))</f>
        <v>Seller Notify</v>
      </c>
    </row>
    <row r="897" customFormat="false" ht="18" hidden="false" customHeight="true" outlineLevel="0" collapsed="false">
      <c r="A897" s="19" t="s">
        <v>6974</v>
      </c>
      <c r="B897" s="19" t="s">
        <v>5420</v>
      </c>
      <c r="C897" s="19" t="s">
        <v>173</v>
      </c>
      <c r="D897" s="19" t="s">
        <v>174</v>
      </c>
      <c r="E897" s="19" t="s">
        <v>50</v>
      </c>
      <c r="F897" s="19" t="s">
        <v>127</v>
      </c>
      <c r="G897" s="19" t="s">
        <v>5422</v>
      </c>
      <c r="H897" s="19" t="s">
        <v>5423</v>
      </c>
      <c r="I897" s="19" t="s">
        <v>5424</v>
      </c>
      <c r="J897" s="19" t="n">
        <v>200.31</v>
      </c>
      <c r="K897" s="19" t="s">
        <v>1292</v>
      </c>
      <c r="L897" s="19"/>
      <c r="M897" s="20" t="str">
        <f aca="false">IF(G897&lt;&gt;"","PASS","FAIL - Missing UPC")</f>
        <v>PASS</v>
      </c>
      <c r="N897" s="20" t="str">
        <f aca="false">IF(AND(G897&lt;&gt;"",H897&lt;&gt;""),IF("0"&amp;G897=H897,"PASS","FAIL - GTIN Mismatch"),"SKIP")</f>
        <v>PASS</v>
      </c>
      <c r="O897" s="20" t="str">
        <f aca="false">IF(I897="","FAIL - No Title",IF(LEN(I897)&lt;=126,"PASS","FAIL - Title &gt;"&amp;126&amp;" chars"))</f>
        <v>PASS</v>
      </c>
      <c r="P897" s="20" t="str">
        <f aca="false">IF(J897&gt;0,IF(J897&lt;5000,"PASS","FLAG - Review Price"),"FAIL - Zero Price")</f>
        <v>PASS</v>
      </c>
      <c r="Q897" s="20" t="str">
        <f aca="false">IF('Raw Catalog'!P895&lt;&gt;"","PASS","FAIL - No Image")</f>
        <v>PASS</v>
      </c>
      <c r="R897" s="20" t="str">
        <f aca="false">IF(F897&lt;&gt;"","PASS","FAIL - No Brand")</f>
        <v>PASS</v>
      </c>
      <c r="S897" s="20" t="str">
        <f aca="true">IF(K897="","FAIL - No Date",IF(TODAY()-DATEVALUE(K897)&lt;=180,"PASS","FLAG - Stale &gt;180d"))</f>
        <v>FLAG - Stale &gt;180d</v>
      </c>
      <c r="T897" s="20" t="n">
        <f aca="false">COUNTIF(M897:S897,"FAIL*")+COUNTIF(M897:S897,"FLAG*")</f>
        <v>1</v>
      </c>
      <c r="U897" s="20" t="str">
        <f aca="false">IF(T897=0,"CLEAN",IF(T897=1,"MINOR",IF(T897&lt;=3,"MODERATE","CRITICAL")))</f>
        <v>MINOR</v>
      </c>
      <c r="V897" s="20" t="str">
        <f aca="false">IF(U897="CLEAN","None",IF(U897="MINOR","Seller Notify",IF(U897="MODERATE","Listing Suspended","Immediate Removal")))</f>
        <v>Seller Notify</v>
      </c>
    </row>
    <row r="898" customFormat="false" ht="18" hidden="false" customHeight="true" outlineLevel="0" collapsed="false">
      <c r="A898" s="19" t="s">
        <v>6975</v>
      </c>
      <c r="B898" s="19" t="s">
        <v>5425</v>
      </c>
      <c r="C898" s="19" t="s">
        <v>48</v>
      </c>
      <c r="D898" s="19" t="s">
        <v>49</v>
      </c>
      <c r="E898" s="19" t="s">
        <v>50</v>
      </c>
      <c r="F898" s="19" t="s">
        <v>127</v>
      </c>
      <c r="G898" s="19" t="s">
        <v>5427</v>
      </c>
      <c r="H898" s="19" t="s">
        <v>5428</v>
      </c>
      <c r="I898" s="19" t="s">
        <v>5429</v>
      </c>
      <c r="J898" s="19" t="n">
        <v>324.09</v>
      </c>
      <c r="K898" s="19" t="s">
        <v>417</v>
      </c>
      <c r="L898" s="19"/>
      <c r="M898" s="20" t="str">
        <f aca="false">IF(G898&lt;&gt;"","PASS","FAIL - Missing UPC")</f>
        <v>PASS</v>
      </c>
      <c r="N898" s="20" t="str">
        <f aca="false">IF(AND(G898&lt;&gt;"",H898&lt;&gt;""),IF("0"&amp;G898=H898,"PASS","FAIL - GTIN Mismatch"),"SKIP")</f>
        <v>PASS</v>
      </c>
      <c r="O898" s="20" t="str">
        <f aca="false">IF(I898="","FAIL - No Title",IF(LEN(I898)&lt;=126,"PASS","FAIL - Title &gt;"&amp;126&amp;" chars"))</f>
        <v>PASS</v>
      </c>
      <c r="P898" s="20" t="str">
        <f aca="false">IF(J898&gt;0,IF(J898&lt;5000,"PASS","FLAG - Review Price"),"FAIL - Zero Price")</f>
        <v>PASS</v>
      </c>
      <c r="Q898" s="20" t="str">
        <f aca="false">IF('Raw Catalog'!P896&lt;&gt;"","PASS","FAIL - No Image")</f>
        <v>PASS</v>
      </c>
      <c r="R898" s="20" t="str">
        <f aca="false">IF(F898&lt;&gt;"","PASS","FAIL - No Brand")</f>
        <v>PASS</v>
      </c>
      <c r="S898" s="20" t="str">
        <f aca="true">IF(K898="","FAIL - No Date",IF(TODAY()-DATEVALUE(K898)&lt;=180,"PASS","FLAG - Stale &gt;180d"))</f>
        <v>FLAG - Stale &gt;180d</v>
      </c>
      <c r="T898" s="20" t="n">
        <f aca="false">COUNTIF(M898:S898,"FAIL*")+COUNTIF(M898:S898,"FLAG*")</f>
        <v>1</v>
      </c>
      <c r="U898" s="20" t="str">
        <f aca="false">IF(T898=0,"CLEAN",IF(T898=1,"MINOR",IF(T898&lt;=3,"MODERATE","CRITICAL")))</f>
        <v>MINOR</v>
      </c>
      <c r="V898" s="20" t="str">
        <f aca="false">IF(U898="CLEAN","None",IF(U898="MINOR","Seller Notify",IF(U898="MODERATE","Listing Suspended","Immediate Removal")))</f>
        <v>Seller Notify</v>
      </c>
    </row>
    <row r="899" customFormat="false" ht="18" hidden="false" customHeight="true" outlineLevel="0" collapsed="false">
      <c r="A899" s="19" t="s">
        <v>6976</v>
      </c>
      <c r="B899" s="19" t="s">
        <v>5430</v>
      </c>
      <c r="C899" s="19" t="s">
        <v>77</v>
      </c>
      <c r="D899" s="19" t="s">
        <v>78</v>
      </c>
      <c r="E899" s="19" t="s">
        <v>91</v>
      </c>
      <c r="F899" s="19" t="s">
        <v>419</v>
      </c>
      <c r="G899" s="19" t="s">
        <v>5432</v>
      </c>
      <c r="H899" s="19" t="s">
        <v>5433</v>
      </c>
      <c r="I899" s="19" t="s">
        <v>5434</v>
      </c>
      <c r="J899" s="19" t="n">
        <v>1202.65</v>
      </c>
      <c r="K899" s="19" t="s">
        <v>939</v>
      </c>
      <c r="L899" s="19"/>
      <c r="M899" s="20" t="str">
        <f aca="false">IF(G899&lt;&gt;"","PASS","FAIL - Missing UPC")</f>
        <v>PASS</v>
      </c>
      <c r="N899" s="20" t="str">
        <f aca="false">IF(AND(G899&lt;&gt;"",H899&lt;&gt;""),IF("0"&amp;G899=H899,"PASS","FAIL - GTIN Mismatch"),"SKIP")</f>
        <v>PASS</v>
      </c>
      <c r="O899" s="20" t="str">
        <f aca="false">IF(I899="","FAIL - No Title",IF(LEN(I899)&lt;=126,"PASS","FAIL - Title &gt;"&amp;126&amp;" chars"))</f>
        <v>PASS</v>
      </c>
      <c r="P899" s="20" t="str">
        <f aca="false">IF(J899&gt;0,IF(J899&lt;5000,"PASS","FLAG - Review Price"),"FAIL - Zero Price")</f>
        <v>PASS</v>
      </c>
      <c r="Q899" s="20" t="str">
        <f aca="false">IF('Raw Catalog'!P897&lt;&gt;"","PASS","FAIL - No Image")</f>
        <v>PASS</v>
      </c>
      <c r="R899" s="20" t="str">
        <f aca="false">IF(F899&lt;&gt;"","PASS","FAIL - No Brand")</f>
        <v>PASS</v>
      </c>
      <c r="S899" s="20" t="str">
        <f aca="true">IF(K899="","FAIL - No Date",IF(TODAY()-DATEVALUE(K899)&lt;=180,"PASS","FLAG - Stale &gt;180d"))</f>
        <v>FLAG - Stale &gt;180d</v>
      </c>
      <c r="T899" s="20" t="n">
        <f aca="false">COUNTIF(M899:S899,"FAIL*")+COUNTIF(M899:S899,"FLAG*")</f>
        <v>1</v>
      </c>
      <c r="U899" s="20" t="str">
        <f aca="false">IF(T899=0,"CLEAN",IF(T899=1,"MINOR",IF(T899&lt;=3,"MODERATE","CRITICAL")))</f>
        <v>MINOR</v>
      </c>
      <c r="V899" s="20" t="str">
        <f aca="false">IF(U899="CLEAN","None",IF(U899="MINOR","Seller Notify",IF(U899="MODERATE","Listing Suspended","Immediate Removal")))</f>
        <v>Seller Notify</v>
      </c>
    </row>
    <row r="900" customFormat="false" ht="18" hidden="false" customHeight="true" outlineLevel="0" collapsed="false">
      <c r="A900" s="19" t="s">
        <v>6977</v>
      </c>
      <c r="B900" s="19" t="s">
        <v>5435</v>
      </c>
      <c r="C900" s="19" t="s">
        <v>48</v>
      </c>
      <c r="D900" s="19" t="s">
        <v>49</v>
      </c>
      <c r="E900" s="19" t="s">
        <v>50</v>
      </c>
      <c r="F900" s="19" t="s">
        <v>115</v>
      </c>
      <c r="G900" s="19" t="s">
        <v>5437</v>
      </c>
      <c r="H900" s="19" t="s">
        <v>5438</v>
      </c>
      <c r="I900" s="19" t="s">
        <v>5439</v>
      </c>
      <c r="J900" s="19" t="n">
        <v>961.76</v>
      </c>
      <c r="K900" s="19" t="s">
        <v>2305</v>
      </c>
      <c r="L900" s="19"/>
      <c r="M900" s="20" t="str">
        <f aca="false">IF(G900&lt;&gt;"","PASS","FAIL - Missing UPC")</f>
        <v>PASS</v>
      </c>
      <c r="N900" s="20" t="str">
        <f aca="false">IF(AND(G900&lt;&gt;"",H900&lt;&gt;""),IF("0"&amp;G900=H900,"PASS","FAIL - GTIN Mismatch"),"SKIP")</f>
        <v>PASS</v>
      </c>
      <c r="O900" s="20" t="str">
        <f aca="false">IF(I900="","FAIL - No Title",IF(LEN(I900)&lt;=126,"PASS","FAIL - Title &gt;"&amp;126&amp;" chars"))</f>
        <v>PASS</v>
      </c>
      <c r="P900" s="20" t="str">
        <f aca="false">IF(J900&gt;0,IF(J900&lt;5000,"PASS","FLAG - Review Price"),"FAIL - Zero Price")</f>
        <v>PASS</v>
      </c>
      <c r="Q900" s="20" t="str">
        <f aca="false">IF('Raw Catalog'!P898&lt;&gt;"","PASS","FAIL - No Image")</f>
        <v>PASS</v>
      </c>
      <c r="R900" s="20" t="str">
        <f aca="false">IF(F900&lt;&gt;"","PASS","FAIL - No Brand")</f>
        <v>PASS</v>
      </c>
      <c r="S900" s="20" t="str">
        <f aca="true">IF(K900="","FAIL - No Date",IF(TODAY()-DATEVALUE(K900)&lt;=180,"PASS","FLAG - Stale &gt;180d"))</f>
        <v>FLAG - Stale &gt;180d</v>
      </c>
      <c r="T900" s="20" t="n">
        <f aca="false">COUNTIF(M900:S900,"FAIL*")+COUNTIF(M900:S900,"FLAG*")</f>
        <v>1</v>
      </c>
      <c r="U900" s="20" t="str">
        <f aca="false">IF(T900=0,"CLEAN",IF(T900=1,"MINOR",IF(T900&lt;=3,"MODERATE","CRITICAL")))</f>
        <v>MINOR</v>
      </c>
      <c r="V900" s="20" t="str">
        <f aca="false">IF(U900="CLEAN","None",IF(U900="MINOR","Seller Notify",IF(U900="MODERATE","Listing Suspended","Immediate Removal")))</f>
        <v>Seller Notify</v>
      </c>
    </row>
    <row r="901" customFormat="false" ht="18" hidden="false" customHeight="true" outlineLevel="0" collapsed="false">
      <c r="A901" s="19" t="s">
        <v>6978</v>
      </c>
      <c r="B901" s="19" t="s">
        <v>5440</v>
      </c>
      <c r="C901" s="19" t="s">
        <v>48</v>
      </c>
      <c r="D901" s="19" t="s">
        <v>49</v>
      </c>
      <c r="E901" s="19" t="s">
        <v>161</v>
      </c>
      <c r="F901" s="19" t="s">
        <v>185</v>
      </c>
      <c r="G901" s="19" t="s">
        <v>5441</v>
      </c>
      <c r="H901" s="19" t="s">
        <v>5442</v>
      </c>
      <c r="I901" s="19" t="s">
        <v>5443</v>
      </c>
      <c r="J901" s="19" t="n">
        <v>527.04</v>
      </c>
      <c r="K901" s="19" t="s">
        <v>2876</v>
      </c>
      <c r="L901" s="19"/>
      <c r="M901" s="20" t="str">
        <f aca="false">IF(G901&lt;&gt;"","PASS","FAIL - Missing UPC")</f>
        <v>PASS</v>
      </c>
      <c r="N901" s="20" t="str">
        <f aca="false">IF(AND(G901&lt;&gt;"",H901&lt;&gt;""),IF("0"&amp;G901=H901,"PASS","FAIL - GTIN Mismatch"),"SKIP")</f>
        <v>PASS</v>
      </c>
      <c r="O901" s="20" t="str">
        <f aca="false">IF(I901="","FAIL - No Title",IF(LEN(I901)&lt;=126,"PASS","FAIL - Title &gt;"&amp;126&amp;" chars"))</f>
        <v>PASS</v>
      </c>
      <c r="P901" s="20" t="str">
        <f aca="false">IF(J901&gt;0,IF(J901&lt;5000,"PASS","FLAG - Review Price"),"FAIL - Zero Price")</f>
        <v>PASS</v>
      </c>
      <c r="Q901" s="20" t="str">
        <f aca="false">IF('Raw Catalog'!P899&lt;&gt;"","PASS","FAIL - No Image")</f>
        <v>PASS</v>
      </c>
      <c r="R901" s="20" t="str">
        <f aca="false">IF(F901&lt;&gt;"","PASS","FAIL - No Brand")</f>
        <v>PASS</v>
      </c>
      <c r="S901" s="20" t="str">
        <f aca="true">IF(K901="","FAIL - No Date",IF(TODAY()-DATEVALUE(K901)&lt;=180,"PASS","FLAG - Stale &gt;180d"))</f>
        <v>FLAG - Stale &gt;180d</v>
      </c>
      <c r="T901" s="20" t="n">
        <f aca="false">COUNTIF(M901:S901,"FAIL*")+COUNTIF(M901:S901,"FLAG*")</f>
        <v>1</v>
      </c>
      <c r="U901" s="20" t="str">
        <f aca="false">IF(T901=0,"CLEAN",IF(T901=1,"MINOR",IF(T901&lt;=3,"MODERATE","CRITICAL")))</f>
        <v>MINOR</v>
      </c>
      <c r="V901" s="20" t="str">
        <f aca="false">IF(U901="CLEAN","None",IF(U901="MINOR","Seller Notify",IF(U901="MODERATE","Listing Suspended","Immediate Removal")))</f>
        <v>Seller Notify</v>
      </c>
    </row>
    <row r="902" customFormat="false" ht="18" hidden="false" customHeight="true" outlineLevel="0" collapsed="false">
      <c r="A902" s="19" t="s">
        <v>6979</v>
      </c>
      <c r="B902" s="19" t="s">
        <v>5444</v>
      </c>
      <c r="C902" s="19" t="s">
        <v>159</v>
      </c>
      <c r="D902" s="19" t="s">
        <v>160</v>
      </c>
      <c r="E902" s="19" t="s">
        <v>161</v>
      </c>
      <c r="F902" s="19" t="s">
        <v>162</v>
      </c>
      <c r="G902" s="19" t="s">
        <v>5446</v>
      </c>
      <c r="H902" s="19" t="s">
        <v>5447</v>
      </c>
      <c r="I902" s="19"/>
      <c r="J902" s="19" t="n">
        <v>243.08</v>
      </c>
      <c r="K902" s="19" t="s">
        <v>4733</v>
      </c>
      <c r="L902" s="21" t="s">
        <v>1048</v>
      </c>
      <c r="M902" s="20" t="str">
        <f aca="false">IF(G902&lt;&gt;"","PASS","FAIL - Missing UPC")</f>
        <v>PASS</v>
      </c>
      <c r="N902" s="20" t="str">
        <f aca="false">IF(AND(G902&lt;&gt;"",H902&lt;&gt;""),IF("0"&amp;G902=H902,"PASS","FAIL - GTIN Mismatch"),"SKIP")</f>
        <v>PASS</v>
      </c>
      <c r="O902" s="20" t="str">
        <f aca="false">IF(I902="","FAIL - No Title",IF(LEN(I902)&lt;=126,"PASS","FAIL - Title &gt;"&amp;126&amp;" chars"))</f>
        <v>FAIL - No Title</v>
      </c>
      <c r="P902" s="20" t="str">
        <f aca="false">IF(J902&gt;0,IF(J902&lt;5000,"PASS","FLAG - Review Price"),"FAIL - Zero Price")</f>
        <v>PASS</v>
      </c>
      <c r="Q902" s="20" t="str">
        <f aca="false">IF('Raw Catalog'!P900&lt;&gt;"","PASS","FAIL - No Image")</f>
        <v>PASS</v>
      </c>
      <c r="R902" s="20" t="str">
        <f aca="false">IF(F902&lt;&gt;"","PASS","FAIL - No Brand")</f>
        <v>PASS</v>
      </c>
      <c r="S902" s="20" t="str">
        <f aca="true">IF(K902="","FAIL - No Date",IF(TODAY()-DATEVALUE(K902)&lt;=180,"PASS","FLAG - Stale &gt;180d"))</f>
        <v>FLAG - Stale &gt;180d</v>
      </c>
      <c r="T902" s="20" t="n">
        <f aca="false">COUNTIF(M902:S902,"FAIL*")+COUNTIF(M902:S902,"FLAG*")</f>
        <v>2</v>
      </c>
      <c r="U902" s="20" t="str">
        <f aca="false">IF(T902=0,"CLEAN",IF(T902=1,"MINOR",IF(T902&lt;=3,"MODERATE","CRITICAL")))</f>
        <v>MODERATE</v>
      </c>
      <c r="V902" s="20" t="str">
        <f aca="false">IF(U902="CLEAN","None",IF(U902="MINOR","Seller Notify",IF(U902="MODERATE","Listing Suspended","Immediate Removal")))</f>
        <v>Listing Suspended</v>
      </c>
    </row>
    <row r="903" customFormat="false" ht="18" hidden="false" customHeight="true" outlineLevel="0" collapsed="false">
      <c r="A903" s="19" t="s">
        <v>6980</v>
      </c>
      <c r="B903" s="19" t="s">
        <v>4633</v>
      </c>
      <c r="C903" s="19" t="s">
        <v>63</v>
      </c>
      <c r="D903" s="19" t="s">
        <v>64</v>
      </c>
      <c r="E903" s="19" t="s">
        <v>161</v>
      </c>
      <c r="F903" s="19" t="s">
        <v>185</v>
      </c>
      <c r="G903" s="19" t="s">
        <v>4635</v>
      </c>
      <c r="H903" s="19" t="s">
        <v>4636</v>
      </c>
      <c r="I903" s="19" t="s">
        <v>4637</v>
      </c>
      <c r="J903" s="19" t="n">
        <v>69.78</v>
      </c>
      <c r="K903" s="19" t="s">
        <v>1611</v>
      </c>
      <c r="L903" s="21" t="s">
        <v>283</v>
      </c>
      <c r="M903" s="20" t="str">
        <f aca="false">IF(G903&lt;&gt;"","PASS","FAIL - Missing UPC")</f>
        <v>PASS</v>
      </c>
      <c r="N903" s="20" t="str">
        <f aca="false">IF(AND(G903&lt;&gt;"",H903&lt;&gt;""),IF("0"&amp;G903=H903,"PASS","FAIL - GTIN Mismatch"),"SKIP")</f>
        <v>PASS</v>
      </c>
      <c r="O903" s="20" t="str">
        <f aca="false">IF(I903="","FAIL - No Title",IF(LEN(I903)&lt;=126,"PASS","FAIL - Title &gt;"&amp;126&amp;" chars"))</f>
        <v>PASS</v>
      </c>
      <c r="P903" s="20" t="str">
        <f aca="false">IF(J903&gt;0,IF(J903&lt;5000,"PASS","FLAG - Review Price"),"FAIL - Zero Price")</f>
        <v>PASS</v>
      </c>
      <c r="Q903" s="20" t="str">
        <f aca="false">IF('Raw Catalog'!P901&lt;&gt;"","PASS","FAIL - No Image")</f>
        <v>PASS</v>
      </c>
      <c r="R903" s="20" t="str">
        <f aca="false">IF(F903&lt;&gt;"","PASS","FAIL - No Brand")</f>
        <v>PASS</v>
      </c>
      <c r="S903" s="20" t="str">
        <f aca="true">IF(K903="","FAIL - No Date",IF(TODAY()-DATEVALUE(K903)&lt;=180,"PASS","FLAG - Stale &gt;180d"))</f>
        <v>FLAG - Stale &gt;180d</v>
      </c>
      <c r="T903" s="20" t="n">
        <f aca="false">COUNTIF(M903:S903,"FAIL*")+COUNTIF(M903:S903,"FLAG*")</f>
        <v>1</v>
      </c>
      <c r="U903" s="20" t="str">
        <f aca="false">IF(T903=0,"CLEAN",IF(T903=1,"MINOR",IF(T903&lt;=3,"MODERATE","CRITICAL")))</f>
        <v>MINOR</v>
      </c>
      <c r="V903" s="20" t="str">
        <f aca="false">IF(U903="CLEAN","None",IF(U903="MINOR","Seller Notify",IF(U903="MODERATE","Listing Suspended","Immediate Removal")))</f>
        <v>Seller Notify</v>
      </c>
    </row>
    <row r="904" customFormat="false" ht="18" hidden="false" customHeight="true" outlineLevel="0" collapsed="false">
      <c r="A904" s="19" t="s">
        <v>6981</v>
      </c>
      <c r="B904" s="19" t="s">
        <v>5448</v>
      </c>
      <c r="C904" s="19" t="s">
        <v>113</v>
      </c>
      <c r="D904" s="19" t="s">
        <v>114</v>
      </c>
      <c r="E904" s="19" t="s">
        <v>65</v>
      </c>
      <c r="F904" s="19" t="s">
        <v>371</v>
      </c>
      <c r="G904" s="19" t="s">
        <v>5450</v>
      </c>
      <c r="H904" s="19" t="s">
        <v>5451</v>
      </c>
      <c r="I904" s="19" t="s">
        <v>1398</v>
      </c>
      <c r="J904" s="19" t="n">
        <v>252.35</v>
      </c>
      <c r="K904" s="19" t="s">
        <v>2576</v>
      </c>
      <c r="L904" s="19"/>
      <c r="M904" s="20" t="str">
        <f aca="false">IF(G904&lt;&gt;"","PASS","FAIL - Missing UPC")</f>
        <v>PASS</v>
      </c>
      <c r="N904" s="20" t="str">
        <f aca="false">IF(AND(G904&lt;&gt;"",H904&lt;&gt;""),IF("0"&amp;G904=H904,"PASS","FAIL - GTIN Mismatch"),"SKIP")</f>
        <v>PASS</v>
      </c>
      <c r="O904" s="20" t="str">
        <f aca="false">IF(I904="","FAIL - No Title",IF(LEN(I904)&lt;=126,"PASS","FAIL - Title &gt;"&amp;126&amp;" chars"))</f>
        <v>PASS</v>
      </c>
      <c r="P904" s="20" t="str">
        <f aca="false">IF(J904&gt;0,IF(J904&lt;5000,"PASS","FLAG - Review Price"),"FAIL - Zero Price")</f>
        <v>PASS</v>
      </c>
      <c r="Q904" s="20" t="str">
        <f aca="false">IF('Raw Catalog'!P902&lt;&gt;"","PASS","FAIL - No Image")</f>
        <v>PASS</v>
      </c>
      <c r="R904" s="20" t="str">
        <f aca="false">IF(F904&lt;&gt;"","PASS","FAIL - No Brand")</f>
        <v>PASS</v>
      </c>
      <c r="S904" s="20" t="str">
        <f aca="true">IF(K904="","FAIL - No Date",IF(TODAY()-DATEVALUE(K904)&lt;=180,"PASS","FLAG - Stale &gt;180d"))</f>
        <v>FLAG - Stale &gt;180d</v>
      </c>
      <c r="T904" s="20" t="n">
        <f aca="false">COUNTIF(M904:S904,"FAIL*")+COUNTIF(M904:S904,"FLAG*")</f>
        <v>1</v>
      </c>
      <c r="U904" s="20" t="str">
        <f aca="false">IF(T904=0,"CLEAN",IF(T904=1,"MINOR",IF(T904&lt;=3,"MODERATE","CRITICAL")))</f>
        <v>MINOR</v>
      </c>
      <c r="V904" s="20" t="str">
        <f aca="false">IF(U904="CLEAN","None",IF(U904="MINOR","Seller Notify",IF(U904="MODERATE","Listing Suspended","Immediate Removal")))</f>
        <v>Seller Notify</v>
      </c>
    </row>
    <row r="905" customFormat="false" ht="18" hidden="false" customHeight="true" outlineLevel="0" collapsed="false">
      <c r="A905" s="19" t="s">
        <v>6982</v>
      </c>
      <c r="B905" s="19" t="s">
        <v>5452</v>
      </c>
      <c r="C905" s="19" t="s">
        <v>48</v>
      </c>
      <c r="D905" s="19" t="s">
        <v>49</v>
      </c>
      <c r="E905" s="19" t="s">
        <v>91</v>
      </c>
      <c r="F905" s="19" t="s">
        <v>587</v>
      </c>
      <c r="G905" s="19" t="s">
        <v>5454</v>
      </c>
      <c r="H905" s="19" t="s">
        <v>5455</v>
      </c>
      <c r="I905" s="19" t="s">
        <v>5456</v>
      </c>
      <c r="J905" s="19" t="n">
        <v>1361.97</v>
      </c>
      <c r="K905" s="19" t="s">
        <v>722</v>
      </c>
      <c r="L905" s="19"/>
      <c r="M905" s="20" t="str">
        <f aca="false">IF(G905&lt;&gt;"","PASS","FAIL - Missing UPC")</f>
        <v>PASS</v>
      </c>
      <c r="N905" s="20" t="str">
        <f aca="false">IF(AND(G905&lt;&gt;"",H905&lt;&gt;""),IF("0"&amp;G905=H905,"PASS","FAIL - GTIN Mismatch"),"SKIP")</f>
        <v>PASS</v>
      </c>
      <c r="O905" s="20" t="str">
        <f aca="false">IF(I905="","FAIL - No Title",IF(LEN(I905)&lt;=126,"PASS","FAIL - Title &gt;"&amp;126&amp;" chars"))</f>
        <v>PASS</v>
      </c>
      <c r="P905" s="20" t="str">
        <f aca="false">IF(J905&gt;0,IF(J905&lt;5000,"PASS","FLAG - Review Price"),"FAIL - Zero Price")</f>
        <v>PASS</v>
      </c>
      <c r="Q905" s="20" t="str">
        <f aca="false">IF('Raw Catalog'!P903&lt;&gt;"","PASS","FAIL - No Image")</f>
        <v>PASS</v>
      </c>
      <c r="R905" s="20" t="str">
        <f aca="false">IF(F905&lt;&gt;"","PASS","FAIL - No Brand")</f>
        <v>PASS</v>
      </c>
      <c r="S905" s="20" t="str">
        <f aca="true">IF(K905="","FAIL - No Date",IF(TODAY()-DATEVALUE(K905)&lt;=180,"PASS","FLAG - Stale &gt;180d"))</f>
        <v>FLAG - Stale &gt;180d</v>
      </c>
      <c r="T905" s="20" t="n">
        <f aca="false">COUNTIF(M905:S905,"FAIL*")+COUNTIF(M905:S905,"FLAG*")</f>
        <v>1</v>
      </c>
      <c r="U905" s="20" t="str">
        <f aca="false">IF(T905=0,"CLEAN",IF(T905=1,"MINOR",IF(T905&lt;=3,"MODERATE","CRITICAL")))</f>
        <v>MINOR</v>
      </c>
      <c r="V905" s="20" t="str">
        <f aca="false">IF(U905="CLEAN","None",IF(U905="MINOR","Seller Notify",IF(U905="MODERATE","Listing Suspended","Immediate Removal")))</f>
        <v>Seller Notify</v>
      </c>
    </row>
    <row r="906" customFormat="false" ht="18" hidden="false" customHeight="true" outlineLevel="0" collapsed="false">
      <c r="A906" s="19" t="s">
        <v>6983</v>
      </c>
      <c r="B906" s="19" t="s">
        <v>5457</v>
      </c>
      <c r="C906" s="19" t="s">
        <v>255</v>
      </c>
      <c r="D906" s="19" t="s">
        <v>256</v>
      </c>
      <c r="E906" s="19" t="s">
        <v>91</v>
      </c>
      <c r="F906" s="19" t="s">
        <v>185</v>
      </c>
      <c r="G906" s="19" t="s">
        <v>5459</v>
      </c>
      <c r="H906" s="19" t="s">
        <v>5460</v>
      </c>
      <c r="I906" s="19" t="s">
        <v>5461</v>
      </c>
      <c r="J906" s="19" t="n">
        <v>3888.14</v>
      </c>
      <c r="K906" s="19" t="s">
        <v>5462</v>
      </c>
      <c r="L906" s="19"/>
      <c r="M906" s="20" t="str">
        <f aca="false">IF(G906&lt;&gt;"","PASS","FAIL - Missing UPC")</f>
        <v>PASS</v>
      </c>
      <c r="N906" s="20" t="str">
        <f aca="false">IF(AND(G906&lt;&gt;"",H906&lt;&gt;""),IF("0"&amp;G906=H906,"PASS","FAIL - GTIN Mismatch"),"SKIP")</f>
        <v>PASS</v>
      </c>
      <c r="O906" s="20" t="str">
        <f aca="false">IF(I906="","FAIL - No Title",IF(LEN(I906)&lt;=126,"PASS","FAIL - Title &gt;"&amp;126&amp;" chars"))</f>
        <v>PASS</v>
      </c>
      <c r="P906" s="20" t="str">
        <f aca="false">IF(J906&gt;0,IF(J906&lt;5000,"PASS","FLAG - Review Price"),"FAIL - Zero Price")</f>
        <v>PASS</v>
      </c>
      <c r="Q906" s="20" t="str">
        <f aca="false">IF('Raw Catalog'!P904&lt;&gt;"","PASS","FAIL - No Image")</f>
        <v>PASS</v>
      </c>
      <c r="R906" s="20" t="str">
        <f aca="false">IF(F906&lt;&gt;"","PASS","FAIL - No Brand")</f>
        <v>PASS</v>
      </c>
      <c r="S906" s="20" t="str">
        <f aca="true">IF(K906="","FAIL - No Date",IF(TODAY()-DATEVALUE(K906)&lt;=180,"PASS","FLAG - Stale &gt;180d"))</f>
        <v>FLAG - Stale &gt;180d</v>
      </c>
      <c r="T906" s="20" t="n">
        <f aca="false">COUNTIF(M906:S906,"FAIL*")+COUNTIF(M906:S906,"FLAG*")</f>
        <v>1</v>
      </c>
      <c r="U906" s="20" t="str">
        <f aca="false">IF(T906=0,"CLEAN",IF(T906=1,"MINOR",IF(T906&lt;=3,"MODERATE","CRITICAL")))</f>
        <v>MINOR</v>
      </c>
      <c r="V906" s="20" t="str">
        <f aca="false">IF(U906="CLEAN","None",IF(U906="MINOR","Seller Notify",IF(U906="MODERATE","Listing Suspended","Immediate Removal")))</f>
        <v>Seller Notify</v>
      </c>
    </row>
    <row r="907" customFormat="false" ht="18" hidden="false" customHeight="true" outlineLevel="0" collapsed="false">
      <c r="A907" s="19" t="s">
        <v>6984</v>
      </c>
      <c r="B907" s="19" t="s">
        <v>5463</v>
      </c>
      <c r="C907" s="19" t="s">
        <v>159</v>
      </c>
      <c r="D907" s="19" t="s">
        <v>160</v>
      </c>
      <c r="E907" s="19" t="s">
        <v>65</v>
      </c>
      <c r="F907" s="19" t="s">
        <v>438</v>
      </c>
      <c r="G907" s="19" t="s">
        <v>5465</v>
      </c>
      <c r="H907" s="19" t="s">
        <v>5466</v>
      </c>
      <c r="I907" s="19" t="s">
        <v>885</v>
      </c>
      <c r="J907" s="19" t="n">
        <v>35.73</v>
      </c>
      <c r="K907" s="19" t="s">
        <v>585</v>
      </c>
      <c r="L907" s="19"/>
      <c r="M907" s="20" t="str">
        <f aca="false">IF(G907&lt;&gt;"","PASS","FAIL - Missing UPC")</f>
        <v>PASS</v>
      </c>
      <c r="N907" s="20" t="str">
        <f aca="false">IF(AND(G907&lt;&gt;"",H907&lt;&gt;""),IF("0"&amp;G907=H907,"PASS","FAIL - GTIN Mismatch"),"SKIP")</f>
        <v>PASS</v>
      </c>
      <c r="O907" s="20" t="str">
        <f aca="false">IF(I907="","FAIL - No Title",IF(LEN(I907)&lt;=126,"PASS","FAIL - Title &gt;"&amp;126&amp;" chars"))</f>
        <v>PASS</v>
      </c>
      <c r="P907" s="20" t="str">
        <f aca="false">IF(J907&gt;0,IF(J907&lt;5000,"PASS","FLAG - Review Price"),"FAIL - Zero Price")</f>
        <v>PASS</v>
      </c>
      <c r="Q907" s="20" t="str">
        <f aca="false">IF('Raw Catalog'!P905&lt;&gt;"","PASS","FAIL - No Image")</f>
        <v>PASS</v>
      </c>
      <c r="R907" s="20" t="str">
        <f aca="false">IF(F907&lt;&gt;"","PASS","FAIL - No Brand")</f>
        <v>PASS</v>
      </c>
      <c r="S907" s="20" t="str">
        <f aca="true">IF(K907="","FAIL - No Date",IF(TODAY()-DATEVALUE(K907)&lt;=180,"PASS","FLAG - Stale &gt;180d"))</f>
        <v>FLAG - Stale &gt;180d</v>
      </c>
      <c r="T907" s="20" t="n">
        <f aca="false">COUNTIF(M907:S907,"FAIL*")+COUNTIF(M907:S907,"FLAG*")</f>
        <v>1</v>
      </c>
      <c r="U907" s="20" t="str">
        <f aca="false">IF(T907=0,"CLEAN",IF(T907=1,"MINOR",IF(T907&lt;=3,"MODERATE","CRITICAL")))</f>
        <v>MINOR</v>
      </c>
      <c r="V907" s="20" t="str">
        <f aca="false">IF(U907="CLEAN","None",IF(U907="MINOR","Seller Notify",IF(U907="MODERATE","Listing Suspended","Immediate Removal")))</f>
        <v>Seller Notify</v>
      </c>
    </row>
    <row r="908" customFormat="false" ht="18" hidden="false" customHeight="true" outlineLevel="0" collapsed="false">
      <c r="A908" s="19" t="s">
        <v>6985</v>
      </c>
      <c r="B908" s="19" t="s">
        <v>5467</v>
      </c>
      <c r="C908" s="19" t="s">
        <v>63</v>
      </c>
      <c r="D908" s="19" t="s">
        <v>64</v>
      </c>
      <c r="E908" s="19" t="s">
        <v>79</v>
      </c>
      <c r="F908" s="19" t="s">
        <v>196</v>
      </c>
      <c r="G908" s="19" t="s">
        <v>5469</v>
      </c>
      <c r="H908" s="19" t="s">
        <v>5470</v>
      </c>
      <c r="I908" s="19" t="s">
        <v>5471</v>
      </c>
      <c r="J908" s="19" t="n">
        <v>576.96</v>
      </c>
      <c r="K908" s="19" t="s">
        <v>1236</v>
      </c>
      <c r="L908" s="19"/>
      <c r="M908" s="20" t="str">
        <f aca="false">IF(G908&lt;&gt;"","PASS","FAIL - Missing UPC")</f>
        <v>PASS</v>
      </c>
      <c r="N908" s="20" t="str">
        <f aca="false">IF(AND(G908&lt;&gt;"",H908&lt;&gt;""),IF("0"&amp;G908=H908,"PASS","FAIL - GTIN Mismatch"),"SKIP")</f>
        <v>PASS</v>
      </c>
      <c r="O908" s="20" t="str">
        <f aca="false">IF(I908="","FAIL - No Title",IF(LEN(I908)&lt;=126,"PASS","FAIL - Title &gt;"&amp;126&amp;" chars"))</f>
        <v>PASS</v>
      </c>
      <c r="P908" s="20" t="str">
        <f aca="false">IF(J908&gt;0,IF(J908&lt;5000,"PASS","FLAG - Review Price"),"FAIL - Zero Price")</f>
        <v>PASS</v>
      </c>
      <c r="Q908" s="20" t="str">
        <f aca="false">IF('Raw Catalog'!P906&lt;&gt;"","PASS","FAIL - No Image")</f>
        <v>PASS</v>
      </c>
      <c r="R908" s="20" t="str">
        <f aca="false">IF(F908&lt;&gt;"","PASS","FAIL - No Brand")</f>
        <v>PASS</v>
      </c>
      <c r="S908" s="20" t="str">
        <f aca="true">IF(K908="","FAIL - No Date",IF(TODAY()-DATEVALUE(K908)&lt;=180,"PASS","FLAG - Stale &gt;180d"))</f>
        <v>FLAG - Stale &gt;180d</v>
      </c>
      <c r="T908" s="20" t="n">
        <f aca="false">COUNTIF(M908:S908,"FAIL*")+COUNTIF(M908:S908,"FLAG*")</f>
        <v>1</v>
      </c>
      <c r="U908" s="20" t="str">
        <f aca="false">IF(T908=0,"CLEAN",IF(T908=1,"MINOR",IF(T908&lt;=3,"MODERATE","CRITICAL")))</f>
        <v>MINOR</v>
      </c>
      <c r="V908" s="20" t="str">
        <f aca="false">IF(U908="CLEAN","None",IF(U908="MINOR","Seller Notify",IF(U908="MODERATE","Listing Suspended","Immediate Removal")))</f>
        <v>Seller Notify</v>
      </c>
    </row>
    <row r="909" customFormat="false" ht="18" hidden="false" customHeight="true" outlineLevel="0" collapsed="false">
      <c r="A909" s="19" t="s">
        <v>6986</v>
      </c>
      <c r="B909" s="19" t="s">
        <v>5473</v>
      </c>
      <c r="C909" s="19" t="s">
        <v>255</v>
      </c>
      <c r="D909" s="19" t="s">
        <v>256</v>
      </c>
      <c r="E909" s="19" t="s">
        <v>65</v>
      </c>
      <c r="F909" s="19" t="s">
        <v>66</v>
      </c>
      <c r="G909" s="19" t="s">
        <v>5475</v>
      </c>
      <c r="H909" s="19" t="s">
        <v>5476</v>
      </c>
      <c r="I909" s="19" t="s">
        <v>1145</v>
      </c>
      <c r="J909" s="19" t="n">
        <v>385.64</v>
      </c>
      <c r="K909" s="19" t="s">
        <v>2366</v>
      </c>
      <c r="L909" s="19"/>
      <c r="M909" s="20" t="str">
        <f aca="false">IF(G909&lt;&gt;"","PASS","FAIL - Missing UPC")</f>
        <v>PASS</v>
      </c>
      <c r="N909" s="20" t="str">
        <f aca="false">IF(AND(G909&lt;&gt;"",H909&lt;&gt;""),IF("0"&amp;G909=H909,"PASS","FAIL - GTIN Mismatch"),"SKIP")</f>
        <v>PASS</v>
      </c>
      <c r="O909" s="20" t="str">
        <f aca="false">IF(I909="","FAIL - No Title",IF(LEN(I909)&lt;=126,"PASS","FAIL - Title &gt;"&amp;126&amp;" chars"))</f>
        <v>PASS</v>
      </c>
      <c r="P909" s="20" t="str">
        <f aca="false">IF(J909&gt;0,IF(J909&lt;5000,"PASS","FLAG - Review Price"),"FAIL - Zero Price")</f>
        <v>PASS</v>
      </c>
      <c r="Q909" s="20" t="str">
        <f aca="false">IF('Raw Catalog'!P907&lt;&gt;"","PASS","FAIL - No Image")</f>
        <v>PASS</v>
      </c>
      <c r="R909" s="20" t="str">
        <f aca="false">IF(F909&lt;&gt;"","PASS","FAIL - No Brand")</f>
        <v>PASS</v>
      </c>
      <c r="S909" s="20" t="str">
        <f aca="true">IF(K909="","FAIL - No Date",IF(TODAY()-DATEVALUE(K909)&lt;=180,"PASS","FLAG - Stale &gt;180d"))</f>
        <v>FLAG - Stale &gt;180d</v>
      </c>
      <c r="T909" s="20" t="n">
        <f aca="false">COUNTIF(M909:S909,"FAIL*")+COUNTIF(M909:S909,"FLAG*")</f>
        <v>1</v>
      </c>
      <c r="U909" s="20" t="str">
        <f aca="false">IF(T909=0,"CLEAN",IF(T909=1,"MINOR",IF(T909&lt;=3,"MODERATE","CRITICAL")))</f>
        <v>MINOR</v>
      </c>
      <c r="V909" s="20" t="str">
        <f aca="false">IF(U909="CLEAN","None",IF(U909="MINOR","Seller Notify",IF(U909="MODERATE","Listing Suspended","Immediate Removal")))</f>
        <v>Seller Notify</v>
      </c>
    </row>
    <row r="910" customFormat="false" ht="18" hidden="false" customHeight="true" outlineLevel="0" collapsed="false">
      <c r="A910" s="19" t="s">
        <v>6987</v>
      </c>
      <c r="B910" s="19" t="s">
        <v>5477</v>
      </c>
      <c r="C910" s="19" t="s">
        <v>173</v>
      </c>
      <c r="D910" s="19" t="s">
        <v>174</v>
      </c>
      <c r="E910" s="19" t="s">
        <v>50</v>
      </c>
      <c r="F910" s="19" t="s">
        <v>503</v>
      </c>
      <c r="G910" s="19" t="s">
        <v>5479</v>
      </c>
      <c r="H910" s="19" t="s">
        <v>5480</v>
      </c>
      <c r="I910" s="19" t="s">
        <v>5481</v>
      </c>
      <c r="J910" s="19" t="n">
        <v>669.11</v>
      </c>
      <c r="K910" s="19" t="s">
        <v>3246</v>
      </c>
      <c r="L910" s="19"/>
      <c r="M910" s="20" t="str">
        <f aca="false">IF(G910&lt;&gt;"","PASS","FAIL - Missing UPC")</f>
        <v>PASS</v>
      </c>
      <c r="N910" s="20" t="str">
        <f aca="false">IF(AND(G910&lt;&gt;"",H910&lt;&gt;""),IF("0"&amp;G910=H910,"PASS","FAIL - GTIN Mismatch"),"SKIP")</f>
        <v>PASS</v>
      </c>
      <c r="O910" s="20" t="str">
        <f aca="false">IF(I910="","FAIL - No Title",IF(LEN(I910)&lt;=126,"PASS","FAIL - Title &gt;"&amp;126&amp;" chars"))</f>
        <v>PASS</v>
      </c>
      <c r="P910" s="20" t="str">
        <f aca="false">IF(J910&gt;0,IF(J910&lt;5000,"PASS","FLAG - Review Price"),"FAIL - Zero Price")</f>
        <v>PASS</v>
      </c>
      <c r="Q910" s="20" t="str">
        <f aca="false">IF('Raw Catalog'!P908&lt;&gt;"","PASS","FAIL - No Image")</f>
        <v>PASS</v>
      </c>
      <c r="R910" s="20" t="str">
        <f aca="false">IF(F910&lt;&gt;"","PASS","FAIL - No Brand")</f>
        <v>PASS</v>
      </c>
      <c r="S910" s="20" t="str">
        <f aca="true">IF(K910="","FAIL - No Date",IF(TODAY()-DATEVALUE(K910)&lt;=180,"PASS","FLAG - Stale &gt;180d"))</f>
        <v>FLAG - Stale &gt;180d</v>
      </c>
      <c r="T910" s="20" t="n">
        <f aca="false">COUNTIF(M910:S910,"FAIL*")+COUNTIF(M910:S910,"FLAG*")</f>
        <v>1</v>
      </c>
      <c r="U910" s="20" t="str">
        <f aca="false">IF(T910=0,"CLEAN",IF(T910=1,"MINOR",IF(T910&lt;=3,"MODERATE","CRITICAL")))</f>
        <v>MINOR</v>
      </c>
      <c r="V910" s="20" t="str">
        <f aca="false">IF(U910="CLEAN","None",IF(U910="MINOR","Seller Notify",IF(U910="MODERATE","Listing Suspended","Immediate Removal")))</f>
        <v>Seller Notify</v>
      </c>
    </row>
    <row r="911" customFormat="false" ht="18" hidden="false" customHeight="true" outlineLevel="0" collapsed="false">
      <c r="A911" s="19" t="s">
        <v>6988</v>
      </c>
      <c r="B911" s="19" t="s">
        <v>5482</v>
      </c>
      <c r="C911" s="19" t="s">
        <v>159</v>
      </c>
      <c r="D911" s="19" t="s">
        <v>160</v>
      </c>
      <c r="E911" s="19" t="s">
        <v>91</v>
      </c>
      <c r="F911" s="19" t="s">
        <v>138</v>
      </c>
      <c r="G911" s="19" t="s">
        <v>5484</v>
      </c>
      <c r="H911" s="19" t="s">
        <v>5485</v>
      </c>
      <c r="I911" s="19" t="s">
        <v>5486</v>
      </c>
      <c r="J911" s="19" t="n">
        <v>2358.33</v>
      </c>
      <c r="K911" s="19" t="s">
        <v>3166</v>
      </c>
      <c r="L911" s="19"/>
      <c r="M911" s="20" t="str">
        <f aca="false">IF(G911&lt;&gt;"","PASS","FAIL - Missing UPC")</f>
        <v>PASS</v>
      </c>
      <c r="N911" s="20" t="str">
        <f aca="false">IF(AND(G911&lt;&gt;"",H911&lt;&gt;""),IF("0"&amp;G911=H911,"PASS","FAIL - GTIN Mismatch"),"SKIP")</f>
        <v>PASS</v>
      </c>
      <c r="O911" s="20" t="str">
        <f aca="false">IF(I911="","FAIL - No Title",IF(LEN(I911)&lt;=126,"PASS","FAIL - Title &gt;"&amp;126&amp;" chars"))</f>
        <v>PASS</v>
      </c>
      <c r="P911" s="20" t="str">
        <f aca="false">IF(J911&gt;0,IF(J911&lt;5000,"PASS","FLAG - Review Price"),"FAIL - Zero Price")</f>
        <v>PASS</v>
      </c>
      <c r="Q911" s="20" t="str">
        <f aca="false">IF('Raw Catalog'!P909&lt;&gt;"","PASS","FAIL - No Image")</f>
        <v>PASS</v>
      </c>
      <c r="R911" s="20" t="str">
        <f aca="false">IF(F911&lt;&gt;"","PASS","FAIL - No Brand")</f>
        <v>PASS</v>
      </c>
      <c r="S911" s="20" t="str">
        <f aca="true">IF(K911="","FAIL - No Date",IF(TODAY()-DATEVALUE(K911)&lt;=180,"PASS","FLAG - Stale &gt;180d"))</f>
        <v>FLAG - Stale &gt;180d</v>
      </c>
      <c r="T911" s="20" t="n">
        <f aca="false">COUNTIF(M911:S911,"FAIL*")+COUNTIF(M911:S911,"FLAG*")</f>
        <v>1</v>
      </c>
      <c r="U911" s="20" t="str">
        <f aca="false">IF(T911=0,"CLEAN",IF(T911=1,"MINOR",IF(T911&lt;=3,"MODERATE","CRITICAL")))</f>
        <v>MINOR</v>
      </c>
      <c r="V911" s="20" t="str">
        <f aca="false">IF(U911="CLEAN","None",IF(U911="MINOR","Seller Notify",IF(U911="MODERATE","Listing Suspended","Immediate Removal")))</f>
        <v>Seller Notify</v>
      </c>
    </row>
    <row r="912" customFormat="false" ht="18" hidden="false" customHeight="true" outlineLevel="0" collapsed="false">
      <c r="A912" s="19" t="s">
        <v>6989</v>
      </c>
      <c r="B912" s="19" t="s">
        <v>5487</v>
      </c>
      <c r="C912" s="19" t="s">
        <v>63</v>
      </c>
      <c r="D912" s="19" t="s">
        <v>64</v>
      </c>
      <c r="E912" s="19" t="s">
        <v>50</v>
      </c>
      <c r="F912" s="19" t="s">
        <v>138</v>
      </c>
      <c r="G912" s="19" t="s">
        <v>5489</v>
      </c>
      <c r="H912" s="19" t="s">
        <v>5490</v>
      </c>
      <c r="I912" s="19" t="s">
        <v>5491</v>
      </c>
      <c r="J912" s="19" t="n">
        <v>389.14</v>
      </c>
      <c r="K912" s="19" t="s">
        <v>768</v>
      </c>
      <c r="L912" s="19"/>
      <c r="M912" s="20" t="str">
        <f aca="false">IF(G912&lt;&gt;"","PASS","FAIL - Missing UPC")</f>
        <v>PASS</v>
      </c>
      <c r="N912" s="20" t="str">
        <f aca="false">IF(AND(G912&lt;&gt;"",H912&lt;&gt;""),IF("0"&amp;G912=H912,"PASS","FAIL - GTIN Mismatch"),"SKIP")</f>
        <v>PASS</v>
      </c>
      <c r="O912" s="20" t="str">
        <f aca="false">IF(I912="","FAIL - No Title",IF(LEN(I912)&lt;=126,"PASS","FAIL - Title &gt;"&amp;126&amp;" chars"))</f>
        <v>PASS</v>
      </c>
      <c r="P912" s="20" t="str">
        <f aca="false">IF(J912&gt;0,IF(J912&lt;5000,"PASS","FLAG - Review Price"),"FAIL - Zero Price")</f>
        <v>PASS</v>
      </c>
      <c r="Q912" s="20" t="str">
        <f aca="false">IF('Raw Catalog'!P910&lt;&gt;"","PASS","FAIL - No Image")</f>
        <v>PASS</v>
      </c>
      <c r="R912" s="20" t="str">
        <f aca="false">IF(F912&lt;&gt;"","PASS","FAIL - No Brand")</f>
        <v>PASS</v>
      </c>
      <c r="S912" s="20" t="str">
        <f aca="true">IF(K912="","FAIL - No Date",IF(TODAY()-DATEVALUE(K912)&lt;=180,"PASS","FLAG - Stale &gt;180d"))</f>
        <v>FLAG - Stale &gt;180d</v>
      </c>
      <c r="T912" s="20" t="n">
        <f aca="false">COUNTIF(M912:S912,"FAIL*")+COUNTIF(M912:S912,"FLAG*")</f>
        <v>1</v>
      </c>
      <c r="U912" s="20" t="str">
        <f aca="false">IF(T912=0,"CLEAN",IF(T912=1,"MINOR",IF(T912&lt;=3,"MODERATE","CRITICAL")))</f>
        <v>MINOR</v>
      </c>
      <c r="V912" s="20" t="str">
        <f aca="false">IF(U912="CLEAN","None",IF(U912="MINOR","Seller Notify",IF(U912="MODERATE","Listing Suspended","Immediate Removal")))</f>
        <v>Seller Notify</v>
      </c>
    </row>
    <row r="913" customFormat="false" ht="18" hidden="false" customHeight="true" outlineLevel="0" collapsed="false">
      <c r="A913" s="19" t="s">
        <v>6990</v>
      </c>
      <c r="B913" s="19" t="s">
        <v>5492</v>
      </c>
      <c r="C913" s="19" t="s">
        <v>159</v>
      </c>
      <c r="D913" s="19" t="s">
        <v>160</v>
      </c>
      <c r="E913" s="19" t="s">
        <v>65</v>
      </c>
      <c r="F913" s="19" t="s">
        <v>390</v>
      </c>
      <c r="G913" s="19" t="s">
        <v>5494</v>
      </c>
      <c r="H913" s="19" t="s">
        <v>5495</v>
      </c>
      <c r="I913" s="19" t="s">
        <v>683</v>
      </c>
      <c r="J913" s="19" t="n">
        <v>360.99</v>
      </c>
      <c r="K913" s="19" t="s">
        <v>5496</v>
      </c>
      <c r="L913" s="19"/>
      <c r="M913" s="20" t="str">
        <f aca="false">IF(G913&lt;&gt;"","PASS","FAIL - Missing UPC")</f>
        <v>PASS</v>
      </c>
      <c r="N913" s="20" t="str">
        <f aca="false">IF(AND(G913&lt;&gt;"",H913&lt;&gt;""),IF("0"&amp;G913=H913,"PASS","FAIL - GTIN Mismatch"),"SKIP")</f>
        <v>PASS</v>
      </c>
      <c r="O913" s="20" t="str">
        <f aca="false">IF(I913="","FAIL - No Title",IF(LEN(I913)&lt;=126,"PASS","FAIL - Title &gt;"&amp;126&amp;" chars"))</f>
        <v>PASS</v>
      </c>
      <c r="P913" s="20" t="str">
        <f aca="false">IF(J913&gt;0,IF(J913&lt;5000,"PASS","FLAG - Review Price"),"FAIL - Zero Price")</f>
        <v>PASS</v>
      </c>
      <c r="Q913" s="20" t="str">
        <f aca="false">IF('Raw Catalog'!P911&lt;&gt;"","PASS","FAIL - No Image")</f>
        <v>PASS</v>
      </c>
      <c r="R913" s="20" t="str">
        <f aca="false">IF(F913&lt;&gt;"","PASS","FAIL - No Brand")</f>
        <v>PASS</v>
      </c>
      <c r="S913" s="20" t="str">
        <f aca="true">IF(K913="","FAIL - No Date",IF(TODAY()-DATEVALUE(K913)&lt;=180,"PASS","FLAG - Stale &gt;180d"))</f>
        <v>FLAG - Stale &gt;180d</v>
      </c>
      <c r="T913" s="20" t="n">
        <f aca="false">COUNTIF(M913:S913,"FAIL*")+COUNTIF(M913:S913,"FLAG*")</f>
        <v>1</v>
      </c>
      <c r="U913" s="20" t="str">
        <f aca="false">IF(T913=0,"CLEAN",IF(T913=1,"MINOR",IF(T913&lt;=3,"MODERATE","CRITICAL")))</f>
        <v>MINOR</v>
      </c>
      <c r="V913" s="20" t="str">
        <f aca="false">IF(U913="CLEAN","None",IF(U913="MINOR","Seller Notify",IF(U913="MODERATE","Listing Suspended","Immediate Removal")))</f>
        <v>Seller Notify</v>
      </c>
    </row>
    <row r="914" customFormat="false" ht="18" hidden="false" customHeight="true" outlineLevel="0" collapsed="false">
      <c r="A914" s="19" t="s">
        <v>6991</v>
      </c>
      <c r="B914" s="19" t="s">
        <v>2256</v>
      </c>
      <c r="C914" s="19" t="s">
        <v>173</v>
      </c>
      <c r="D914" s="19" t="s">
        <v>174</v>
      </c>
      <c r="E914" s="19" t="s">
        <v>79</v>
      </c>
      <c r="F914" s="19" t="s">
        <v>956</v>
      </c>
      <c r="G914" s="19" t="s">
        <v>2258</v>
      </c>
      <c r="H914" s="19" t="s">
        <v>2259</v>
      </c>
      <c r="I914" s="19" t="s">
        <v>2260</v>
      </c>
      <c r="J914" s="19" t="n">
        <v>16973.98</v>
      </c>
      <c r="K914" s="19" t="s">
        <v>2261</v>
      </c>
      <c r="L914" s="21" t="s">
        <v>343</v>
      </c>
      <c r="M914" s="20" t="str">
        <f aca="false">IF(G914&lt;&gt;"","PASS","FAIL - Missing UPC")</f>
        <v>PASS</v>
      </c>
      <c r="N914" s="20" t="str">
        <f aca="false">IF(AND(G914&lt;&gt;"",H914&lt;&gt;""),IF("0"&amp;G914=H914,"PASS","FAIL - GTIN Mismatch"),"SKIP")</f>
        <v>PASS</v>
      </c>
      <c r="O914" s="20" t="str">
        <f aca="false">IF(I914="","FAIL - No Title",IF(LEN(I914)&lt;=126,"PASS","FAIL - Title &gt;"&amp;126&amp;" chars"))</f>
        <v>PASS</v>
      </c>
      <c r="P914" s="20" t="str">
        <f aca="false">IF(J914&gt;0,IF(J914&lt;5000,"PASS","FLAG - Review Price"),"FAIL - Zero Price")</f>
        <v>FLAG - Review Price</v>
      </c>
      <c r="Q914" s="20" t="str">
        <f aca="false">IF('Raw Catalog'!P912&lt;&gt;"","PASS","FAIL - No Image")</f>
        <v>PASS</v>
      </c>
      <c r="R914" s="20" t="str">
        <f aca="false">IF(F914&lt;&gt;"","PASS","FAIL - No Brand")</f>
        <v>PASS</v>
      </c>
      <c r="S914" s="20" t="str">
        <f aca="true">IF(K914="","FAIL - No Date",IF(TODAY()-DATEVALUE(K914)&lt;=180,"PASS","FLAG - Stale &gt;180d"))</f>
        <v>FLAG - Stale &gt;180d</v>
      </c>
      <c r="T914" s="20" t="n">
        <f aca="false">COUNTIF(M914:S914,"FAIL*")+COUNTIF(M914:S914,"FLAG*")</f>
        <v>2</v>
      </c>
      <c r="U914" s="20" t="str">
        <f aca="false">IF(T914=0,"CLEAN",IF(T914=1,"MINOR",IF(T914&lt;=3,"MODERATE","CRITICAL")))</f>
        <v>MODERATE</v>
      </c>
      <c r="V914" s="20" t="str">
        <f aca="false">IF(U914="CLEAN","None",IF(U914="MINOR","Seller Notify",IF(U914="MODERATE","Listing Suspended","Immediate Removal")))</f>
        <v>Listing Suspended</v>
      </c>
    </row>
    <row r="915" customFormat="false" ht="18" hidden="false" customHeight="true" outlineLevel="0" collapsed="false">
      <c r="A915" s="19" t="s">
        <v>6992</v>
      </c>
      <c r="B915" s="19" t="s">
        <v>5497</v>
      </c>
      <c r="C915" s="19" t="s">
        <v>159</v>
      </c>
      <c r="D915" s="19" t="s">
        <v>160</v>
      </c>
      <c r="E915" s="19" t="s">
        <v>65</v>
      </c>
      <c r="F915" s="19" t="s">
        <v>371</v>
      </c>
      <c r="G915" s="19" t="s">
        <v>5499</v>
      </c>
      <c r="H915" s="19" t="s">
        <v>5500</v>
      </c>
      <c r="I915" s="19" t="s">
        <v>1153</v>
      </c>
      <c r="J915" s="19" t="n">
        <v>111.43</v>
      </c>
      <c r="K915" s="19" t="s">
        <v>407</v>
      </c>
      <c r="L915" s="19"/>
      <c r="M915" s="20" t="str">
        <f aca="false">IF(G915&lt;&gt;"","PASS","FAIL - Missing UPC")</f>
        <v>PASS</v>
      </c>
      <c r="N915" s="20" t="str">
        <f aca="false">IF(AND(G915&lt;&gt;"",H915&lt;&gt;""),IF("0"&amp;G915=H915,"PASS","FAIL - GTIN Mismatch"),"SKIP")</f>
        <v>PASS</v>
      </c>
      <c r="O915" s="20" t="str">
        <f aca="false">IF(I915="","FAIL - No Title",IF(LEN(I915)&lt;=126,"PASS","FAIL - Title &gt;"&amp;126&amp;" chars"))</f>
        <v>PASS</v>
      </c>
      <c r="P915" s="20" t="str">
        <f aca="false">IF(J915&gt;0,IF(J915&lt;5000,"PASS","FLAG - Review Price"),"FAIL - Zero Price")</f>
        <v>PASS</v>
      </c>
      <c r="Q915" s="20" t="str">
        <f aca="false">IF('Raw Catalog'!P913&lt;&gt;"","PASS","FAIL - No Image")</f>
        <v>PASS</v>
      </c>
      <c r="R915" s="20" t="str">
        <f aca="false">IF(F915&lt;&gt;"","PASS","FAIL - No Brand")</f>
        <v>PASS</v>
      </c>
      <c r="S915" s="20" t="str">
        <f aca="true">IF(K915="","FAIL - No Date",IF(TODAY()-DATEVALUE(K915)&lt;=180,"PASS","FLAG - Stale &gt;180d"))</f>
        <v>FLAG - Stale &gt;180d</v>
      </c>
      <c r="T915" s="20" t="n">
        <f aca="false">COUNTIF(M915:S915,"FAIL*")+COUNTIF(M915:S915,"FLAG*")</f>
        <v>1</v>
      </c>
      <c r="U915" s="20" t="str">
        <f aca="false">IF(T915=0,"CLEAN",IF(T915=1,"MINOR",IF(T915&lt;=3,"MODERATE","CRITICAL")))</f>
        <v>MINOR</v>
      </c>
      <c r="V915" s="20" t="str">
        <f aca="false">IF(U915="CLEAN","None",IF(U915="MINOR","Seller Notify",IF(U915="MODERATE","Listing Suspended","Immediate Removal")))</f>
        <v>Seller Notify</v>
      </c>
    </row>
    <row r="916" customFormat="false" ht="18" hidden="false" customHeight="true" outlineLevel="0" collapsed="false">
      <c r="A916" s="19" t="s">
        <v>6993</v>
      </c>
      <c r="B916" s="19" t="s">
        <v>5501</v>
      </c>
      <c r="C916" s="19" t="s">
        <v>159</v>
      </c>
      <c r="D916" s="19" t="s">
        <v>160</v>
      </c>
      <c r="E916" s="19" t="s">
        <v>91</v>
      </c>
      <c r="F916" s="19" t="s">
        <v>138</v>
      </c>
      <c r="G916" s="19" t="s">
        <v>5503</v>
      </c>
      <c r="H916" s="19" t="s">
        <v>5504</v>
      </c>
      <c r="I916" s="19" t="s">
        <v>5505</v>
      </c>
      <c r="J916" s="19" t="n">
        <v>1274.98</v>
      </c>
      <c r="K916" s="19" t="s">
        <v>2699</v>
      </c>
      <c r="L916" s="19"/>
      <c r="M916" s="20" t="str">
        <f aca="false">IF(G916&lt;&gt;"","PASS","FAIL - Missing UPC")</f>
        <v>PASS</v>
      </c>
      <c r="N916" s="20" t="str">
        <f aca="false">IF(AND(G916&lt;&gt;"",H916&lt;&gt;""),IF("0"&amp;G916=H916,"PASS","FAIL - GTIN Mismatch"),"SKIP")</f>
        <v>PASS</v>
      </c>
      <c r="O916" s="20" t="str">
        <f aca="false">IF(I916="","FAIL - No Title",IF(LEN(I916)&lt;=126,"PASS","FAIL - Title &gt;"&amp;126&amp;" chars"))</f>
        <v>PASS</v>
      </c>
      <c r="P916" s="20" t="str">
        <f aca="false">IF(J916&gt;0,IF(J916&lt;5000,"PASS","FLAG - Review Price"),"FAIL - Zero Price")</f>
        <v>PASS</v>
      </c>
      <c r="Q916" s="20" t="str">
        <f aca="false">IF('Raw Catalog'!P914&lt;&gt;"","PASS","FAIL - No Image")</f>
        <v>PASS</v>
      </c>
      <c r="R916" s="20" t="str">
        <f aca="false">IF(F916&lt;&gt;"","PASS","FAIL - No Brand")</f>
        <v>PASS</v>
      </c>
      <c r="S916" s="20" t="str">
        <f aca="true">IF(K916="","FAIL - No Date",IF(TODAY()-DATEVALUE(K916)&lt;=180,"PASS","FLAG - Stale &gt;180d"))</f>
        <v>FLAG - Stale &gt;180d</v>
      </c>
      <c r="T916" s="20" t="n">
        <f aca="false">COUNTIF(M916:S916,"FAIL*")+COUNTIF(M916:S916,"FLAG*")</f>
        <v>1</v>
      </c>
      <c r="U916" s="20" t="str">
        <f aca="false">IF(T916=0,"CLEAN",IF(T916=1,"MINOR",IF(T916&lt;=3,"MODERATE","CRITICAL")))</f>
        <v>MINOR</v>
      </c>
      <c r="V916" s="20" t="str">
        <f aca="false">IF(U916="CLEAN","None",IF(U916="MINOR","Seller Notify",IF(U916="MODERATE","Listing Suspended","Immediate Removal")))</f>
        <v>Seller Notify</v>
      </c>
    </row>
    <row r="917" customFormat="false" ht="18" hidden="false" customHeight="true" outlineLevel="0" collapsed="false">
      <c r="A917" s="19" t="s">
        <v>6994</v>
      </c>
      <c r="B917" s="19" t="s">
        <v>5506</v>
      </c>
      <c r="C917" s="19" t="s">
        <v>113</v>
      </c>
      <c r="D917" s="19" t="s">
        <v>114</v>
      </c>
      <c r="E917" s="19" t="s">
        <v>65</v>
      </c>
      <c r="F917" s="19" t="s">
        <v>438</v>
      </c>
      <c r="G917" s="19" t="s">
        <v>5508</v>
      </c>
      <c r="H917" s="19" t="s">
        <v>5509</v>
      </c>
      <c r="I917" s="19" t="s">
        <v>885</v>
      </c>
      <c r="J917" s="19" t="n">
        <v>173.47</v>
      </c>
      <c r="K917" s="19" t="s">
        <v>3451</v>
      </c>
      <c r="L917" s="19"/>
      <c r="M917" s="20" t="str">
        <f aca="false">IF(G917&lt;&gt;"","PASS","FAIL - Missing UPC")</f>
        <v>PASS</v>
      </c>
      <c r="N917" s="20" t="str">
        <f aca="false">IF(AND(G917&lt;&gt;"",H917&lt;&gt;""),IF("0"&amp;G917=H917,"PASS","FAIL - GTIN Mismatch"),"SKIP")</f>
        <v>PASS</v>
      </c>
      <c r="O917" s="20" t="str">
        <f aca="false">IF(I917="","FAIL - No Title",IF(LEN(I917)&lt;=126,"PASS","FAIL - Title &gt;"&amp;126&amp;" chars"))</f>
        <v>PASS</v>
      </c>
      <c r="P917" s="20" t="str">
        <f aca="false">IF(J917&gt;0,IF(J917&lt;5000,"PASS","FLAG - Review Price"),"FAIL - Zero Price")</f>
        <v>PASS</v>
      </c>
      <c r="Q917" s="20" t="str">
        <f aca="false">IF('Raw Catalog'!P915&lt;&gt;"","PASS","FAIL - No Image")</f>
        <v>PASS</v>
      </c>
      <c r="R917" s="20" t="str">
        <f aca="false">IF(F917&lt;&gt;"","PASS","FAIL - No Brand")</f>
        <v>PASS</v>
      </c>
      <c r="S917" s="20" t="str">
        <f aca="true">IF(K917="","FAIL - No Date",IF(TODAY()-DATEVALUE(K917)&lt;=180,"PASS","FLAG - Stale &gt;180d"))</f>
        <v>FLAG - Stale &gt;180d</v>
      </c>
      <c r="T917" s="20" t="n">
        <f aca="false">COUNTIF(M917:S917,"FAIL*")+COUNTIF(M917:S917,"FLAG*")</f>
        <v>1</v>
      </c>
      <c r="U917" s="20" t="str">
        <f aca="false">IF(T917=0,"CLEAN",IF(T917=1,"MINOR",IF(T917&lt;=3,"MODERATE","CRITICAL")))</f>
        <v>MINOR</v>
      </c>
      <c r="V917" s="20" t="str">
        <f aca="false">IF(U917="CLEAN","None",IF(U917="MINOR","Seller Notify",IF(U917="MODERATE","Listing Suspended","Immediate Removal")))</f>
        <v>Seller Notify</v>
      </c>
    </row>
    <row r="918" customFormat="false" ht="18" hidden="false" customHeight="true" outlineLevel="0" collapsed="false">
      <c r="A918" s="19" t="s">
        <v>6995</v>
      </c>
      <c r="B918" s="19" t="s">
        <v>5510</v>
      </c>
      <c r="C918" s="19" t="s">
        <v>125</v>
      </c>
      <c r="D918" s="19" t="s">
        <v>126</v>
      </c>
      <c r="E918" s="19" t="s">
        <v>161</v>
      </c>
      <c r="F918" s="19" t="s">
        <v>306</v>
      </c>
      <c r="G918" s="19" t="s">
        <v>5512</v>
      </c>
      <c r="H918" s="19" t="s">
        <v>5513</v>
      </c>
      <c r="I918" s="19" t="s">
        <v>5514</v>
      </c>
      <c r="J918" s="19" t="n">
        <v>138.24</v>
      </c>
      <c r="K918" s="19" t="s">
        <v>5515</v>
      </c>
      <c r="L918" s="21" t="s">
        <v>778</v>
      </c>
      <c r="M918" s="20" t="str">
        <f aca="false">IF(G918&lt;&gt;"","PASS","FAIL - Missing UPC")</f>
        <v>PASS</v>
      </c>
      <c r="N918" s="20" t="str">
        <f aca="false">IF(AND(G918&lt;&gt;"",H918&lt;&gt;""),IF("0"&amp;G918=H918,"PASS","FAIL - GTIN Mismatch"),"SKIP")</f>
        <v>PASS</v>
      </c>
      <c r="O918" s="20" t="str">
        <f aca="false">IF(I918="","FAIL - No Title",IF(LEN(I918)&lt;=126,"PASS","FAIL - Title &gt;"&amp;126&amp;" chars"))</f>
        <v>FAIL - Title &gt;126 chars</v>
      </c>
      <c r="P918" s="20" t="str">
        <f aca="false">IF(J918&gt;0,IF(J918&lt;5000,"PASS","FLAG - Review Price"),"FAIL - Zero Price")</f>
        <v>PASS</v>
      </c>
      <c r="Q918" s="20" t="str">
        <f aca="false">IF('Raw Catalog'!P916&lt;&gt;"","PASS","FAIL - No Image")</f>
        <v>PASS</v>
      </c>
      <c r="R918" s="20" t="str">
        <f aca="false">IF(F918&lt;&gt;"","PASS","FAIL - No Brand")</f>
        <v>PASS</v>
      </c>
      <c r="S918" s="20" t="str">
        <f aca="true">IF(K918="","FAIL - No Date",IF(TODAY()-DATEVALUE(K918)&lt;=180,"PASS","FLAG - Stale &gt;180d"))</f>
        <v>FLAG - Stale &gt;180d</v>
      </c>
      <c r="T918" s="20" t="n">
        <f aca="false">COUNTIF(M918:S918,"FAIL*")+COUNTIF(M918:S918,"FLAG*")</f>
        <v>2</v>
      </c>
      <c r="U918" s="20" t="str">
        <f aca="false">IF(T918=0,"CLEAN",IF(T918=1,"MINOR",IF(T918&lt;=3,"MODERATE","CRITICAL")))</f>
        <v>MODERATE</v>
      </c>
      <c r="V918" s="20" t="str">
        <f aca="false">IF(U918="CLEAN","None",IF(U918="MINOR","Seller Notify",IF(U918="MODERATE","Listing Suspended","Immediate Removal")))</f>
        <v>Listing Suspended</v>
      </c>
    </row>
    <row r="919" customFormat="false" ht="18" hidden="false" customHeight="true" outlineLevel="0" collapsed="false">
      <c r="A919" s="19" t="s">
        <v>6996</v>
      </c>
      <c r="B919" s="19" t="s">
        <v>5516</v>
      </c>
      <c r="C919" s="19" t="s">
        <v>125</v>
      </c>
      <c r="D919" s="19" t="s">
        <v>126</v>
      </c>
      <c r="E919" s="19" t="s">
        <v>79</v>
      </c>
      <c r="F919" s="19" t="s">
        <v>956</v>
      </c>
      <c r="G919" s="19" t="s">
        <v>5518</v>
      </c>
      <c r="H919" s="19" t="s">
        <v>5519</v>
      </c>
      <c r="I919" s="19" t="s">
        <v>5520</v>
      </c>
      <c r="J919" s="19" t="n">
        <v>1773.65</v>
      </c>
      <c r="K919" s="19" t="s">
        <v>1611</v>
      </c>
      <c r="L919" s="19"/>
      <c r="M919" s="20" t="str">
        <f aca="false">IF(G919&lt;&gt;"","PASS","FAIL - Missing UPC")</f>
        <v>PASS</v>
      </c>
      <c r="N919" s="20" t="str">
        <f aca="false">IF(AND(G919&lt;&gt;"",H919&lt;&gt;""),IF("0"&amp;G919=H919,"PASS","FAIL - GTIN Mismatch"),"SKIP")</f>
        <v>PASS</v>
      </c>
      <c r="O919" s="20" t="str">
        <f aca="false">IF(I919="","FAIL - No Title",IF(LEN(I919)&lt;=126,"PASS","FAIL - Title &gt;"&amp;126&amp;" chars"))</f>
        <v>PASS</v>
      </c>
      <c r="P919" s="20" t="str">
        <f aca="false">IF(J919&gt;0,IF(J919&lt;5000,"PASS","FLAG - Review Price"),"FAIL - Zero Price")</f>
        <v>PASS</v>
      </c>
      <c r="Q919" s="20" t="str">
        <f aca="false">IF('Raw Catalog'!P917&lt;&gt;"","PASS","FAIL - No Image")</f>
        <v>PASS</v>
      </c>
      <c r="R919" s="20" t="str">
        <f aca="false">IF(F919&lt;&gt;"","PASS","FAIL - No Brand")</f>
        <v>PASS</v>
      </c>
      <c r="S919" s="20" t="str">
        <f aca="true">IF(K919="","FAIL - No Date",IF(TODAY()-DATEVALUE(K919)&lt;=180,"PASS","FLAG - Stale &gt;180d"))</f>
        <v>FLAG - Stale &gt;180d</v>
      </c>
      <c r="T919" s="20" t="n">
        <f aca="false">COUNTIF(M919:S919,"FAIL*")+COUNTIF(M919:S919,"FLAG*")</f>
        <v>1</v>
      </c>
      <c r="U919" s="20" t="str">
        <f aca="false">IF(T919=0,"CLEAN",IF(T919=1,"MINOR",IF(T919&lt;=3,"MODERATE","CRITICAL")))</f>
        <v>MINOR</v>
      </c>
      <c r="V919" s="20" t="str">
        <f aca="false">IF(U919="CLEAN","None",IF(U919="MINOR","Seller Notify",IF(U919="MODERATE","Listing Suspended","Immediate Removal")))</f>
        <v>Seller Notify</v>
      </c>
    </row>
    <row r="920" customFormat="false" ht="18" hidden="false" customHeight="true" outlineLevel="0" collapsed="false">
      <c r="A920" s="19" t="s">
        <v>6997</v>
      </c>
      <c r="B920" s="19" t="s">
        <v>5521</v>
      </c>
      <c r="C920" s="19" t="s">
        <v>63</v>
      </c>
      <c r="D920" s="19" t="s">
        <v>64</v>
      </c>
      <c r="E920" s="19" t="s">
        <v>50</v>
      </c>
      <c r="F920" s="19" t="s">
        <v>138</v>
      </c>
      <c r="G920" s="19" t="s">
        <v>5523</v>
      </c>
      <c r="H920" s="19" t="s">
        <v>5524</v>
      </c>
      <c r="I920" s="19" t="s">
        <v>2989</v>
      </c>
      <c r="J920" s="19" t="n">
        <v>1172.28</v>
      </c>
      <c r="K920" s="19" t="s">
        <v>1202</v>
      </c>
      <c r="L920" s="19"/>
      <c r="M920" s="20" t="str">
        <f aca="false">IF(G920&lt;&gt;"","PASS","FAIL - Missing UPC")</f>
        <v>PASS</v>
      </c>
      <c r="N920" s="20" t="str">
        <f aca="false">IF(AND(G920&lt;&gt;"",H920&lt;&gt;""),IF("0"&amp;G920=H920,"PASS","FAIL - GTIN Mismatch"),"SKIP")</f>
        <v>PASS</v>
      </c>
      <c r="O920" s="20" t="str">
        <f aca="false">IF(I920="","FAIL - No Title",IF(LEN(I920)&lt;=126,"PASS","FAIL - Title &gt;"&amp;126&amp;" chars"))</f>
        <v>PASS</v>
      </c>
      <c r="P920" s="20" t="str">
        <f aca="false">IF(J920&gt;0,IF(J920&lt;5000,"PASS","FLAG - Review Price"),"FAIL - Zero Price")</f>
        <v>PASS</v>
      </c>
      <c r="Q920" s="20" t="str">
        <f aca="false">IF('Raw Catalog'!P918&lt;&gt;"","PASS","FAIL - No Image")</f>
        <v>PASS</v>
      </c>
      <c r="R920" s="20" t="str">
        <f aca="false">IF(F920&lt;&gt;"","PASS","FAIL - No Brand")</f>
        <v>PASS</v>
      </c>
      <c r="S920" s="20" t="str">
        <f aca="true">IF(K920="","FAIL - No Date",IF(TODAY()-DATEVALUE(K920)&lt;=180,"PASS","FLAG - Stale &gt;180d"))</f>
        <v>FLAG - Stale &gt;180d</v>
      </c>
      <c r="T920" s="20" t="n">
        <f aca="false">COUNTIF(M920:S920,"FAIL*")+COUNTIF(M920:S920,"FLAG*")</f>
        <v>1</v>
      </c>
      <c r="U920" s="20" t="str">
        <f aca="false">IF(T920=0,"CLEAN",IF(T920=1,"MINOR",IF(T920&lt;=3,"MODERATE","CRITICAL")))</f>
        <v>MINOR</v>
      </c>
      <c r="V920" s="20" t="str">
        <f aca="false">IF(U920="CLEAN","None",IF(U920="MINOR","Seller Notify",IF(U920="MODERATE","Listing Suspended","Immediate Removal")))</f>
        <v>Seller Notify</v>
      </c>
    </row>
    <row r="921" customFormat="false" ht="18" hidden="false" customHeight="true" outlineLevel="0" collapsed="false">
      <c r="A921" s="19" t="s">
        <v>6998</v>
      </c>
      <c r="B921" s="19" t="s">
        <v>5525</v>
      </c>
      <c r="C921" s="19" t="s">
        <v>173</v>
      </c>
      <c r="D921" s="19" t="s">
        <v>174</v>
      </c>
      <c r="E921" s="19" t="s">
        <v>50</v>
      </c>
      <c r="F921" s="19" t="s">
        <v>138</v>
      </c>
      <c r="G921" s="19" t="s">
        <v>5527</v>
      </c>
      <c r="H921" s="19" t="s">
        <v>5528</v>
      </c>
      <c r="I921" s="19" t="s">
        <v>4694</v>
      </c>
      <c r="J921" s="19" t="n">
        <v>914.99</v>
      </c>
      <c r="K921" s="19" t="s">
        <v>829</v>
      </c>
      <c r="L921" s="19"/>
      <c r="M921" s="20" t="str">
        <f aca="false">IF(G921&lt;&gt;"","PASS","FAIL - Missing UPC")</f>
        <v>PASS</v>
      </c>
      <c r="N921" s="20" t="str">
        <f aca="false">IF(AND(G921&lt;&gt;"",H921&lt;&gt;""),IF("0"&amp;G921=H921,"PASS","FAIL - GTIN Mismatch"),"SKIP")</f>
        <v>PASS</v>
      </c>
      <c r="O921" s="20" t="str">
        <f aca="false">IF(I921="","FAIL - No Title",IF(LEN(I921)&lt;=126,"PASS","FAIL - Title &gt;"&amp;126&amp;" chars"))</f>
        <v>PASS</v>
      </c>
      <c r="P921" s="20" t="str">
        <f aca="false">IF(J921&gt;0,IF(J921&lt;5000,"PASS","FLAG - Review Price"),"FAIL - Zero Price")</f>
        <v>PASS</v>
      </c>
      <c r="Q921" s="20" t="str">
        <f aca="false">IF('Raw Catalog'!P919&lt;&gt;"","PASS","FAIL - No Image")</f>
        <v>PASS</v>
      </c>
      <c r="R921" s="20" t="str">
        <f aca="false">IF(F921&lt;&gt;"","PASS","FAIL - No Brand")</f>
        <v>PASS</v>
      </c>
      <c r="S921" s="20" t="str">
        <f aca="true">IF(K921="","FAIL - No Date",IF(TODAY()-DATEVALUE(K921)&lt;=180,"PASS","FLAG - Stale &gt;180d"))</f>
        <v>FLAG - Stale &gt;180d</v>
      </c>
      <c r="T921" s="20" t="n">
        <f aca="false">COUNTIF(M921:S921,"FAIL*")+COUNTIF(M921:S921,"FLAG*")</f>
        <v>1</v>
      </c>
      <c r="U921" s="20" t="str">
        <f aca="false">IF(T921=0,"CLEAN",IF(T921=1,"MINOR",IF(T921&lt;=3,"MODERATE","CRITICAL")))</f>
        <v>MINOR</v>
      </c>
      <c r="V921" s="20" t="str">
        <f aca="false">IF(U921="CLEAN","None",IF(U921="MINOR","Seller Notify",IF(U921="MODERATE","Listing Suspended","Immediate Removal")))</f>
        <v>Seller Notify</v>
      </c>
    </row>
    <row r="922" customFormat="false" ht="18" hidden="false" customHeight="true" outlineLevel="0" collapsed="false">
      <c r="A922" s="19" t="s">
        <v>6999</v>
      </c>
      <c r="B922" s="19" t="s">
        <v>5529</v>
      </c>
      <c r="C922" s="19" t="s">
        <v>48</v>
      </c>
      <c r="D922" s="19" t="s">
        <v>49</v>
      </c>
      <c r="E922" s="19" t="s">
        <v>50</v>
      </c>
      <c r="F922" s="19" t="s">
        <v>115</v>
      </c>
      <c r="G922" s="19" t="s">
        <v>5531</v>
      </c>
      <c r="H922" s="19" t="s">
        <v>5532</v>
      </c>
      <c r="I922" s="19" t="s">
        <v>5533</v>
      </c>
      <c r="J922" s="19" t="n">
        <v>804.91</v>
      </c>
      <c r="K922" s="19" t="s">
        <v>5534</v>
      </c>
      <c r="L922" s="21" t="s">
        <v>325</v>
      </c>
      <c r="M922" s="20" t="str">
        <f aca="false">IF(G922&lt;&gt;"","PASS","FAIL - Missing UPC")</f>
        <v>PASS</v>
      </c>
      <c r="N922" s="20" t="str">
        <f aca="false">IF(AND(G922&lt;&gt;"",H922&lt;&gt;""),IF("0"&amp;G922=H922,"PASS","FAIL - GTIN Mismatch"),"SKIP")</f>
        <v>PASS</v>
      </c>
      <c r="O922" s="20" t="str">
        <f aca="false">IF(I922="","FAIL - No Title",IF(LEN(I922)&lt;=126,"PASS","FAIL - Title &gt;"&amp;126&amp;" chars"))</f>
        <v>PASS</v>
      </c>
      <c r="P922" s="20" t="str">
        <f aca="false">IF(J922&gt;0,IF(J922&lt;5000,"PASS","FLAG - Review Price"),"FAIL - Zero Price")</f>
        <v>PASS</v>
      </c>
      <c r="Q922" s="20" t="str">
        <f aca="false">IF('Raw Catalog'!P920&lt;&gt;"","PASS","FAIL - No Image")</f>
        <v>PASS</v>
      </c>
      <c r="R922" s="20" t="str">
        <f aca="false">IF(F922&lt;&gt;"","PASS","FAIL - No Brand")</f>
        <v>PASS</v>
      </c>
      <c r="S922" s="20" t="str">
        <f aca="true">IF(K922="","FAIL - No Date",IF(TODAY()-DATEVALUE(K922)&lt;=180,"PASS","FLAG - Stale &gt;180d"))</f>
        <v>FLAG - Stale &gt;180d</v>
      </c>
      <c r="T922" s="20" t="n">
        <f aca="false">COUNTIF(M922:S922,"FAIL*")+COUNTIF(M922:S922,"FLAG*")</f>
        <v>1</v>
      </c>
      <c r="U922" s="20" t="str">
        <f aca="false">IF(T922=0,"CLEAN",IF(T922=1,"MINOR",IF(T922&lt;=3,"MODERATE","CRITICAL")))</f>
        <v>MINOR</v>
      </c>
      <c r="V922" s="20" t="str">
        <f aca="false">IF(U922="CLEAN","None",IF(U922="MINOR","Seller Notify",IF(U922="MODERATE","Listing Suspended","Immediate Removal")))</f>
        <v>Seller Notify</v>
      </c>
    </row>
    <row r="923" customFormat="false" ht="18" hidden="false" customHeight="true" outlineLevel="0" collapsed="false">
      <c r="A923" s="19" t="s">
        <v>7000</v>
      </c>
      <c r="B923" s="19" t="s">
        <v>5535</v>
      </c>
      <c r="C923" s="19" t="s">
        <v>159</v>
      </c>
      <c r="D923" s="19" t="s">
        <v>160</v>
      </c>
      <c r="E923" s="19" t="s">
        <v>79</v>
      </c>
      <c r="F923" s="19" t="s">
        <v>1531</v>
      </c>
      <c r="G923" s="19" t="s">
        <v>5537</v>
      </c>
      <c r="H923" s="19" t="s">
        <v>5538</v>
      </c>
      <c r="I923" s="19" t="s">
        <v>5539</v>
      </c>
      <c r="J923" s="19" t="n">
        <v>1300.71</v>
      </c>
      <c r="K923" s="19" t="s">
        <v>3288</v>
      </c>
      <c r="L923" s="19"/>
      <c r="M923" s="20" t="str">
        <f aca="false">IF(G923&lt;&gt;"","PASS","FAIL - Missing UPC")</f>
        <v>PASS</v>
      </c>
      <c r="N923" s="20" t="str">
        <f aca="false">IF(AND(G923&lt;&gt;"",H923&lt;&gt;""),IF("0"&amp;G923=H923,"PASS","FAIL - GTIN Mismatch"),"SKIP")</f>
        <v>PASS</v>
      </c>
      <c r="O923" s="20" t="str">
        <f aca="false">IF(I923="","FAIL - No Title",IF(LEN(I923)&lt;=126,"PASS","FAIL - Title &gt;"&amp;126&amp;" chars"))</f>
        <v>PASS</v>
      </c>
      <c r="P923" s="20" t="str">
        <f aca="false">IF(J923&gt;0,IF(J923&lt;5000,"PASS","FLAG - Review Price"),"FAIL - Zero Price")</f>
        <v>PASS</v>
      </c>
      <c r="Q923" s="20" t="str">
        <f aca="false">IF('Raw Catalog'!P921&lt;&gt;"","PASS","FAIL - No Image")</f>
        <v>PASS</v>
      </c>
      <c r="R923" s="20" t="str">
        <f aca="false">IF(F923&lt;&gt;"","PASS","FAIL - No Brand")</f>
        <v>PASS</v>
      </c>
      <c r="S923" s="20" t="str">
        <f aca="true">IF(K923="","FAIL - No Date",IF(TODAY()-DATEVALUE(K923)&lt;=180,"PASS","FLAG - Stale &gt;180d"))</f>
        <v>FLAG - Stale &gt;180d</v>
      </c>
      <c r="T923" s="20" t="n">
        <f aca="false">COUNTIF(M923:S923,"FAIL*")+COUNTIF(M923:S923,"FLAG*")</f>
        <v>1</v>
      </c>
      <c r="U923" s="20" t="str">
        <f aca="false">IF(T923=0,"CLEAN",IF(T923=1,"MINOR",IF(T923&lt;=3,"MODERATE","CRITICAL")))</f>
        <v>MINOR</v>
      </c>
      <c r="V923" s="20" t="str">
        <f aca="false">IF(U923="CLEAN","None",IF(U923="MINOR","Seller Notify",IF(U923="MODERATE","Listing Suspended","Immediate Removal")))</f>
        <v>Seller Notify</v>
      </c>
    </row>
    <row r="924" customFormat="false" ht="18" hidden="false" customHeight="true" outlineLevel="0" collapsed="false">
      <c r="A924" s="19" t="s">
        <v>7001</v>
      </c>
      <c r="B924" s="19" t="s">
        <v>5543</v>
      </c>
      <c r="C924" s="19" t="s">
        <v>48</v>
      </c>
      <c r="D924" s="19" t="s">
        <v>49</v>
      </c>
      <c r="E924" s="19" t="s">
        <v>65</v>
      </c>
      <c r="F924" s="19" t="s">
        <v>371</v>
      </c>
      <c r="G924" s="19" t="s">
        <v>5545</v>
      </c>
      <c r="H924" s="19" t="s">
        <v>5546</v>
      </c>
      <c r="I924" s="19"/>
      <c r="J924" s="19" t="n">
        <v>479.68</v>
      </c>
      <c r="K924" s="19" t="s">
        <v>2224</v>
      </c>
      <c r="L924" s="21" t="s">
        <v>243</v>
      </c>
      <c r="M924" s="20" t="str">
        <f aca="false">IF(G924&lt;&gt;"","PASS","FAIL - Missing UPC")</f>
        <v>PASS</v>
      </c>
      <c r="N924" s="20" t="str">
        <f aca="false">IF(AND(G924&lt;&gt;"",H924&lt;&gt;""),IF("0"&amp;G924=H924,"PASS","FAIL - GTIN Mismatch"),"SKIP")</f>
        <v>FAIL - GTIN Mismatch</v>
      </c>
      <c r="O924" s="20" t="str">
        <f aca="false">IF(I924="","FAIL - No Title",IF(LEN(I924)&lt;=126,"PASS","FAIL - Title &gt;"&amp;126&amp;" chars"))</f>
        <v>FAIL - No Title</v>
      </c>
      <c r="P924" s="20" t="str">
        <f aca="false">IF(J924&gt;0,IF(J924&lt;5000,"PASS","FLAG - Review Price"),"FAIL - Zero Price")</f>
        <v>PASS</v>
      </c>
      <c r="Q924" s="20" t="str">
        <f aca="false">IF('Raw Catalog'!P922&lt;&gt;"","PASS","FAIL - No Image")</f>
        <v>PASS</v>
      </c>
      <c r="R924" s="20" t="str">
        <f aca="false">IF(F924&lt;&gt;"","PASS","FAIL - No Brand")</f>
        <v>PASS</v>
      </c>
      <c r="S924" s="20" t="str">
        <f aca="true">IF(K924="","FAIL - No Date",IF(TODAY()-DATEVALUE(K924)&lt;=180,"PASS","FLAG - Stale &gt;180d"))</f>
        <v>FLAG - Stale &gt;180d</v>
      </c>
      <c r="T924" s="20" t="n">
        <f aca="false">COUNTIF(M924:S924,"FAIL*")+COUNTIF(M924:S924,"FLAG*")</f>
        <v>3</v>
      </c>
      <c r="U924" s="20" t="str">
        <f aca="false">IF(T924=0,"CLEAN",IF(T924=1,"MINOR",IF(T924&lt;=3,"MODERATE","CRITICAL")))</f>
        <v>MODERATE</v>
      </c>
      <c r="V924" s="20" t="str">
        <f aca="false">IF(U924="CLEAN","None",IF(U924="MINOR","Seller Notify",IF(U924="MODERATE","Listing Suspended","Immediate Removal")))</f>
        <v>Listing Suspended</v>
      </c>
    </row>
    <row r="925" customFormat="false" ht="18" hidden="false" customHeight="true" outlineLevel="0" collapsed="false">
      <c r="A925" s="19" t="s">
        <v>7002</v>
      </c>
      <c r="B925" s="19" t="s">
        <v>5549</v>
      </c>
      <c r="C925" s="19" t="s">
        <v>255</v>
      </c>
      <c r="D925" s="19" t="s">
        <v>256</v>
      </c>
      <c r="E925" s="19" t="s">
        <v>79</v>
      </c>
      <c r="F925" s="19" t="s">
        <v>51</v>
      </c>
      <c r="G925" s="19" t="s">
        <v>5551</v>
      </c>
      <c r="H925" s="19" t="s">
        <v>5552</v>
      </c>
      <c r="I925" s="19" t="s">
        <v>5553</v>
      </c>
      <c r="J925" s="19" t="n">
        <v>2391.27</v>
      </c>
      <c r="K925" s="19" t="s">
        <v>3754</v>
      </c>
      <c r="L925" s="19"/>
      <c r="M925" s="20" t="str">
        <f aca="false">IF(G925&lt;&gt;"","PASS","FAIL - Missing UPC")</f>
        <v>PASS</v>
      </c>
      <c r="N925" s="20" t="str">
        <f aca="false">IF(AND(G925&lt;&gt;"",H925&lt;&gt;""),IF("0"&amp;G925=H925,"PASS","FAIL - GTIN Mismatch"),"SKIP")</f>
        <v>PASS</v>
      </c>
      <c r="O925" s="20" t="str">
        <f aca="false">IF(I925="","FAIL - No Title",IF(LEN(I925)&lt;=126,"PASS","FAIL - Title &gt;"&amp;126&amp;" chars"))</f>
        <v>PASS</v>
      </c>
      <c r="P925" s="20" t="str">
        <f aca="false">IF(J925&gt;0,IF(J925&lt;5000,"PASS","FLAG - Review Price"),"FAIL - Zero Price")</f>
        <v>PASS</v>
      </c>
      <c r="Q925" s="20" t="str">
        <f aca="false">IF('Raw Catalog'!P923&lt;&gt;"","PASS","FAIL - No Image")</f>
        <v>PASS</v>
      </c>
      <c r="R925" s="20" t="str">
        <f aca="false">IF(F925&lt;&gt;"","PASS","FAIL - No Brand")</f>
        <v>PASS</v>
      </c>
      <c r="S925" s="20" t="str">
        <f aca="true">IF(K925="","FAIL - No Date",IF(TODAY()-DATEVALUE(K925)&lt;=180,"PASS","FLAG - Stale &gt;180d"))</f>
        <v>FLAG - Stale &gt;180d</v>
      </c>
      <c r="T925" s="20" t="n">
        <f aca="false">COUNTIF(M925:S925,"FAIL*")+COUNTIF(M925:S925,"FLAG*")</f>
        <v>1</v>
      </c>
      <c r="U925" s="20" t="str">
        <f aca="false">IF(T925=0,"CLEAN",IF(T925=1,"MINOR",IF(T925&lt;=3,"MODERATE","CRITICAL")))</f>
        <v>MINOR</v>
      </c>
      <c r="V925" s="20" t="str">
        <f aca="false">IF(U925="CLEAN","None",IF(U925="MINOR","Seller Notify",IF(U925="MODERATE","Listing Suspended","Immediate Removal")))</f>
        <v>Seller Notify</v>
      </c>
    </row>
    <row r="926" customFormat="false" ht="18" hidden="false" customHeight="true" outlineLevel="0" collapsed="false">
      <c r="A926" s="19" t="s">
        <v>7003</v>
      </c>
      <c r="B926" s="19" t="s">
        <v>5554</v>
      </c>
      <c r="C926" s="19" t="s">
        <v>159</v>
      </c>
      <c r="D926" s="19" t="s">
        <v>160</v>
      </c>
      <c r="E926" s="19" t="s">
        <v>50</v>
      </c>
      <c r="F926" s="19" t="s">
        <v>115</v>
      </c>
      <c r="G926" s="19" t="s">
        <v>5556</v>
      </c>
      <c r="H926" s="19" t="s">
        <v>5557</v>
      </c>
      <c r="I926" s="19" t="s">
        <v>4971</v>
      </c>
      <c r="J926" s="19" t="n">
        <v>563.92</v>
      </c>
      <c r="K926" s="19" t="s">
        <v>1267</v>
      </c>
      <c r="L926" s="19"/>
      <c r="M926" s="20" t="str">
        <f aca="false">IF(G926&lt;&gt;"","PASS","FAIL - Missing UPC")</f>
        <v>PASS</v>
      </c>
      <c r="N926" s="20" t="str">
        <f aca="false">IF(AND(G926&lt;&gt;"",H926&lt;&gt;""),IF("0"&amp;G926=H926,"PASS","FAIL - GTIN Mismatch"),"SKIP")</f>
        <v>PASS</v>
      </c>
      <c r="O926" s="20" t="str">
        <f aca="false">IF(I926="","FAIL - No Title",IF(LEN(I926)&lt;=126,"PASS","FAIL - Title &gt;"&amp;126&amp;" chars"))</f>
        <v>PASS</v>
      </c>
      <c r="P926" s="20" t="str">
        <f aca="false">IF(J926&gt;0,IF(J926&lt;5000,"PASS","FLAG - Review Price"),"FAIL - Zero Price")</f>
        <v>PASS</v>
      </c>
      <c r="Q926" s="20" t="str">
        <f aca="false">IF('Raw Catalog'!P924&lt;&gt;"","PASS","FAIL - No Image")</f>
        <v>PASS</v>
      </c>
      <c r="R926" s="20" t="str">
        <f aca="false">IF(F926&lt;&gt;"","PASS","FAIL - No Brand")</f>
        <v>PASS</v>
      </c>
      <c r="S926" s="20" t="str">
        <f aca="true">IF(K926="","FAIL - No Date",IF(TODAY()-DATEVALUE(K926)&lt;=180,"PASS","FLAG - Stale &gt;180d"))</f>
        <v>FLAG - Stale &gt;180d</v>
      </c>
      <c r="T926" s="20" t="n">
        <f aca="false">COUNTIF(M926:S926,"FAIL*")+COUNTIF(M926:S926,"FLAG*")</f>
        <v>1</v>
      </c>
      <c r="U926" s="20" t="str">
        <f aca="false">IF(T926=0,"CLEAN",IF(T926=1,"MINOR",IF(T926&lt;=3,"MODERATE","CRITICAL")))</f>
        <v>MINOR</v>
      </c>
      <c r="V926" s="20" t="str">
        <f aca="false">IF(U926="CLEAN","None",IF(U926="MINOR","Seller Notify",IF(U926="MODERATE","Listing Suspended","Immediate Removal")))</f>
        <v>Seller Notify</v>
      </c>
    </row>
    <row r="927" customFormat="false" ht="18" hidden="false" customHeight="true" outlineLevel="0" collapsed="false">
      <c r="A927" s="19" t="s">
        <v>7004</v>
      </c>
      <c r="B927" s="19" t="s">
        <v>5558</v>
      </c>
      <c r="C927" s="19" t="s">
        <v>159</v>
      </c>
      <c r="D927" s="19" t="s">
        <v>160</v>
      </c>
      <c r="E927" s="19" t="s">
        <v>79</v>
      </c>
      <c r="F927" s="19" t="s">
        <v>51</v>
      </c>
      <c r="G927" s="19" t="s">
        <v>5560</v>
      </c>
      <c r="H927" s="19" t="s">
        <v>5561</v>
      </c>
      <c r="I927" s="19" t="s">
        <v>5562</v>
      </c>
      <c r="J927" s="19" t="n">
        <v>1071.85</v>
      </c>
      <c r="K927" s="19" t="s">
        <v>445</v>
      </c>
      <c r="L927" s="19"/>
      <c r="M927" s="20" t="str">
        <f aca="false">IF(G927&lt;&gt;"","PASS","FAIL - Missing UPC")</f>
        <v>PASS</v>
      </c>
      <c r="N927" s="20" t="str">
        <f aca="false">IF(AND(G927&lt;&gt;"",H927&lt;&gt;""),IF("0"&amp;G927=H927,"PASS","FAIL - GTIN Mismatch"),"SKIP")</f>
        <v>PASS</v>
      </c>
      <c r="O927" s="20" t="str">
        <f aca="false">IF(I927="","FAIL - No Title",IF(LEN(I927)&lt;=126,"PASS","FAIL - Title &gt;"&amp;126&amp;" chars"))</f>
        <v>PASS</v>
      </c>
      <c r="P927" s="20" t="str">
        <f aca="false">IF(J927&gt;0,IF(J927&lt;5000,"PASS","FLAG - Review Price"),"FAIL - Zero Price")</f>
        <v>PASS</v>
      </c>
      <c r="Q927" s="20" t="str">
        <f aca="false">IF('Raw Catalog'!P925&lt;&gt;"","PASS","FAIL - No Image")</f>
        <v>PASS</v>
      </c>
      <c r="R927" s="20" t="str">
        <f aca="false">IF(F927&lt;&gt;"","PASS","FAIL - No Brand")</f>
        <v>PASS</v>
      </c>
      <c r="S927" s="20" t="str">
        <f aca="true">IF(K927="","FAIL - No Date",IF(TODAY()-DATEVALUE(K927)&lt;=180,"PASS","FLAG - Stale &gt;180d"))</f>
        <v>FLAG - Stale &gt;180d</v>
      </c>
      <c r="T927" s="20" t="n">
        <f aca="false">COUNTIF(M927:S927,"FAIL*")+COUNTIF(M927:S927,"FLAG*")</f>
        <v>1</v>
      </c>
      <c r="U927" s="20" t="str">
        <f aca="false">IF(T927=0,"CLEAN",IF(T927=1,"MINOR",IF(T927&lt;=3,"MODERATE","CRITICAL")))</f>
        <v>MINOR</v>
      </c>
      <c r="V927" s="20" t="str">
        <f aca="false">IF(U927="CLEAN","None",IF(U927="MINOR","Seller Notify",IF(U927="MODERATE","Listing Suspended","Immediate Removal")))</f>
        <v>Seller Notify</v>
      </c>
    </row>
    <row r="928" customFormat="false" ht="18" hidden="false" customHeight="true" outlineLevel="0" collapsed="false">
      <c r="A928" s="19" t="s">
        <v>7005</v>
      </c>
      <c r="B928" s="19" t="s">
        <v>5566</v>
      </c>
      <c r="C928" s="19" t="s">
        <v>48</v>
      </c>
      <c r="D928" s="19" t="s">
        <v>49</v>
      </c>
      <c r="E928" s="19" t="s">
        <v>65</v>
      </c>
      <c r="F928" s="19" t="s">
        <v>66</v>
      </c>
      <c r="G928" s="19" t="s">
        <v>5568</v>
      </c>
      <c r="H928" s="19" t="s">
        <v>5569</v>
      </c>
      <c r="I928" s="19" t="s">
        <v>1696</v>
      </c>
      <c r="J928" s="19" t="n">
        <v>493.27</v>
      </c>
      <c r="K928" s="19" t="s">
        <v>595</v>
      </c>
      <c r="L928" s="19"/>
      <c r="M928" s="20" t="str">
        <f aca="false">IF(G928&lt;&gt;"","PASS","FAIL - Missing UPC")</f>
        <v>PASS</v>
      </c>
      <c r="N928" s="20" t="str">
        <f aca="false">IF(AND(G928&lt;&gt;"",H928&lt;&gt;""),IF("0"&amp;G928=H928,"PASS","FAIL - GTIN Mismatch"),"SKIP")</f>
        <v>PASS</v>
      </c>
      <c r="O928" s="20" t="str">
        <f aca="false">IF(I928="","FAIL - No Title",IF(LEN(I928)&lt;=126,"PASS","FAIL - Title &gt;"&amp;126&amp;" chars"))</f>
        <v>PASS</v>
      </c>
      <c r="P928" s="20" t="str">
        <f aca="false">IF(J928&gt;0,IF(J928&lt;5000,"PASS","FLAG - Review Price"),"FAIL - Zero Price")</f>
        <v>PASS</v>
      </c>
      <c r="Q928" s="20" t="str">
        <f aca="false">IF('Raw Catalog'!P926&lt;&gt;"","PASS","FAIL - No Image")</f>
        <v>PASS</v>
      </c>
      <c r="R928" s="20" t="str">
        <f aca="false">IF(F928&lt;&gt;"","PASS","FAIL - No Brand")</f>
        <v>PASS</v>
      </c>
      <c r="S928" s="20" t="str">
        <f aca="true">IF(K928="","FAIL - No Date",IF(TODAY()-DATEVALUE(K928)&lt;=180,"PASS","FLAG - Stale &gt;180d"))</f>
        <v>FLAG - Stale &gt;180d</v>
      </c>
      <c r="T928" s="20" t="n">
        <f aca="false">COUNTIF(M928:S928,"FAIL*")+COUNTIF(M928:S928,"FLAG*")</f>
        <v>1</v>
      </c>
      <c r="U928" s="20" t="str">
        <f aca="false">IF(T928=0,"CLEAN",IF(T928=1,"MINOR",IF(T928&lt;=3,"MODERATE","CRITICAL")))</f>
        <v>MINOR</v>
      </c>
      <c r="V928" s="20" t="str">
        <f aca="false">IF(U928="CLEAN","None",IF(U928="MINOR","Seller Notify",IF(U928="MODERATE","Listing Suspended","Immediate Removal")))</f>
        <v>Seller Notify</v>
      </c>
    </row>
    <row r="929" customFormat="false" ht="18" hidden="false" customHeight="true" outlineLevel="0" collapsed="false">
      <c r="A929" s="19" t="s">
        <v>7006</v>
      </c>
      <c r="B929" s="19" t="s">
        <v>5570</v>
      </c>
      <c r="C929" s="19" t="s">
        <v>159</v>
      </c>
      <c r="D929" s="19" t="s">
        <v>160</v>
      </c>
      <c r="E929" s="19" t="s">
        <v>50</v>
      </c>
      <c r="F929" s="19" t="s">
        <v>115</v>
      </c>
      <c r="G929" s="19" t="s">
        <v>5572</v>
      </c>
      <c r="H929" s="19" t="s">
        <v>5573</v>
      </c>
      <c r="I929" s="19" t="s">
        <v>5574</v>
      </c>
      <c r="J929" s="19" t="n">
        <v>972.27</v>
      </c>
      <c r="K929" s="19" t="s">
        <v>5575</v>
      </c>
      <c r="L929" s="19"/>
      <c r="M929" s="20" t="str">
        <f aca="false">IF(G929&lt;&gt;"","PASS","FAIL - Missing UPC")</f>
        <v>PASS</v>
      </c>
      <c r="N929" s="20" t="str">
        <f aca="false">IF(AND(G929&lt;&gt;"",H929&lt;&gt;""),IF("0"&amp;G929=H929,"PASS","FAIL - GTIN Mismatch"),"SKIP")</f>
        <v>PASS</v>
      </c>
      <c r="O929" s="20" t="str">
        <f aca="false">IF(I929="","FAIL - No Title",IF(LEN(I929)&lt;=126,"PASS","FAIL - Title &gt;"&amp;126&amp;" chars"))</f>
        <v>PASS</v>
      </c>
      <c r="P929" s="20" t="str">
        <f aca="false">IF(J929&gt;0,IF(J929&lt;5000,"PASS","FLAG - Review Price"),"FAIL - Zero Price")</f>
        <v>PASS</v>
      </c>
      <c r="Q929" s="20" t="str">
        <f aca="false">IF('Raw Catalog'!P927&lt;&gt;"","PASS","FAIL - No Image")</f>
        <v>PASS</v>
      </c>
      <c r="R929" s="20" t="str">
        <f aca="false">IF(F929&lt;&gt;"","PASS","FAIL - No Brand")</f>
        <v>PASS</v>
      </c>
      <c r="S929" s="20" t="str">
        <f aca="true">IF(K929="","FAIL - No Date",IF(TODAY()-DATEVALUE(K929)&lt;=180,"PASS","FLAG - Stale &gt;180d"))</f>
        <v>FLAG - Stale &gt;180d</v>
      </c>
      <c r="T929" s="20" t="n">
        <f aca="false">COUNTIF(M929:S929,"FAIL*")+COUNTIF(M929:S929,"FLAG*")</f>
        <v>1</v>
      </c>
      <c r="U929" s="20" t="str">
        <f aca="false">IF(T929=0,"CLEAN",IF(T929=1,"MINOR",IF(T929&lt;=3,"MODERATE","CRITICAL")))</f>
        <v>MINOR</v>
      </c>
      <c r="V929" s="20" t="str">
        <f aca="false">IF(U929="CLEAN","None",IF(U929="MINOR","Seller Notify",IF(U929="MODERATE","Listing Suspended","Immediate Removal")))</f>
        <v>Seller Notify</v>
      </c>
    </row>
    <row r="930" customFormat="false" ht="18" hidden="false" customHeight="true" outlineLevel="0" collapsed="false">
      <c r="A930" s="19" t="s">
        <v>7007</v>
      </c>
      <c r="B930" s="19" t="s">
        <v>5576</v>
      </c>
      <c r="C930" s="19" t="s">
        <v>159</v>
      </c>
      <c r="D930" s="19" t="s">
        <v>160</v>
      </c>
      <c r="E930" s="19" t="s">
        <v>50</v>
      </c>
      <c r="F930" s="19" t="s">
        <v>51</v>
      </c>
      <c r="G930" s="19" t="s">
        <v>5578</v>
      </c>
      <c r="H930" s="19" t="s">
        <v>5579</v>
      </c>
      <c r="I930" s="19" t="s">
        <v>5580</v>
      </c>
      <c r="J930" s="19" t="n">
        <v>404.04</v>
      </c>
      <c r="K930" s="19" t="s">
        <v>2377</v>
      </c>
      <c r="L930" s="19"/>
      <c r="M930" s="20" t="str">
        <f aca="false">IF(G930&lt;&gt;"","PASS","FAIL - Missing UPC")</f>
        <v>PASS</v>
      </c>
      <c r="N930" s="20" t="str">
        <f aca="false">IF(AND(G930&lt;&gt;"",H930&lt;&gt;""),IF("0"&amp;G930=H930,"PASS","FAIL - GTIN Mismatch"),"SKIP")</f>
        <v>PASS</v>
      </c>
      <c r="O930" s="20" t="str">
        <f aca="false">IF(I930="","FAIL - No Title",IF(LEN(I930)&lt;=126,"PASS","FAIL - Title &gt;"&amp;126&amp;" chars"))</f>
        <v>PASS</v>
      </c>
      <c r="P930" s="20" t="str">
        <f aca="false">IF(J930&gt;0,IF(J930&lt;5000,"PASS","FLAG - Review Price"),"FAIL - Zero Price")</f>
        <v>PASS</v>
      </c>
      <c r="Q930" s="20" t="str">
        <f aca="false">IF('Raw Catalog'!P928&lt;&gt;"","PASS","FAIL - No Image")</f>
        <v>PASS</v>
      </c>
      <c r="R930" s="20" t="str">
        <f aca="false">IF(F930&lt;&gt;"","PASS","FAIL - No Brand")</f>
        <v>PASS</v>
      </c>
      <c r="S930" s="20" t="str">
        <f aca="true">IF(K930="","FAIL - No Date",IF(TODAY()-DATEVALUE(K930)&lt;=180,"PASS","FLAG - Stale &gt;180d"))</f>
        <v>FLAG - Stale &gt;180d</v>
      </c>
      <c r="T930" s="20" t="n">
        <f aca="false">COUNTIF(M930:S930,"FAIL*")+COUNTIF(M930:S930,"FLAG*")</f>
        <v>1</v>
      </c>
      <c r="U930" s="20" t="str">
        <f aca="false">IF(T930=0,"CLEAN",IF(T930=1,"MINOR",IF(T930&lt;=3,"MODERATE","CRITICAL")))</f>
        <v>MINOR</v>
      </c>
      <c r="V930" s="20" t="str">
        <f aca="false">IF(U930="CLEAN","None",IF(U930="MINOR","Seller Notify",IF(U930="MODERATE","Listing Suspended","Immediate Removal")))</f>
        <v>Seller Notify</v>
      </c>
    </row>
    <row r="931" customFormat="false" ht="18" hidden="false" customHeight="true" outlineLevel="0" collapsed="false">
      <c r="A931" s="19" t="s">
        <v>7008</v>
      </c>
      <c r="B931" s="19" t="s">
        <v>5582</v>
      </c>
      <c r="C931" s="19" t="s">
        <v>48</v>
      </c>
      <c r="D931" s="19" t="s">
        <v>49</v>
      </c>
      <c r="E931" s="19" t="s">
        <v>50</v>
      </c>
      <c r="F931" s="19" t="s">
        <v>115</v>
      </c>
      <c r="G931" s="19" t="s">
        <v>5584</v>
      </c>
      <c r="H931" s="19" t="s">
        <v>5585</v>
      </c>
      <c r="I931" s="19" t="s">
        <v>5586</v>
      </c>
      <c r="J931" s="19" t="n">
        <v>804.33</v>
      </c>
      <c r="K931" s="19" t="s">
        <v>820</v>
      </c>
      <c r="L931" s="19"/>
      <c r="M931" s="20" t="str">
        <f aca="false">IF(G931&lt;&gt;"","PASS","FAIL - Missing UPC")</f>
        <v>PASS</v>
      </c>
      <c r="N931" s="20" t="str">
        <f aca="false">IF(AND(G931&lt;&gt;"",H931&lt;&gt;""),IF("0"&amp;G931=H931,"PASS","FAIL - GTIN Mismatch"),"SKIP")</f>
        <v>PASS</v>
      </c>
      <c r="O931" s="20" t="str">
        <f aca="false">IF(I931="","FAIL - No Title",IF(LEN(I931)&lt;=126,"PASS","FAIL - Title &gt;"&amp;126&amp;" chars"))</f>
        <v>PASS</v>
      </c>
      <c r="P931" s="20" t="str">
        <f aca="false">IF(J931&gt;0,IF(J931&lt;5000,"PASS","FLAG - Review Price"),"FAIL - Zero Price")</f>
        <v>PASS</v>
      </c>
      <c r="Q931" s="20" t="str">
        <f aca="false">IF('Raw Catalog'!P929&lt;&gt;"","PASS","FAIL - No Image")</f>
        <v>PASS</v>
      </c>
      <c r="R931" s="20" t="str">
        <f aca="false">IF(F931&lt;&gt;"","PASS","FAIL - No Brand")</f>
        <v>PASS</v>
      </c>
      <c r="S931" s="20" t="str">
        <f aca="true">IF(K931="","FAIL - No Date",IF(TODAY()-DATEVALUE(K931)&lt;=180,"PASS","FLAG - Stale &gt;180d"))</f>
        <v>FLAG - Stale &gt;180d</v>
      </c>
      <c r="T931" s="20" t="n">
        <f aca="false">COUNTIF(M931:S931,"FAIL*")+COUNTIF(M931:S931,"FLAG*")</f>
        <v>1</v>
      </c>
      <c r="U931" s="20" t="str">
        <f aca="false">IF(T931=0,"CLEAN",IF(T931=1,"MINOR",IF(T931&lt;=3,"MODERATE","CRITICAL")))</f>
        <v>MINOR</v>
      </c>
      <c r="V931" s="20" t="str">
        <f aca="false">IF(U931="CLEAN","None",IF(U931="MINOR","Seller Notify",IF(U931="MODERATE","Listing Suspended","Immediate Removal")))</f>
        <v>Seller Notify</v>
      </c>
    </row>
    <row r="932" customFormat="false" ht="18" hidden="false" customHeight="true" outlineLevel="0" collapsed="false">
      <c r="A932" s="19" t="s">
        <v>7009</v>
      </c>
      <c r="B932" s="19" t="s">
        <v>5587</v>
      </c>
      <c r="C932" s="19" t="s">
        <v>63</v>
      </c>
      <c r="D932" s="19" t="s">
        <v>64</v>
      </c>
      <c r="E932" s="19" t="s">
        <v>161</v>
      </c>
      <c r="F932" s="19" t="s">
        <v>429</v>
      </c>
      <c r="G932" s="19" t="s">
        <v>5589</v>
      </c>
      <c r="H932" s="19" t="s">
        <v>5590</v>
      </c>
      <c r="I932" s="19" t="s">
        <v>5591</v>
      </c>
      <c r="J932" s="19" t="n">
        <v>37.4</v>
      </c>
      <c r="K932" s="19" t="s">
        <v>1827</v>
      </c>
      <c r="L932" s="19"/>
      <c r="M932" s="20" t="str">
        <f aca="false">IF(G932&lt;&gt;"","PASS","FAIL - Missing UPC")</f>
        <v>PASS</v>
      </c>
      <c r="N932" s="20" t="str">
        <f aca="false">IF(AND(G932&lt;&gt;"",H932&lt;&gt;""),IF("0"&amp;G932=H932,"PASS","FAIL - GTIN Mismatch"),"SKIP")</f>
        <v>PASS</v>
      </c>
      <c r="O932" s="20" t="str">
        <f aca="false">IF(I932="","FAIL - No Title",IF(LEN(I932)&lt;=126,"PASS","FAIL - Title &gt;"&amp;126&amp;" chars"))</f>
        <v>PASS</v>
      </c>
      <c r="P932" s="20" t="str">
        <f aca="false">IF(J932&gt;0,IF(J932&lt;5000,"PASS","FLAG - Review Price"),"FAIL - Zero Price")</f>
        <v>PASS</v>
      </c>
      <c r="Q932" s="20" t="str">
        <f aca="false">IF('Raw Catalog'!P930&lt;&gt;"","PASS","FAIL - No Image")</f>
        <v>PASS</v>
      </c>
      <c r="R932" s="20" t="str">
        <f aca="false">IF(F932&lt;&gt;"","PASS","FAIL - No Brand")</f>
        <v>PASS</v>
      </c>
      <c r="S932" s="20" t="str">
        <f aca="true">IF(K932="","FAIL - No Date",IF(TODAY()-DATEVALUE(K932)&lt;=180,"PASS","FLAG - Stale &gt;180d"))</f>
        <v>FLAG - Stale &gt;180d</v>
      </c>
      <c r="T932" s="20" t="n">
        <f aca="false">COUNTIF(M932:S932,"FAIL*")+COUNTIF(M932:S932,"FLAG*")</f>
        <v>1</v>
      </c>
      <c r="U932" s="20" t="str">
        <f aca="false">IF(T932=0,"CLEAN",IF(T932=1,"MINOR",IF(T932&lt;=3,"MODERATE","CRITICAL")))</f>
        <v>MINOR</v>
      </c>
      <c r="V932" s="20" t="str">
        <f aca="false">IF(U932="CLEAN","None",IF(U932="MINOR","Seller Notify",IF(U932="MODERATE","Listing Suspended","Immediate Removal")))</f>
        <v>Seller Notify</v>
      </c>
    </row>
    <row r="933" customFormat="false" ht="18" hidden="false" customHeight="true" outlineLevel="0" collapsed="false">
      <c r="A933" s="19" t="s">
        <v>7010</v>
      </c>
      <c r="B933" s="19" t="s">
        <v>5592</v>
      </c>
      <c r="C933" s="19" t="s">
        <v>159</v>
      </c>
      <c r="D933" s="19" t="s">
        <v>160</v>
      </c>
      <c r="E933" s="19" t="s">
        <v>79</v>
      </c>
      <c r="F933" s="19" t="s">
        <v>127</v>
      </c>
      <c r="G933" s="19" t="s">
        <v>5594</v>
      </c>
      <c r="H933" s="19" t="s">
        <v>5595</v>
      </c>
      <c r="I933" s="19" t="s">
        <v>5596</v>
      </c>
      <c r="J933" s="19" t="n">
        <v>1346.42</v>
      </c>
      <c r="K933" s="19" t="s">
        <v>1035</v>
      </c>
      <c r="L933" s="19"/>
      <c r="M933" s="20" t="str">
        <f aca="false">IF(G933&lt;&gt;"","PASS","FAIL - Missing UPC")</f>
        <v>PASS</v>
      </c>
      <c r="N933" s="20" t="str">
        <f aca="false">IF(AND(G933&lt;&gt;"",H933&lt;&gt;""),IF("0"&amp;G933=H933,"PASS","FAIL - GTIN Mismatch"),"SKIP")</f>
        <v>PASS</v>
      </c>
      <c r="O933" s="20" t="str">
        <f aca="false">IF(I933="","FAIL - No Title",IF(LEN(I933)&lt;=126,"PASS","FAIL - Title &gt;"&amp;126&amp;" chars"))</f>
        <v>PASS</v>
      </c>
      <c r="P933" s="20" t="str">
        <f aca="false">IF(J933&gt;0,IF(J933&lt;5000,"PASS","FLAG - Review Price"),"FAIL - Zero Price")</f>
        <v>PASS</v>
      </c>
      <c r="Q933" s="20" t="str">
        <f aca="false">IF('Raw Catalog'!P931&lt;&gt;"","PASS","FAIL - No Image")</f>
        <v>PASS</v>
      </c>
      <c r="R933" s="20" t="str">
        <f aca="false">IF(F933&lt;&gt;"","PASS","FAIL - No Brand")</f>
        <v>PASS</v>
      </c>
      <c r="S933" s="20" t="str">
        <f aca="true">IF(K933="","FAIL - No Date",IF(TODAY()-DATEVALUE(K933)&lt;=180,"PASS","FLAG - Stale &gt;180d"))</f>
        <v>FLAG - Stale &gt;180d</v>
      </c>
      <c r="T933" s="20" t="n">
        <f aca="false">COUNTIF(M933:S933,"FAIL*")+COUNTIF(M933:S933,"FLAG*")</f>
        <v>1</v>
      </c>
      <c r="U933" s="20" t="str">
        <f aca="false">IF(T933=0,"CLEAN",IF(T933=1,"MINOR",IF(T933&lt;=3,"MODERATE","CRITICAL")))</f>
        <v>MINOR</v>
      </c>
      <c r="V933" s="20" t="str">
        <f aca="false">IF(U933="CLEAN","None",IF(U933="MINOR","Seller Notify",IF(U933="MODERATE","Listing Suspended","Immediate Removal")))</f>
        <v>Seller Notify</v>
      </c>
    </row>
    <row r="934" customFormat="false" ht="18" hidden="false" customHeight="true" outlineLevel="0" collapsed="false">
      <c r="A934" s="19" t="s">
        <v>7011</v>
      </c>
      <c r="B934" s="19" t="s">
        <v>5600</v>
      </c>
      <c r="C934" s="19" t="s">
        <v>125</v>
      </c>
      <c r="D934" s="19" t="s">
        <v>126</v>
      </c>
      <c r="E934" s="19" t="s">
        <v>161</v>
      </c>
      <c r="F934" s="19" t="s">
        <v>185</v>
      </c>
      <c r="G934" s="19" t="s">
        <v>5602</v>
      </c>
      <c r="H934" s="19" t="s">
        <v>5603</v>
      </c>
      <c r="I934" s="19" t="s">
        <v>5604</v>
      </c>
      <c r="J934" s="19" t="n">
        <v>437</v>
      </c>
      <c r="K934" s="19" t="s">
        <v>1435</v>
      </c>
      <c r="L934" s="21" t="s">
        <v>1014</v>
      </c>
      <c r="M934" s="20" t="str">
        <f aca="false">IF(G934&lt;&gt;"","PASS","FAIL - Missing UPC")</f>
        <v>PASS</v>
      </c>
      <c r="N934" s="20" t="str">
        <f aca="false">IF(AND(G934&lt;&gt;"",H934&lt;&gt;""),IF("0"&amp;G934=H934,"PASS","FAIL - GTIN Mismatch"),"SKIP")</f>
        <v>PASS</v>
      </c>
      <c r="O934" s="20" t="str">
        <f aca="false">IF(I934="","FAIL - No Title",IF(LEN(I934)&lt;=126,"PASS","FAIL - Title &gt;"&amp;126&amp;" chars"))</f>
        <v>PASS</v>
      </c>
      <c r="P934" s="20" t="str">
        <f aca="false">IF(J934&gt;0,IF(J934&lt;5000,"PASS","FLAG - Review Price"),"FAIL - Zero Price")</f>
        <v>PASS</v>
      </c>
      <c r="Q934" s="20" t="str">
        <f aca="false">IF('Raw Catalog'!P932&lt;&gt;"","PASS","FAIL - No Image")</f>
        <v>FAIL - No Image</v>
      </c>
      <c r="R934" s="20" t="str">
        <f aca="false">IF(F934&lt;&gt;"","PASS","FAIL - No Brand")</f>
        <v>PASS</v>
      </c>
      <c r="S934" s="20" t="str">
        <f aca="true">IF(K934="","FAIL - No Date",IF(TODAY()-DATEVALUE(K934)&lt;=180,"PASS","FLAG - Stale &gt;180d"))</f>
        <v>FLAG - Stale &gt;180d</v>
      </c>
      <c r="T934" s="20" t="n">
        <f aca="false">COUNTIF(M934:S934,"FAIL*")+COUNTIF(M934:S934,"FLAG*")</f>
        <v>2</v>
      </c>
      <c r="U934" s="20" t="str">
        <f aca="false">IF(T934=0,"CLEAN",IF(T934=1,"MINOR",IF(T934&lt;=3,"MODERATE","CRITICAL")))</f>
        <v>MODERATE</v>
      </c>
      <c r="V934" s="20" t="str">
        <f aca="false">IF(U934="CLEAN","None",IF(U934="MINOR","Seller Notify",IF(U934="MODERATE","Listing Suspended","Immediate Removal")))</f>
        <v>Listing Suspended</v>
      </c>
    </row>
    <row r="935" customFormat="false" ht="18" hidden="false" customHeight="true" outlineLevel="0" collapsed="false">
      <c r="A935" s="19" t="s">
        <v>7012</v>
      </c>
      <c r="B935" s="19" t="s">
        <v>5605</v>
      </c>
      <c r="C935" s="19" t="s">
        <v>255</v>
      </c>
      <c r="D935" s="19" t="s">
        <v>256</v>
      </c>
      <c r="E935" s="19" t="s">
        <v>50</v>
      </c>
      <c r="F935" s="19" t="s">
        <v>503</v>
      </c>
      <c r="G935" s="19" t="s">
        <v>5607</v>
      </c>
      <c r="H935" s="19" t="s">
        <v>5608</v>
      </c>
      <c r="I935" s="19" t="s">
        <v>3721</v>
      </c>
      <c r="J935" s="19" t="n">
        <v>1056.44</v>
      </c>
      <c r="K935" s="19" t="s">
        <v>2300</v>
      </c>
      <c r="L935" s="19"/>
      <c r="M935" s="20" t="str">
        <f aca="false">IF(G935&lt;&gt;"","PASS","FAIL - Missing UPC")</f>
        <v>PASS</v>
      </c>
      <c r="N935" s="20" t="str">
        <f aca="false">IF(AND(G935&lt;&gt;"",H935&lt;&gt;""),IF("0"&amp;G935=H935,"PASS","FAIL - GTIN Mismatch"),"SKIP")</f>
        <v>PASS</v>
      </c>
      <c r="O935" s="20" t="str">
        <f aca="false">IF(I935="","FAIL - No Title",IF(LEN(I935)&lt;=126,"PASS","FAIL - Title &gt;"&amp;126&amp;" chars"))</f>
        <v>PASS</v>
      </c>
      <c r="P935" s="20" t="str">
        <f aca="false">IF(J935&gt;0,IF(J935&lt;5000,"PASS","FLAG - Review Price"),"FAIL - Zero Price")</f>
        <v>PASS</v>
      </c>
      <c r="Q935" s="20" t="str">
        <f aca="false">IF('Raw Catalog'!P933&lt;&gt;"","PASS","FAIL - No Image")</f>
        <v>PASS</v>
      </c>
      <c r="R935" s="20" t="str">
        <f aca="false">IF(F935&lt;&gt;"","PASS","FAIL - No Brand")</f>
        <v>PASS</v>
      </c>
      <c r="S935" s="20" t="str">
        <f aca="true">IF(K935="","FAIL - No Date",IF(TODAY()-DATEVALUE(K935)&lt;=180,"PASS","FLAG - Stale &gt;180d"))</f>
        <v>FLAG - Stale &gt;180d</v>
      </c>
      <c r="T935" s="20" t="n">
        <f aca="false">COUNTIF(M935:S935,"FAIL*")+COUNTIF(M935:S935,"FLAG*")</f>
        <v>1</v>
      </c>
      <c r="U935" s="20" t="str">
        <f aca="false">IF(T935=0,"CLEAN",IF(T935=1,"MINOR",IF(T935&lt;=3,"MODERATE","CRITICAL")))</f>
        <v>MINOR</v>
      </c>
      <c r="V935" s="20" t="str">
        <f aca="false">IF(U935="CLEAN","None",IF(U935="MINOR","Seller Notify",IF(U935="MODERATE","Listing Suspended","Immediate Removal")))</f>
        <v>Seller Notify</v>
      </c>
    </row>
    <row r="936" customFormat="false" ht="18" hidden="false" customHeight="true" outlineLevel="0" collapsed="false">
      <c r="A936" s="19" t="s">
        <v>7013</v>
      </c>
      <c r="B936" s="19" t="s">
        <v>1062</v>
      </c>
      <c r="C936" s="19" t="s">
        <v>113</v>
      </c>
      <c r="D936" s="19" t="s">
        <v>114</v>
      </c>
      <c r="E936" s="19" t="s">
        <v>91</v>
      </c>
      <c r="F936" s="19" t="s">
        <v>780</v>
      </c>
      <c r="G936" s="19" t="s">
        <v>1064</v>
      </c>
      <c r="H936" s="19" t="s">
        <v>5609</v>
      </c>
      <c r="I936" s="19" t="s">
        <v>1066</v>
      </c>
      <c r="J936" s="19" t="n">
        <v>2314.69</v>
      </c>
      <c r="K936" s="19" t="s">
        <v>777</v>
      </c>
      <c r="L936" s="21" t="s">
        <v>283</v>
      </c>
      <c r="M936" s="20" t="str">
        <f aca="false">IF(G936&lt;&gt;"","PASS","FAIL - Missing UPC")</f>
        <v>PASS</v>
      </c>
      <c r="N936" s="20" t="str">
        <f aca="false">IF(AND(G936&lt;&gt;"",H936&lt;&gt;""),IF("0"&amp;G936=H936,"PASS","FAIL - GTIN Mismatch"),"SKIP")</f>
        <v>PASS</v>
      </c>
      <c r="O936" s="20" t="str">
        <f aca="false">IF(I936="","FAIL - No Title",IF(LEN(I936)&lt;=126,"PASS","FAIL - Title &gt;"&amp;126&amp;" chars"))</f>
        <v>PASS</v>
      </c>
      <c r="P936" s="20" t="str">
        <f aca="false">IF(J936&gt;0,IF(J936&lt;5000,"PASS","FLAG - Review Price"),"FAIL - Zero Price")</f>
        <v>PASS</v>
      </c>
      <c r="Q936" s="20" t="str">
        <f aca="false">IF('Raw Catalog'!P934&lt;&gt;"","PASS","FAIL - No Image")</f>
        <v>PASS</v>
      </c>
      <c r="R936" s="20" t="str">
        <f aca="false">IF(F936&lt;&gt;"","PASS","FAIL - No Brand")</f>
        <v>PASS</v>
      </c>
      <c r="S936" s="20" t="str">
        <f aca="true">IF(K936="","FAIL - No Date",IF(TODAY()-DATEVALUE(K936)&lt;=180,"PASS","FLAG - Stale &gt;180d"))</f>
        <v>FLAG - Stale &gt;180d</v>
      </c>
      <c r="T936" s="20" t="n">
        <f aca="false">COUNTIF(M936:S936,"FAIL*")+COUNTIF(M936:S936,"FLAG*")</f>
        <v>1</v>
      </c>
      <c r="U936" s="20" t="str">
        <f aca="false">IF(T936=0,"CLEAN",IF(T936=1,"MINOR",IF(T936&lt;=3,"MODERATE","CRITICAL")))</f>
        <v>MINOR</v>
      </c>
      <c r="V936" s="20" t="str">
        <f aca="false">IF(U936="CLEAN","None",IF(U936="MINOR","Seller Notify",IF(U936="MODERATE","Listing Suspended","Immediate Removal")))</f>
        <v>Seller Notify</v>
      </c>
    </row>
    <row r="937" customFormat="false" ht="18" hidden="false" customHeight="true" outlineLevel="0" collapsed="false">
      <c r="A937" s="19" t="s">
        <v>7014</v>
      </c>
      <c r="B937" s="19" t="s">
        <v>5610</v>
      </c>
      <c r="C937" s="19" t="s">
        <v>125</v>
      </c>
      <c r="D937" s="19" t="s">
        <v>126</v>
      </c>
      <c r="E937" s="19" t="s">
        <v>79</v>
      </c>
      <c r="F937" s="19" t="s">
        <v>465</v>
      </c>
      <c r="G937" s="19" t="s">
        <v>5612</v>
      </c>
      <c r="H937" s="19" t="s">
        <v>5613</v>
      </c>
      <c r="I937" s="19" t="s">
        <v>5614</v>
      </c>
      <c r="J937" s="19" t="n">
        <v>607.12</v>
      </c>
      <c r="K937" s="19" t="s">
        <v>5616</v>
      </c>
      <c r="L937" s="19"/>
      <c r="M937" s="20" t="str">
        <f aca="false">IF(G937&lt;&gt;"","PASS","FAIL - Missing UPC")</f>
        <v>PASS</v>
      </c>
      <c r="N937" s="20" t="str">
        <f aca="false">IF(AND(G937&lt;&gt;"",H937&lt;&gt;""),IF("0"&amp;G937=H937,"PASS","FAIL - GTIN Mismatch"),"SKIP")</f>
        <v>PASS</v>
      </c>
      <c r="O937" s="20" t="str">
        <f aca="false">IF(I937="","FAIL - No Title",IF(LEN(I937)&lt;=126,"PASS","FAIL - Title &gt;"&amp;126&amp;" chars"))</f>
        <v>PASS</v>
      </c>
      <c r="P937" s="20" t="str">
        <f aca="false">IF(J937&gt;0,IF(J937&lt;5000,"PASS","FLAG - Review Price"),"FAIL - Zero Price")</f>
        <v>PASS</v>
      </c>
      <c r="Q937" s="20" t="str">
        <f aca="false">IF('Raw Catalog'!P935&lt;&gt;"","PASS","FAIL - No Image")</f>
        <v>PASS</v>
      </c>
      <c r="R937" s="20" t="str">
        <f aca="false">IF(F937&lt;&gt;"","PASS","FAIL - No Brand")</f>
        <v>PASS</v>
      </c>
      <c r="S937" s="20" t="str">
        <f aca="true">IF(K937="","FAIL - No Date",IF(TODAY()-DATEVALUE(K937)&lt;=180,"PASS","FLAG - Stale &gt;180d"))</f>
        <v>FLAG - Stale &gt;180d</v>
      </c>
      <c r="T937" s="20" t="n">
        <f aca="false">COUNTIF(M937:S937,"FAIL*")+COUNTIF(M937:S937,"FLAG*")</f>
        <v>1</v>
      </c>
      <c r="U937" s="20" t="str">
        <f aca="false">IF(T937=0,"CLEAN",IF(T937=1,"MINOR",IF(T937&lt;=3,"MODERATE","CRITICAL")))</f>
        <v>MINOR</v>
      </c>
      <c r="V937" s="20" t="str">
        <f aca="false">IF(U937="CLEAN","None",IF(U937="MINOR","Seller Notify",IF(U937="MODERATE","Listing Suspended","Immediate Removal")))</f>
        <v>Seller Notify</v>
      </c>
    </row>
    <row r="938" customFormat="false" ht="18" hidden="false" customHeight="true" outlineLevel="0" collapsed="false">
      <c r="A938" s="19" t="s">
        <v>7015</v>
      </c>
      <c r="B938" s="19" t="s">
        <v>5617</v>
      </c>
      <c r="C938" s="19" t="s">
        <v>173</v>
      </c>
      <c r="D938" s="19" t="s">
        <v>174</v>
      </c>
      <c r="E938" s="19" t="s">
        <v>161</v>
      </c>
      <c r="F938" s="19" t="s">
        <v>306</v>
      </c>
      <c r="G938" s="19" t="s">
        <v>5619</v>
      </c>
      <c r="H938" s="19" t="s">
        <v>5620</v>
      </c>
      <c r="I938" s="19" t="s">
        <v>2809</v>
      </c>
      <c r="J938" s="19" t="n">
        <v>74.84</v>
      </c>
      <c r="K938" s="19" t="s">
        <v>5621</v>
      </c>
      <c r="L938" s="19"/>
      <c r="M938" s="20" t="str">
        <f aca="false">IF(G938&lt;&gt;"","PASS","FAIL - Missing UPC")</f>
        <v>PASS</v>
      </c>
      <c r="N938" s="20" t="str">
        <f aca="false">IF(AND(G938&lt;&gt;"",H938&lt;&gt;""),IF("0"&amp;G938=H938,"PASS","FAIL - GTIN Mismatch"),"SKIP")</f>
        <v>PASS</v>
      </c>
      <c r="O938" s="20" t="str">
        <f aca="false">IF(I938="","FAIL - No Title",IF(LEN(I938)&lt;=126,"PASS","FAIL - Title &gt;"&amp;126&amp;" chars"))</f>
        <v>PASS</v>
      </c>
      <c r="P938" s="20" t="str">
        <f aca="false">IF(J938&gt;0,IF(J938&lt;5000,"PASS","FLAG - Review Price"),"FAIL - Zero Price")</f>
        <v>PASS</v>
      </c>
      <c r="Q938" s="20" t="str">
        <f aca="false">IF('Raw Catalog'!P936&lt;&gt;"","PASS","FAIL - No Image")</f>
        <v>PASS</v>
      </c>
      <c r="R938" s="20" t="str">
        <f aca="false">IF(F938&lt;&gt;"","PASS","FAIL - No Brand")</f>
        <v>PASS</v>
      </c>
      <c r="S938" s="20" t="str">
        <f aca="true">IF(K938="","FAIL - No Date",IF(TODAY()-DATEVALUE(K938)&lt;=180,"PASS","FLAG - Stale &gt;180d"))</f>
        <v>FLAG - Stale &gt;180d</v>
      </c>
      <c r="T938" s="20" t="n">
        <f aca="false">COUNTIF(M938:S938,"FAIL*")+COUNTIF(M938:S938,"FLAG*")</f>
        <v>1</v>
      </c>
      <c r="U938" s="20" t="str">
        <f aca="false">IF(T938=0,"CLEAN",IF(T938=1,"MINOR",IF(T938&lt;=3,"MODERATE","CRITICAL")))</f>
        <v>MINOR</v>
      </c>
      <c r="V938" s="20" t="str">
        <f aca="false">IF(U938="CLEAN","None",IF(U938="MINOR","Seller Notify",IF(U938="MODERATE","Listing Suspended","Immediate Removal")))</f>
        <v>Seller Notify</v>
      </c>
    </row>
    <row r="939" customFormat="false" ht="18" hidden="false" customHeight="true" outlineLevel="0" collapsed="false">
      <c r="A939" s="19" t="s">
        <v>7016</v>
      </c>
      <c r="B939" s="19" t="s">
        <v>5622</v>
      </c>
      <c r="C939" s="19" t="s">
        <v>113</v>
      </c>
      <c r="D939" s="19" t="s">
        <v>114</v>
      </c>
      <c r="E939" s="19" t="s">
        <v>91</v>
      </c>
      <c r="F939" s="19" t="s">
        <v>587</v>
      </c>
      <c r="G939" s="19" t="s">
        <v>5624</v>
      </c>
      <c r="H939" s="19" t="s">
        <v>5625</v>
      </c>
      <c r="I939" s="19" t="s">
        <v>5626</v>
      </c>
      <c r="J939" s="19" t="n">
        <v>3170.16</v>
      </c>
      <c r="K939" s="19" t="s">
        <v>585</v>
      </c>
      <c r="L939" s="19"/>
      <c r="M939" s="20" t="str">
        <f aca="false">IF(G939&lt;&gt;"","PASS","FAIL - Missing UPC")</f>
        <v>PASS</v>
      </c>
      <c r="N939" s="20" t="str">
        <f aca="false">IF(AND(G939&lt;&gt;"",H939&lt;&gt;""),IF("0"&amp;G939=H939,"PASS","FAIL - GTIN Mismatch"),"SKIP")</f>
        <v>PASS</v>
      </c>
      <c r="O939" s="20" t="str">
        <f aca="false">IF(I939="","FAIL - No Title",IF(LEN(I939)&lt;=126,"PASS","FAIL - Title &gt;"&amp;126&amp;" chars"))</f>
        <v>PASS</v>
      </c>
      <c r="P939" s="20" t="str">
        <f aca="false">IF(J939&gt;0,IF(J939&lt;5000,"PASS","FLAG - Review Price"),"FAIL - Zero Price")</f>
        <v>PASS</v>
      </c>
      <c r="Q939" s="20" t="str">
        <f aca="false">IF('Raw Catalog'!P937&lt;&gt;"","PASS","FAIL - No Image")</f>
        <v>PASS</v>
      </c>
      <c r="R939" s="20" t="str">
        <f aca="false">IF(F939&lt;&gt;"","PASS","FAIL - No Brand")</f>
        <v>PASS</v>
      </c>
      <c r="S939" s="20" t="str">
        <f aca="true">IF(K939="","FAIL - No Date",IF(TODAY()-DATEVALUE(K939)&lt;=180,"PASS","FLAG - Stale &gt;180d"))</f>
        <v>FLAG - Stale &gt;180d</v>
      </c>
      <c r="T939" s="20" t="n">
        <f aca="false">COUNTIF(M939:S939,"FAIL*")+COUNTIF(M939:S939,"FLAG*")</f>
        <v>1</v>
      </c>
      <c r="U939" s="20" t="str">
        <f aca="false">IF(T939=0,"CLEAN",IF(T939=1,"MINOR",IF(T939&lt;=3,"MODERATE","CRITICAL")))</f>
        <v>MINOR</v>
      </c>
      <c r="V939" s="20" t="str">
        <f aca="false">IF(U939="CLEAN","None",IF(U939="MINOR","Seller Notify",IF(U939="MODERATE","Listing Suspended","Immediate Removal")))</f>
        <v>Seller Notify</v>
      </c>
    </row>
    <row r="940" customFormat="false" ht="18" hidden="false" customHeight="true" outlineLevel="0" collapsed="false">
      <c r="A940" s="19" t="s">
        <v>7017</v>
      </c>
      <c r="B940" s="19" t="s">
        <v>5628</v>
      </c>
      <c r="C940" s="19" t="s">
        <v>255</v>
      </c>
      <c r="D940" s="19" t="s">
        <v>256</v>
      </c>
      <c r="E940" s="19" t="s">
        <v>161</v>
      </c>
      <c r="F940" s="19" t="s">
        <v>51</v>
      </c>
      <c r="G940" s="19" t="s">
        <v>5630</v>
      </c>
      <c r="H940" s="19" t="s">
        <v>5631</v>
      </c>
      <c r="I940" s="19" t="s">
        <v>1031</v>
      </c>
      <c r="J940" s="19" t="n">
        <v>406.89</v>
      </c>
      <c r="K940" s="19" t="s">
        <v>5632</v>
      </c>
      <c r="L940" s="19"/>
      <c r="M940" s="20" t="str">
        <f aca="false">IF(G940&lt;&gt;"","PASS","FAIL - Missing UPC")</f>
        <v>PASS</v>
      </c>
      <c r="N940" s="20" t="str">
        <f aca="false">IF(AND(G940&lt;&gt;"",H940&lt;&gt;""),IF("0"&amp;G940=H940,"PASS","FAIL - GTIN Mismatch"),"SKIP")</f>
        <v>PASS</v>
      </c>
      <c r="O940" s="20" t="str">
        <f aca="false">IF(I940="","FAIL - No Title",IF(LEN(I940)&lt;=126,"PASS","FAIL - Title &gt;"&amp;126&amp;" chars"))</f>
        <v>PASS</v>
      </c>
      <c r="P940" s="20" t="str">
        <f aca="false">IF(J940&gt;0,IF(J940&lt;5000,"PASS","FLAG - Review Price"),"FAIL - Zero Price")</f>
        <v>PASS</v>
      </c>
      <c r="Q940" s="20" t="str">
        <f aca="false">IF('Raw Catalog'!P938&lt;&gt;"","PASS","FAIL - No Image")</f>
        <v>PASS</v>
      </c>
      <c r="R940" s="20" t="str">
        <f aca="false">IF(F940&lt;&gt;"","PASS","FAIL - No Brand")</f>
        <v>PASS</v>
      </c>
      <c r="S940" s="20" t="str">
        <f aca="true">IF(K940="","FAIL - No Date",IF(TODAY()-DATEVALUE(K940)&lt;=180,"PASS","FLAG - Stale &gt;180d"))</f>
        <v>FLAG - Stale &gt;180d</v>
      </c>
      <c r="T940" s="20" t="n">
        <f aca="false">COUNTIF(M940:S940,"FAIL*")+COUNTIF(M940:S940,"FLAG*")</f>
        <v>1</v>
      </c>
      <c r="U940" s="20" t="str">
        <f aca="false">IF(T940=0,"CLEAN",IF(T940=1,"MINOR",IF(T940&lt;=3,"MODERATE","CRITICAL")))</f>
        <v>MINOR</v>
      </c>
      <c r="V940" s="20" t="str">
        <f aca="false">IF(U940="CLEAN","None",IF(U940="MINOR","Seller Notify",IF(U940="MODERATE","Listing Suspended","Immediate Removal")))</f>
        <v>Seller Notify</v>
      </c>
    </row>
    <row r="941" customFormat="false" ht="18" hidden="false" customHeight="true" outlineLevel="0" collapsed="false">
      <c r="A941" s="19" t="s">
        <v>7018</v>
      </c>
      <c r="B941" s="19" t="s">
        <v>5633</v>
      </c>
      <c r="C941" s="19" t="s">
        <v>255</v>
      </c>
      <c r="D941" s="19" t="s">
        <v>256</v>
      </c>
      <c r="E941" s="19" t="s">
        <v>50</v>
      </c>
      <c r="F941" s="19" t="s">
        <v>138</v>
      </c>
      <c r="G941" s="19" t="s">
        <v>5635</v>
      </c>
      <c r="H941" s="19" t="s">
        <v>5636</v>
      </c>
      <c r="I941" s="19" t="s">
        <v>5637</v>
      </c>
      <c r="J941" s="19" t="n">
        <v>1115.58</v>
      </c>
      <c r="K941" s="19" t="s">
        <v>939</v>
      </c>
      <c r="L941" s="19"/>
      <c r="M941" s="20" t="str">
        <f aca="false">IF(G941&lt;&gt;"","PASS","FAIL - Missing UPC")</f>
        <v>PASS</v>
      </c>
      <c r="N941" s="20" t="str">
        <f aca="false">IF(AND(G941&lt;&gt;"",H941&lt;&gt;""),IF("0"&amp;G941=H941,"PASS","FAIL - GTIN Mismatch"),"SKIP")</f>
        <v>PASS</v>
      </c>
      <c r="O941" s="20" t="str">
        <f aca="false">IF(I941="","FAIL - No Title",IF(LEN(I941)&lt;=126,"PASS","FAIL - Title &gt;"&amp;126&amp;" chars"))</f>
        <v>PASS</v>
      </c>
      <c r="P941" s="20" t="str">
        <f aca="false">IF(J941&gt;0,IF(J941&lt;5000,"PASS","FLAG - Review Price"),"FAIL - Zero Price")</f>
        <v>PASS</v>
      </c>
      <c r="Q941" s="20" t="str">
        <f aca="false">IF('Raw Catalog'!P939&lt;&gt;"","PASS","FAIL - No Image")</f>
        <v>PASS</v>
      </c>
      <c r="R941" s="20" t="str">
        <f aca="false">IF(F941&lt;&gt;"","PASS","FAIL - No Brand")</f>
        <v>PASS</v>
      </c>
      <c r="S941" s="20" t="str">
        <f aca="true">IF(K941="","FAIL - No Date",IF(TODAY()-DATEVALUE(K941)&lt;=180,"PASS","FLAG - Stale &gt;180d"))</f>
        <v>FLAG - Stale &gt;180d</v>
      </c>
      <c r="T941" s="20" t="n">
        <f aca="false">COUNTIF(M941:S941,"FAIL*")+COUNTIF(M941:S941,"FLAG*")</f>
        <v>1</v>
      </c>
      <c r="U941" s="20" t="str">
        <f aca="false">IF(T941=0,"CLEAN",IF(T941=1,"MINOR",IF(T941&lt;=3,"MODERATE","CRITICAL")))</f>
        <v>MINOR</v>
      </c>
      <c r="V941" s="20" t="str">
        <f aca="false">IF(U941="CLEAN","None",IF(U941="MINOR","Seller Notify",IF(U941="MODERATE","Listing Suspended","Immediate Removal")))</f>
        <v>Seller Notify</v>
      </c>
    </row>
    <row r="942" customFormat="false" ht="18" hidden="false" customHeight="true" outlineLevel="0" collapsed="false">
      <c r="A942" s="19" t="s">
        <v>7019</v>
      </c>
      <c r="B942" s="19" t="s">
        <v>5638</v>
      </c>
      <c r="C942" s="19" t="s">
        <v>63</v>
      </c>
      <c r="D942" s="19" t="s">
        <v>64</v>
      </c>
      <c r="E942" s="19" t="s">
        <v>79</v>
      </c>
      <c r="F942" s="19" t="s">
        <v>51</v>
      </c>
      <c r="G942" s="19" t="s">
        <v>5640</v>
      </c>
      <c r="H942" s="19" t="s">
        <v>5641</v>
      </c>
      <c r="I942" s="19" t="s">
        <v>5642</v>
      </c>
      <c r="J942" s="19" t="n">
        <v>801.86</v>
      </c>
      <c r="K942" s="19" t="s">
        <v>360</v>
      </c>
      <c r="L942" s="19"/>
      <c r="M942" s="20" t="str">
        <f aca="false">IF(G942&lt;&gt;"","PASS","FAIL - Missing UPC")</f>
        <v>PASS</v>
      </c>
      <c r="N942" s="20" t="str">
        <f aca="false">IF(AND(G942&lt;&gt;"",H942&lt;&gt;""),IF("0"&amp;G942=H942,"PASS","FAIL - GTIN Mismatch"),"SKIP")</f>
        <v>PASS</v>
      </c>
      <c r="O942" s="20" t="str">
        <f aca="false">IF(I942="","FAIL - No Title",IF(LEN(I942)&lt;=126,"PASS","FAIL - Title &gt;"&amp;126&amp;" chars"))</f>
        <v>PASS</v>
      </c>
      <c r="P942" s="20" t="str">
        <f aca="false">IF(J942&gt;0,IF(J942&lt;5000,"PASS","FLAG - Review Price"),"FAIL - Zero Price")</f>
        <v>PASS</v>
      </c>
      <c r="Q942" s="20" t="str">
        <f aca="false">IF('Raw Catalog'!P940&lt;&gt;"","PASS","FAIL - No Image")</f>
        <v>PASS</v>
      </c>
      <c r="R942" s="20" t="str">
        <f aca="false">IF(F942&lt;&gt;"","PASS","FAIL - No Brand")</f>
        <v>PASS</v>
      </c>
      <c r="S942" s="20" t="str">
        <f aca="true">IF(K942="","FAIL - No Date",IF(TODAY()-DATEVALUE(K942)&lt;=180,"PASS","FLAG - Stale &gt;180d"))</f>
        <v>FLAG - Stale &gt;180d</v>
      </c>
      <c r="T942" s="20" t="n">
        <f aca="false">COUNTIF(M942:S942,"FAIL*")+COUNTIF(M942:S942,"FLAG*")</f>
        <v>1</v>
      </c>
      <c r="U942" s="20" t="str">
        <f aca="false">IF(T942=0,"CLEAN",IF(T942=1,"MINOR",IF(T942&lt;=3,"MODERATE","CRITICAL")))</f>
        <v>MINOR</v>
      </c>
      <c r="V942" s="20" t="str">
        <f aca="false">IF(U942="CLEAN","None",IF(U942="MINOR","Seller Notify",IF(U942="MODERATE","Listing Suspended","Immediate Removal")))</f>
        <v>Seller Notify</v>
      </c>
    </row>
    <row r="943" customFormat="false" ht="18" hidden="false" customHeight="true" outlineLevel="0" collapsed="false">
      <c r="A943" s="19" t="s">
        <v>7020</v>
      </c>
      <c r="B943" s="19" t="s">
        <v>5643</v>
      </c>
      <c r="C943" s="19" t="s">
        <v>255</v>
      </c>
      <c r="D943" s="19" t="s">
        <v>256</v>
      </c>
      <c r="E943" s="19" t="s">
        <v>65</v>
      </c>
      <c r="F943" s="19" t="s">
        <v>245</v>
      </c>
      <c r="G943" s="19" t="s">
        <v>5645</v>
      </c>
      <c r="H943" s="19" t="s">
        <v>5646</v>
      </c>
      <c r="I943" s="19" t="s">
        <v>3410</v>
      </c>
      <c r="J943" s="19" t="n">
        <v>97.33</v>
      </c>
      <c r="K943" s="19" t="s">
        <v>2715</v>
      </c>
      <c r="L943" s="19"/>
      <c r="M943" s="20" t="str">
        <f aca="false">IF(G943&lt;&gt;"","PASS","FAIL - Missing UPC")</f>
        <v>PASS</v>
      </c>
      <c r="N943" s="20" t="str">
        <f aca="false">IF(AND(G943&lt;&gt;"",H943&lt;&gt;""),IF("0"&amp;G943=H943,"PASS","FAIL - GTIN Mismatch"),"SKIP")</f>
        <v>PASS</v>
      </c>
      <c r="O943" s="20" t="str">
        <f aca="false">IF(I943="","FAIL - No Title",IF(LEN(I943)&lt;=126,"PASS","FAIL - Title &gt;"&amp;126&amp;" chars"))</f>
        <v>PASS</v>
      </c>
      <c r="P943" s="20" t="str">
        <f aca="false">IF(J943&gt;0,IF(J943&lt;5000,"PASS","FLAG - Review Price"),"FAIL - Zero Price")</f>
        <v>PASS</v>
      </c>
      <c r="Q943" s="20" t="str">
        <f aca="false">IF('Raw Catalog'!P941&lt;&gt;"","PASS","FAIL - No Image")</f>
        <v>PASS</v>
      </c>
      <c r="R943" s="20" t="str">
        <f aca="false">IF(F943&lt;&gt;"","PASS","FAIL - No Brand")</f>
        <v>PASS</v>
      </c>
      <c r="S943" s="20" t="str">
        <f aca="true">IF(K943="","FAIL - No Date",IF(TODAY()-DATEVALUE(K943)&lt;=180,"PASS","FLAG - Stale &gt;180d"))</f>
        <v>FLAG - Stale &gt;180d</v>
      </c>
      <c r="T943" s="20" t="n">
        <f aca="false">COUNTIF(M943:S943,"FAIL*")+COUNTIF(M943:S943,"FLAG*")</f>
        <v>1</v>
      </c>
      <c r="U943" s="20" t="str">
        <f aca="false">IF(T943=0,"CLEAN",IF(T943=1,"MINOR",IF(T943&lt;=3,"MODERATE","CRITICAL")))</f>
        <v>MINOR</v>
      </c>
      <c r="V943" s="20" t="str">
        <f aca="false">IF(U943="CLEAN","None",IF(U943="MINOR","Seller Notify",IF(U943="MODERATE","Listing Suspended","Immediate Removal")))</f>
        <v>Seller Notify</v>
      </c>
    </row>
    <row r="944" customFormat="false" ht="18" hidden="false" customHeight="true" outlineLevel="0" collapsed="false">
      <c r="A944" s="19" t="s">
        <v>7021</v>
      </c>
      <c r="B944" s="19" t="s">
        <v>5647</v>
      </c>
      <c r="C944" s="19" t="s">
        <v>77</v>
      </c>
      <c r="D944" s="19" t="s">
        <v>78</v>
      </c>
      <c r="E944" s="19" t="s">
        <v>65</v>
      </c>
      <c r="F944" s="19" t="s">
        <v>227</v>
      </c>
      <c r="G944" s="19" t="s">
        <v>5649</v>
      </c>
      <c r="H944" s="19" t="s">
        <v>5650</v>
      </c>
      <c r="I944" s="19" t="s">
        <v>1791</v>
      </c>
      <c r="J944" s="19" t="n">
        <v>359.45</v>
      </c>
      <c r="K944" s="19" t="s">
        <v>713</v>
      </c>
      <c r="L944" s="19"/>
      <c r="M944" s="20" t="str">
        <f aca="false">IF(G944&lt;&gt;"","PASS","FAIL - Missing UPC")</f>
        <v>PASS</v>
      </c>
      <c r="N944" s="20" t="str">
        <f aca="false">IF(AND(G944&lt;&gt;"",H944&lt;&gt;""),IF("0"&amp;G944=H944,"PASS","FAIL - GTIN Mismatch"),"SKIP")</f>
        <v>PASS</v>
      </c>
      <c r="O944" s="20" t="str">
        <f aca="false">IF(I944="","FAIL - No Title",IF(LEN(I944)&lt;=126,"PASS","FAIL - Title &gt;"&amp;126&amp;" chars"))</f>
        <v>PASS</v>
      </c>
      <c r="P944" s="20" t="str">
        <f aca="false">IF(J944&gt;0,IF(J944&lt;5000,"PASS","FLAG - Review Price"),"FAIL - Zero Price")</f>
        <v>PASS</v>
      </c>
      <c r="Q944" s="20" t="str">
        <f aca="false">IF('Raw Catalog'!P942&lt;&gt;"","PASS","FAIL - No Image")</f>
        <v>PASS</v>
      </c>
      <c r="R944" s="20" t="str">
        <f aca="false">IF(F944&lt;&gt;"","PASS","FAIL - No Brand")</f>
        <v>PASS</v>
      </c>
      <c r="S944" s="20" t="str">
        <f aca="true">IF(K944="","FAIL - No Date",IF(TODAY()-DATEVALUE(K944)&lt;=180,"PASS","FLAG - Stale &gt;180d"))</f>
        <v>FLAG - Stale &gt;180d</v>
      </c>
      <c r="T944" s="20" t="n">
        <f aca="false">COUNTIF(M944:S944,"FAIL*")+COUNTIF(M944:S944,"FLAG*")</f>
        <v>1</v>
      </c>
      <c r="U944" s="20" t="str">
        <f aca="false">IF(T944=0,"CLEAN",IF(T944=1,"MINOR",IF(T944&lt;=3,"MODERATE","CRITICAL")))</f>
        <v>MINOR</v>
      </c>
      <c r="V944" s="20" t="str">
        <f aca="false">IF(U944="CLEAN","None",IF(U944="MINOR","Seller Notify",IF(U944="MODERATE","Listing Suspended","Immediate Removal")))</f>
        <v>Seller Notify</v>
      </c>
    </row>
    <row r="945" customFormat="false" ht="18" hidden="false" customHeight="true" outlineLevel="0" collapsed="false">
      <c r="A945" s="19" t="s">
        <v>7022</v>
      </c>
      <c r="B945" s="19" t="s">
        <v>5651</v>
      </c>
      <c r="C945" s="19" t="s">
        <v>48</v>
      </c>
      <c r="D945" s="19" t="s">
        <v>49</v>
      </c>
      <c r="E945" s="19" t="s">
        <v>79</v>
      </c>
      <c r="F945" s="19" t="s">
        <v>1531</v>
      </c>
      <c r="G945" s="19" t="s">
        <v>5653</v>
      </c>
      <c r="H945" s="19" t="s">
        <v>5654</v>
      </c>
      <c r="I945" s="19" t="s">
        <v>5655</v>
      </c>
      <c r="J945" s="19" t="n">
        <v>1655.34</v>
      </c>
      <c r="K945" s="19" t="s">
        <v>2276</v>
      </c>
      <c r="L945" s="19"/>
      <c r="M945" s="20" t="str">
        <f aca="false">IF(G945&lt;&gt;"","PASS","FAIL - Missing UPC")</f>
        <v>PASS</v>
      </c>
      <c r="N945" s="20" t="str">
        <f aca="false">IF(AND(G945&lt;&gt;"",H945&lt;&gt;""),IF("0"&amp;G945=H945,"PASS","FAIL - GTIN Mismatch"),"SKIP")</f>
        <v>PASS</v>
      </c>
      <c r="O945" s="20" t="str">
        <f aca="false">IF(I945="","FAIL - No Title",IF(LEN(I945)&lt;=126,"PASS","FAIL - Title &gt;"&amp;126&amp;" chars"))</f>
        <v>PASS</v>
      </c>
      <c r="P945" s="20" t="str">
        <f aca="false">IF(J945&gt;0,IF(J945&lt;5000,"PASS","FLAG - Review Price"),"FAIL - Zero Price")</f>
        <v>PASS</v>
      </c>
      <c r="Q945" s="20" t="str">
        <f aca="false">IF('Raw Catalog'!P943&lt;&gt;"","PASS","FAIL - No Image")</f>
        <v>PASS</v>
      </c>
      <c r="R945" s="20" t="str">
        <f aca="false">IF(F945&lt;&gt;"","PASS","FAIL - No Brand")</f>
        <v>PASS</v>
      </c>
      <c r="S945" s="20" t="str">
        <f aca="true">IF(K945="","FAIL - No Date",IF(TODAY()-DATEVALUE(K945)&lt;=180,"PASS","FLAG - Stale &gt;180d"))</f>
        <v>FLAG - Stale &gt;180d</v>
      </c>
      <c r="T945" s="20" t="n">
        <f aca="false">COUNTIF(M945:S945,"FAIL*")+COUNTIF(M945:S945,"FLAG*")</f>
        <v>1</v>
      </c>
      <c r="U945" s="20" t="str">
        <f aca="false">IF(T945=0,"CLEAN",IF(T945=1,"MINOR",IF(T945&lt;=3,"MODERATE","CRITICAL")))</f>
        <v>MINOR</v>
      </c>
      <c r="V945" s="20" t="str">
        <f aca="false">IF(U945="CLEAN","None",IF(U945="MINOR","Seller Notify",IF(U945="MODERATE","Listing Suspended","Immediate Removal")))</f>
        <v>Seller Notify</v>
      </c>
    </row>
    <row r="946" customFormat="false" ht="18" hidden="false" customHeight="true" outlineLevel="0" collapsed="false">
      <c r="A946" s="19" t="s">
        <v>7023</v>
      </c>
      <c r="B946" s="19" t="s">
        <v>5656</v>
      </c>
      <c r="C946" s="19" t="s">
        <v>173</v>
      </c>
      <c r="D946" s="19" t="s">
        <v>174</v>
      </c>
      <c r="E946" s="19" t="s">
        <v>161</v>
      </c>
      <c r="F946" s="19" t="s">
        <v>306</v>
      </c>
      <c r="G946" s="19" t="s">
        <v>5658</v>
      </c>
      <c r="H946" s="19" t="s">
        <v>5659</v>
      </c>
      <c r="I946" s="19" t="s">
        <v>5660</v>
      </c>
      <c r="J946" s="19" t="n">
        <v>525.15</v>
      </c>
      <c r="K946" s="19" t="s">
        <v>1894</v>
      </c>
      <c r="L946" s="19"/>
      <c r="M946" s="20" t="str">
        <f aca="false">IF(G946&lt;&gt;"","PASS","FAIL - Missing UPC")</f>
        <v>PASS</v>
      </c>
      <c r="N946" s="20" t="str">
        <f aca="false">IF(AND(G946&lt;&gt;"",H946&lt;&gt;""),IF("0"&amp;G946=H946,"PASS","FAIL - GTIN Mismatch"),"SKIP")</f>
        <v>PASS</v>
      </c>
      <c r="O946" s="20" t="str">
        <f aca="false">IF(I946="","FAIL - No Title",IF(LEN(I946)&lt;=126,"PASS","FAIL - Title &gt;"&amp;126&amp;" chars"))</f>
        <v>PASS</v>
      </c>
      <c r="P946" s="20" t="str">
        <f aca="false">IF(J946&gt;0,IF(J946&lt;5000,"PASS","FLAG - Review Price"),"FAIL - Zero Price")</f>
        <v>PASS</v>
      </c>
      <c r="Q946" s="20" t="str">
        <f aca="false">IF('Raw Catalog'!P944&lt;&gt;"","PASS","FAIL - No Image")</f>
        <v>PASS</v>
      </c>
      <c r="R946" s="20" t="str">
        <f aca="false">IF(F946&lt;&gt;"","PASS","FAIL - No Brand")</f>
        <v>PASS</v>
      </c>
      <c r="S946" s="20" t="str">
        <f aca="true">IF(K946="","FAIL - No Date",IF(TODAY()-DATEVALUE(K946)&lt;=180,"PASS","FLAG - Stale &gt;180d"))</f>
        <v>FLAG - Stale &gt;180d</v>
      </c>
      <c r="T946" s="20" t="n">
        <f aca="false">COUNTIF(M946:S946,"FAIL*")+COUNTIF(M946:S946,"FLAG*")</f>
        <v>1</v>
      </c>
      <c r="U946" s="20" t="str">
        <f aca="false">IF(T946=0,"CLEAN",IF(T946=1,"MINOR",IF(T946&lt;=3,"MODERATE","CRITICAL")))</f>
        <v>MINOR</v>
      </c>
      <c r="V946" s="20" t="str">
        <f aca="false">IF(U946="CLEAN","None",IF(U946="MINOR","Seller Notify",IF(U946="MODERATE","Listing Suspended","Immediate Removal")))</f>
        <v>Seller Notify</v>
      </c>
    </row>
    <row r="947" customFormat="false" ht="18" hidden="false" customHeight="true" outlineLevel="0" collapsed="false">
      <c r="A947" s="19" t="s">
        <v>7024</v>
      </c>
      <c r="B947" s="19" t="s">
        <v>5031</v>
      </c>
      <c r="C947" s="19" t="s">
        <v>113</v>
      </c>
      <c r="D947" s="19" t="s">
        <v>114</v>
      </c>
      <c r="E947" s="19" t="s">
        <v>91</v>
      </c>
      <c r="F947" s="19" t="s">
        <v>780</v>
      </c>
      <c r="G947" s="19" t="s">
        <v>5033</v>
      </c>
      <c r="H947" s="19" t="s">
        <v>5034</v>
      </c>
      <c r="I947" s="19" t="s">
        <v>5035</v>
      </c>
      <c r="J947" s="19" t="n">
        <v>3892.2</v>
      </c>
      <c r="K947" s="19" t="s">
        <v>1700</v>
      </c>
      <c r="L947" s="21" t="s">
        <v>283</v>
      </c>
      <c r="M947" s="20" t="str">
        <f aca="false">IF(G947&lt;&gt;"","PASS","FAIL - Missing UPC")</f>
        <v>PASS</v>
      </c>
      <c r="N947" s="20" t="str">
        <f aca="false">IF(AND(G947&lt;&gt;"",H947&lt;&gt;""),IF("0"&amp;G947=H947,"PASS","FAIL - GTIN Mismatch"),"SKIP")</f>
        <v>PASS</v>
      </c>
      <c r="O947" s="20" t="str">
        <f aca="false">IF(I947="","FAIL - No Title",IF(LEN(I947)&lt;=126,"PASS","FAIL - Title &gt;"&amp;126&amp;" chars"))</f>
        <v>PASS</v>
      </c>
      <c r="P947" s="20" t="str">
        <f aca="false">IF(J947&gt;0,IF(J947&lt;5000,"PASS","FLAG - Review Price"),"FAIL - Zero Price")</f>
        <v>PASS</v>
      </c>
      <c r="Q947" s="20" t="str">
        <f aca="false">IF('Raw Catalog'!P945&lt;&gt;"","PASS","FAIL - No Image")</f>
        <v>PASS</v>
      </c>
      <c r="R947" s="20" t="str">
        <f aca="false">IF(F947&lt;&gt;"","PASS","FAIL - No Brand")</f>
        <v>PASS</v>
      </c>
      <c r="S947" s="20" t="str">
        <f aca="true">IF(K947="","FAIL - No Date",IF(TODAY()-DATEVALUE(K947)&lt;=180,"PASS","FLAG - Stale &gt;180d"))</f>
        <v>FLAG - Stale &gt;180d</v>
      </c>
      <c r="T947" s="20" t="n">
        <f aca="false">COUNTIF(M947:S947,"FAIL*")+COUNTIF(M947:S947,"FLAG*")</f>
        <v>1</v>
      </c>
      <c r="U947" s="20" t="str">
        <f aca="false">IF(T947=0,"CLEAN",IF(T947=1,"MINOR",IF(T947&lt;=3,"MODERATE","CRITICAL")))</f>
        <v>MINOR</v>
      </c>
      <c r="V947" s="20" t="str">
        <f aca="false">IF(U947="CLEAN","None",IF(U947="MINOR","Seller Notify",IF(U947="MODERATE","Listing Suspended","Immediate Removal")))</f>
        <v>Seller Notify</v>
      </c>
    </row>
    <row r="948" customFormat="false" ht="18" hidden="false" customHeight="true" outlineLevel="0" collapsed="false">
      <c r="A948" s="19" t="s">
        <v>7025</v>
      </c>
      <c r="B948" s="19" t="s">
        <v>5661</v>
      </c>
      <c r="C948" s="19" t="s">
        <v>255</v>
      </c>
      <c r="D948" s="19" t="s">
        <v>256</v>
      </c>
      <c r="E948" s="19" t="s">
        <v>79</v>
      </c>
      <c r="F948" s="19" t="s">
        <v>465</v>
      </c>
      <c r="G948" s="19" t="s">
        <v>5663</v>
      </c>
      <c r="H948" s="19" t="s">
        <v>5664</v>
      </c>
      <c r="I948" s="19" t="s">
        <v>5665</v>
      </c>
      <c r="J948" s="19" t="n">
        <v>1032.71</v>
      </c>
      <c r="K948" s="19" t="s">
        <v>5666</v>
      </c>
      <c r="L948" s="21" t="s">
        <v>325</v>
      </c>
      <c r="M948" s="20" t="str">
        <f aca="false">IF(G948&lt;&gt;"","PASS","FAIL - Missing UPC")</f>
        <v>PASS</v>
      </c>
      <c r="N948" s="20" t="str">
        <f aca="false">IF(AND(G948&lt;&gt;"",H948&lt;&gt;""),IF("0"&amp;G948=H948,"PASS","FAIL - GTIN Mismatch"),"SKIP")</f>
        <v>PASS</v>
      </c>
      <c r="O948" s="20" t="str">
        <f aca="false">IF(I948="","FAIL - No Title",IF(LEN(I948)&lt;=126,"PASS","FAIL - Title &gt;"&amp;126&amp;" chars"))</f>
        <v>PASS</v>
      </c>
      <c r="P948" s="20" t="str">
        <f aca="false">IF(J948&gt;0,IF(J948&lt;5000,"PASS","FLAG - Review Price"),"FAIL - Zero Price")</f>
        <v>PASS</v>
      </c>
      <c r="Q948" s="20" t="str">
        <f aca="false">IF('Raw Catalog'!P946&lt;&gt;"","PASS","FAIL - No Image")</f>
        <v>PASS</v>
      </c>
      <c r="R948" s="20" t="str">
        <f aca="false">IF(F948&lt;&gt;"","PASS","FAIL - No Brand")</f>
        <v>PASS</v>
      </c>
      <c r="S948" s="20" t="str">
        <f aca="true">IF(K948="","FAIL - No Date",IF(TODAY()-DATEVALUE(K948)&lt;=180,"PASS","FLAG - Stale &gt;180d"))</f>
        <v>FLAG - Stale &gt;180d</v>
      </c>
      <c r="T948" s="20" t="n">
        <f aca="false">COUNTIF(M948:S948,"FAIL*")+COUNTIF(M948:S948,"FLAG*")</f>
        <v>1</v>
      </c>
      <c r="U948" s="20" t="str">
        <f aca="false">IF(T948=0,"CLEAN",IF(T948=1,"MINOR",IF(T948&lt;=3,"MODERATE","CRITICAL")))</f>
        <v>MINOR</v>
      </c>
      <c r="V948" s="20" t="str">
        <f aca="false">IF(U948="CLEAN","None",IF(U948="MINOR","Seller Notify",IF(U948="MODERATE","Listing Suspended","Immediate Removal")))</f>
        <v>Seller Notify</v>
      </c>
    </row>
    <row r="949" customFormat="false" ht="18" hidden="false" customHeight="true" outlineLevel="0" collapsed="false">
      <c r="A949" s="19" t="s">
        <v>7026</v>
      </c>
      <c r="B949" s="19" t="s">
        <v>5667</v>
      </c>
      <c r="C949" s="19" t="s">
        <v>63</v>
      </c>
      <c r="D949" s="19" t="s">
        <v>64</v>
      </c>
      <c r="E949" s="19" t="s">
        <v>161</v>
      </c>
      <c r="F949" s="19" t="s">
        <v>185</v>
      </c>
      <c r="G949" s="19" t="s">
        <v>5669</v>
      </c>
      <c r="H949" s="19" t="s">
        <v>5670</v>
      </c>
      <c r="I949" s="19" t="s">
        <v>4637</v>
      </c>
      <c r="J949" s="19" t="n">
        <v>367.15</v>
      </c>
      <c r="K949" s="19" t="s">
        <v>1116</v>
      </c>
      <c r="L949" s="19"/>
      <c r="M949" s="20" t="str">
        <f aca="false">IF(G949&lt;&gt;"","PASS","FAIL - Missing UPC")</f>
        <v>PASS</v>
      </c>
      <c r="N949" s="20" t="str">
        <f aca="false">IF(AND(G949&lt;&gt;"",H949&lt;&gt;""),IF("0"&amp;G949=H949,"PASS","FAIL - GTIN Mismatch"),"SKIP")</f>
        <v>PASS</v>
      </c>
      <c r="O949" s="20" t="str">
        <f aca="false">IF(I949="","FAIL - No Title",IF(LEN(I949)&lt;=126,"PASS","FAIL - Title &gt;"&amp;126&amp;" chars"))</f>
        <v>PASS</v>
      </c>
      <c r="P949" s="20" t="str">
        <f aca="false">IF(J949&gt;0,IF(J949&lt;5000,"PASS","FLAG - Review Price"),"FAIL - Zero Price")</f>
        <v>PASS</v>
      </c>
      <c r="Q949" s="20" t="str">
        <f aca="false">IF('Raw Catalog'!P947&lt;&gt;"","PASS","FAIL - No Image")</f>
        <v>PASS</v>
      </c>
      <c r="R949" s="20" t="str">
        <f aca="false">IF(F949&lt;&gt;"","PASS","FAIL - No Brand")</f>
        <v>PASS</v>
      </c>
      <c r="S949" s="20" t="str">
        <f aca="true">IF(K949="","FAIL - No Date",IF(TODAY()-DATEVALUE(K949)&lt;=180,"PASS","FLAG - Stale &gt;180d"))</f>
        <v>FLAG - Stale &gt;180d</v>
      </c>
      <c r="T949" s="20" t="n">
        <f aca="false">COUNTIF(M949:S949,"FAIL*")+COUNTIF(M949:S949,"FLAG*")</f>
        <v>1</v>
      </c>
      <c r="U949" s="20" t="str">
        <f aca="false">IF(T949=0,"CLEAN",IF(T949=1,"MINOR",IF(T949&lt;=3,"MODERATE","CRITICAL")))</f>
        <v>MINOR</v>
      </c>
      <c r="V949" s="20" t="str">
        <f aca="false">IF(U949="CLEAN","None",IF(U949="MINOR","Seller Notify",IF(U949="MODERATE","Listing Suspended","Immediate Removal")))</f>
        <v>Seller Notify</v>
      </c>
    </row>
    <row r="950" customFormat="false" ht="18" hidden="false" customHeight="true" outlineLevel="0" collapsed="false">
      <c r="A950" s="19" t="s">
        <v>7027</v>
      </c>
      <c r="B950" s="19" t="s">
        <v>5671</v>
      </c>
      <c r="C950" s="19" t="s">
        <v>113</v>
      </c>
      <c r="D950" s="19" t="s">
        <v>114</v>
      </c>
      <c r="E950" s="19" t="s">
        <v>91</v>
      </c>
      <c r="F950" s="19" t="s">
        <v>419</v>
      </c>
      <c r="G950" s="19" t="s">
        <v>5673</v>
      </c>
      <c r="H950" s="19" t="s">
        <v>5674</v>
      </c>
      <c r="I950" s="19" t="s">
        <v>5675</v>
      </c>
      <c r="J950" s="19" t="n">
        <v>356.2</v>
      </c>
      <c r="K950" s="19" t="s">
        <v>5676</v>
      </c>
      <c r="L950" s="19"/>
      <c r="M950" s="20" t="str">
        <f aca="false">IF(G950&lt;&gt;"","PASS","FAIL - Missing UPC")</f>
        <v>PASS</v>
      </c>
      <c r="N950" s="20" t="str">
        <f aca="false">IF(AND(G950&lt;&gt;"",H950&lt;&gt;""),IF("0"&amp;G950=H950,"PASS","FAIL - GTIN Mismatch"),"SKIP")</f>
        <v>PASS</v>
      </c>
      <c r="O950" s="20" t="str">
        <f aca="false">IF(I950="","FAIL - No Title",IF(LEN(I950)&lt;=126,"PASS","FAIL - Title &gt;"&amp;126&amp;" chars"))</f>
        <v>PASS</v>
      </c>
      <c r="P950" s="20" t="str">
        <f aca="false">IF(J950&gt;0,IF(J950&lt;5000,"PASS","FLAG - Review Price"),"FAIL - Zero Price")</f>
        <v>PASS</v>
      </c>
      <c r="Q950" s="20" t="str">
        <f aca="false">IF('Raw Catalog'!P948&lt;&gt;"","PASS","FAIL - No Image")</f>
        <v>PASS</v>
      </c>
      <c r="R950" s="20" t="str">
        <f aca="false">IF(F950&lt;&gt;"","PASS","FAIL - No Brand")</f>
        <v>PASS</v>
      </c>
      <c r="S950" s="20" t="str">
        <f aca="true">IF(K950="","FAIL - No Date",IF(TODAY()-DATEVALUE(K950)&lt;=180,"PASS","FLAG - Stale &gt;180d"))</f>
        <v>FLAG - Stale &gt;180d</v>
      </c>
      <c r="T950" s="20" t="n">
        <f aca="false">COUNTIF(M950:S950,"FAIL*")+COUNTIF(M950:S950,"FLAG*")</f>
        <v>1</v>
      </c>
      <c r="U950" s="20" t="str">
        <f aca="false">IF(T950=0,"CLEAN",IF(T950=1,"MINOR",IF(T950&lt;=3,"MODERATE","CRITICAL")))</f>
        <v>MINOR</v>
      </c>
      <c r="V950" s="20" t="str">
        <f aca="false">IF(U950="CLEAN","None",IF(U950="MINOR","Seller Notify",IF(U950="MODERATE","Listing Suspended","Immediate Removal")))</f>
        <v>Seller Notify</v>
      </c>
    </row>
    <row r="951" customFormat="false" ht="18" hidden="false" customHeight="true" outlineLevel="0" collapsed="false">
      <c r="A951" s="19" t="s">
        <v>7028</v>
      </c>
      <c r="B951" s="19" t="s">
        <v>5677</v>
      </c>
      <c r="C951" s="19" t="s">
        <v>63</v>
      </c>
      <c r="D951" s="19" t="s">
        <v>64</v>
      </c>
      <c r="E951" s="19" t="s">
        <v>91</v>
      </c>
      <c r="F951" s="19" t="s">
        <v>587</v>
      </c>
      <c r="G951" s="19" t="s">
        <v>5679</v>
      </c>
      <c r="H951" s="19" t="s">
        <v>5680</v>
      </c>
      <c r="I951" s="19" t="s">
        <v>5681</v>
      </c>
      <c r="J951" s="19" t="n">
        <v>1696.8</v>
      </c>
      <c r="K951" s="19" t="s">
        <v>3925</v>
      </c>
      <c r="L951" s="19"/>
      <c r="M951" s="20" t="str">
        <f aca="false">IF(G951&lt;&gt;"","PASS","FAIL - Missing UPC")</f>
        <v>PASS</v>
      </c>
      <c r="N951" s="20" t="str">
        <f aca="false">IF(AND(G951&lt;&gt;"",H951&lt;&gt;""),IF("0"&amp;G951=H951,"PASS","FAIL - GTIN Mismatch"),"SKIP")</f>
        <v>PASS</v>
      </c>
      <c r="O951" s="20" t="str">
        <f aca="false">IF(I951="","FAIL - No Title",IF(LEN(I951)&lt;=126,"PASS","FAIL - Title &gt;"&amp;126&amp;" chars"))</f>
        <v>PASS</v>
      </c>
      <c r="P951" s="20" t="str">
        <f aca="false">IF(J951&gt;0,IF(J951&lt;5000,"PASS","FLAG - Review Price"),"FAIL - Zero Price")</f>
        <v>PASS</v>
      </c>
      <c r="Q951" s="20" t="str">
        <f aca="false">IF('Raw Catalog'!P949&lt;&gt;"","PASS","FAIL - No Image")</f>
        <v>PASS</v>
      </c>
      <c r="R951" s="20" t="str">
        <f aca="false">IF(F951&lt;&gt;"","PASS","FAIL - No Brand")</f>
        <v>PASS</v>
      </c>
      <c r="S951" s="20" t="str">
        <f aca="true">IF(K951="","FAIL - No Date",IF(TODAY()-DATEVALUE(K951)&lt;=180,"PASS","FLAG - Stale &gt;180d"))</f>
        <v>FLAG - Stale &gt;180d</v>
      </c>
      <c r="T951" s="20" t="n">
        <f aca="false">COUNTIF(M951:S951,"FAIL*")+COUNTIF(M951:S951,"FLAG*")</f>
        <v>1</v>
      </c>
      <c r="U951" s="20" t="str">
        <f aca="false">IF(T951=0,"CLEAN",IF(T951=1,"MINOR",IF(T951&lt;=3,"MODERATE","CRITICAL")))</f>
        <v>MINOR</v>
      </c>
      <c r="V951" s="20" t="str">
        <f aca="false">IF(U951="CLEAN","None",IF(U951="MINOR","Seller Notify",IF(U951="MODERATE","Listing Suspended","Immediate Removal")))</f>
        <v>Seller Notify</v>
      </c>
    </row>
    <row r="952" customFormat="false" ht="18" hidden="false" customHeight="true" outlineLevel="0" collapsed="false">
      <c r="A952" s="19" t="s">
        <v>7029</v>
      </c>
      <c r="B952" s="19" t="s">
        <v>5682</v>
      </c>
      <c r="C952" s="19" t="s">
        <v>113</v>
      </c>
      <c r="D952" s="19" t="s">
        <v>114</v>
      </c>
      <c r="E952" s="19" t="s">
        <v>91</v>
      </c>
      <c r="F952" s="19" t="s">
        <v>185</v>
      </c>
      <c r="G952" s="19" t="s">
        <v>5684</v>
      </c>
      <c r="H952" s="19" t="s">
        <v>5685</v>
      </c>
      <c r="I952" s="19" t="s">
        <v>5686</v>
      </c>
      <c r="J952" s="19" t="n">
        <v>1005.59</v>
      </c>
      <c r="K952" s="19" t="s">
        <v>2640</v>
      </c>
      <c r="L952" s="19"/>
      <c r="M952" s="20" t="str">
        <f aca="false">IF(G952&lt;&gt;"","PASS","FAIL - Missing UPC")</f>
        <v>PASS</v>
      </c>
      <c r="N952" s="20" t="str">
        <f aca="false">IF(AND(G952&lt;&gt;"",H952&lt;&gt;""),IF("0"&amp;G952=H952,"PASS","FAIL - GTIN Mismatch"),"SKIP")</f>
        <v>PASS</v>
      </c>
      <c r="O952" s="20" t="str">
        <f aca="false">IF(I952="","FAIL - No Title",IF(LEN(I952)&lt;=126,"PASS","FAIL - Title &gt;"&amp;126&amp;" chars"))</f>
        <v>PASS</v>
      </c>
      <c r="P952" s="20" t="str">
        <f aca="false">IF(J952&gt;0,IF(J952&lt;5000,"PASS","FLAG - Review Price"),"FAIL - Zero Price")</f>
        <v>PASS</v>
      </c>
      <c r="Q952" s="20" t="str">
        <f aca="false">IF('Raw Catalog'!P950&lt;&gt;"","PASS","FAIL - No Image")</f>
        <v>PASS</v>
      </c>
      <c r="R952" s="20" t="str">
        <f aca="false">IF(F952&lt;&gt;"","PASS","FAIL - No Brand")</f>
        <v>PASS</v>
      </c>
      <c r="S952" s="20" t="str">
        <f aca="true">IF(K952="","FAIL - No Date",IF(TODAY()-DATEVALUE(K952)&lt;=180,"PASS","FLAG - Stale &gt;180d"))</f>
        <v>FLAG - Stale &gt;180d</v>
      </c>
      <c r="T952" s="20" t="n">
        <f aca="false">COUNTIF(M952:S952,"FAIL*")+COUNTIF(M952:S952,"FLAG*")</f>
        <v>1</v>
      </c>
      <c r="U952" s="20" t="str">
        <f aca="false">IF(T952=0,"CLEAN",IF(T952=1,"MINOR",IF(T952&lt;=3,"MODERATE","CRITICAL")))</f>
        <v>MINOR</v>
      </c>
      <c r="V952" s="20" t="str">
        <f aca="false">IF(U952="CLEAN","None",IF(U952="MINOR","Seller Notify",IF(U952="MODERATE","Listing Suspended","Immediate Removal")))</f>
        <v>Seller Notify</v>
      </c>
    </row>
    <row r="953" customFormat="false" ht="18" hidden="false" customHeight="true" outlineLevel="0" collapsed="false">
      <c r="A953" s="19" t="s">
        <v>7030</v>
      </c>
      <c r="B953" s="19" t="s">
        <v>5687</v>
      </c>
      <c r="C953" s="19" t="s">
        <v>255</v>
      </c>
      <c r="D953" s="19" t="s">
        <v>256</v>
      </c>
      <c r="E953" s="19" t="s">
        <v>65</v>
      </c>
      <c r="F953" s="19" t="s">
        <v>371</v>
      </c>
      <c r="G953" s="19" t="s">
        <v>5689</v>
      </c>
      <c r="H953" s="19" t="s">
        <v>5690</v>
      </c>
      <c r="I953" s="19" t="s">
        <v>2147</v>
      </c>
      <c r="J953" s="19" t="n">
        <v>188.62</v>
      </c>
      <c r="K953" s="19" t="s">
        <v>3754</v>
      </c>
      <c r="L953" s="19"/>
      <c r="M953" s="20" t="str">
        <f aca="false">IF(G953&lt;&gt;"","PASS","FAIL - Missing UPC")</f>
        <v>PASS</v>
      </c>
      <c r="N953" s="20" t="str">
        <f aca="false">IF(AND(G953&lt;&gt;"",H953&lt;&gt;""),IF("0"&amp;G953=H953,"PASS","FAIL - GTIN Mismatch"),"SKIP")</f>
        <v>PASS</v>
      </c>
      <c r="O953" s="20" t="str">
        <f aca="false">IF(I953="","FAIL - No Title",IF(LEN(I953)&lt;=126,"PASS","FAIL - Title &gt;"&amp;126&amp;" chars"))</f>
        <v>PASS</v>
      </c>
      <c r="P953" s="20" t="str">
        <f aca="false">IF(J953&gt;0,IF(J953&lt;5000,"PASS","FLAG - Review Price"),"FAIL - Zero Price")</f>
        <v>PASS</v>
      </c>
      <c r="Q953" s="20" t="str">
        <f aca="false">IF('Raw Catalog'!P951&lt;&gt;"","PASS","FAIL - No Image")</f>
        <v>PASS</v>
      </c>
      <c r="R953" s="20" t="str">
        <f aca="false">IF(F953&lt;&gt;"","PASS","FAIL - No Brand")</f>
        <v>PASS</v>
      </c>
      <c r="S953" s="20" t="str">
        <f aca="true">IF(K953="","FAIL - No Date",IF(TODAY()-DATEVALUE(K953)&lt;=180,"PASS","FLAG - Stale &gt;180d"))</f>
        <v>FLAG - Stale &gt;180d</v>
      </c>
      <c r="T953" s="20" t="n">
        <f aca="false">COUNTIF(M953:S953,"FAIL*")+COUNTIF(M953:S953,"FLAG*")</f>
        <v>1</v>
      </c>
      <c r="U953" s="20" t="str">
        <f aca="false">IF(T953=0,"CLEAN",IF(T953=1,"MINOR",IF(T953&lt;=3,"MODERATE","CRITICAL")))</f>
        <v>MINOR</v>
      </c>
      <c r="V953" s="20" t="str">
        <f aca="false">IF(U953="CLEAN","None",IF(U953="MINOR","Seller Notify",IF(U953="MODERATE","Listing Suspended","Immediate Removal")))</f>
        <v>Seller Notify</v>
      </c>
    </row>
    <row r="954" customFormat="false" ht="18" hidden="false" customHeight="true" outlineLevel="0" collapsed="false">
      <c r="A954" s="19" t="s">
        <v>7031</v>
      </c>
      <c r="B954" s="19" t="s">
        <v>3981</v>
      </c>
      <c r="C954" s="19" t="s">
        <v>125</v>
      </c>
      <c r="D954" s="19" t="s">
        <v>126</v>
      </c>
      <c r="E954" s="19" t="s">
        <v>161</v>
      </c>
      <c r="F954" s="19" t="s">
        <v>822</v>
      </c>
      <c r="G954" s="19" t="s">
        <v>3983</v>
      </c>
      <c r="H954" s="19" t="s">
        <v>3984</v>
      </c>
      <c r="I954" s="19" t="s">
        <v>3985</v>
      </c>
      <c r="J954" s="19" t="n">
        <v>244.31</v>
      </c>
      <c r="K954" s="19" t="s">
        <v>1777</v>
      </c>
      <c r="L954" s="19"/>
      <c r="M954" s="20" t="str">
        <f aca="false">IF(G954&lt;&gt;"","PASS","FAIL - Missing UPC")</f>
        <v>PASS</v>
      </c>
      <c r="N954" s="20" t="str">
        <f aca="false">IF(AND(G954&lt;&gt;"",H954&lt;&gt;""),IF("0"&amp;G954=H954,"PASS","FAIL - GTIN Mismatch"),"SKIP")</f>
        <v>PASS</v>
      </c>
      <c r="O954" s="20" t="str">
        <f aca="false">IF(I954="","FAIL - No Title",IF(LEN(I954)&lt;=126,"PASS","FAIL - Title &gt;"&amp;126&amp;" chars"))</f>
        <v>PASS</v>
      </c>
      <c r="P954" s="20" t="str">
        <f aca="false">IF(J954&gt;0,IF(J954&lt;5000,"PASS","FLAG - Review Price"),"FAIL - Zero Price")</f>
        <v>PASS</v>
      </c>
      <c r="Q954" s="20" t="str">
        <f aca="false">IF('Raw Catalog'!P952&lt;&gt;"","PASS","FAIL - No Image")</f>
        <v>PASS</v>
      </c>
      <c r="R954" s="20" t="str">
        <f aca="false">IF(F954&lt;&gt;"","PASS","FAIL - No Brand")</f>
        <v>PASS</v>
      </c>
      <c r="S954" s="20" t="str">
        <f aca="true">IF(K954="","FAIL - No Date",IF(TODAY()-DATEVALUE(K954)&lt;=180,"PASS","FLAG - Stale &gt;180d"))</f>
        <v>FLAG - Stale &gt;180d</v>
      </c>
      <c r="T954" s="20" t="n">
        <f aca="false">COUNTIF(M954:S954,"FAIL*")+COUNTIF(M954:S954,"FLAG*")</f>
        <v>1</v>
      </c>
      <c r="U954" s="20" t="str">
        <f aca="false">IF(T954=0,"CLEAN",IF(T954=1,"MINOR",IF(T954&lt;=3,"MODERATE","CRITICAL")))</f>
        <v>MINOR</v>
      </c>
      <c r="V954" s="20" t="str">
        <f aca="false">IF(U954="CLEAN","None",IF(U954="MINOR","Seller Notify",IF(U954="MODERATE","Listing Suspended","Immediate Removal")))</f>
        <v>Seller Notify</v>
      </c>
    </row>
    <row r="955" customFormat="false" ht="18" hidden="false" customHeight="true" outlineLevel="0" collapsed="false">
      <c r="A955" s="19" t="s">
        <v>7032</v>
      </c>
      <c r="B955" s="19" t="s">
        <v>5691</v>
      </c>
      <c r="C955" s="19" t="s">
        <v>173</v>
      </c>
      <c r="D955" s="19" t="s">
        <v>174</v>
      </c>
      <c r="E955" s="19" t="s">
        <v>79</v>
      </c>
      <c r="F955" s="19" t="s">
        <v>196</v>
      </c>
      <c r="G955" s="19" t="s">
        <v>5693</v>
      </c>
      <c r="H955" s="19" t="s">
        <v>5694</v>
      </c>
      <c r="I955" s="19" t="s">
        <v>4358</v>
      </c>
      <c r="J955" s="19" t="n">
        <v>633.94</v>
      </c>
      <c r="K955" s="19" t="s">
        <v>704</v>
      </c>
      <c r="L955" s="19"/>
      <c r="M955" s="20" t="str">
        <f aca="false">IF(G955&lt;&gt;"","PASS","FAIL - Missing UPC")</f>
        <v>PASS</v>
      </c>
      <c r="N955" s="20" t="str">
        <f aca="false">IF(AND(G955&lt;&gt;"",H955&lt;&gt;""),IF("0"&amp;G955=H955,"PASS","FAIL - GTIN Mismatch"),"SKIP")</f>
        <v>PASS</v>
      </c>
      <c r="O955" s="20" t="str">
        <f aca="false">IF(I955="","FAIL - No Title",IF(LEN(I955)&lt;=126,"PASS","FAIL - Title &gt;"&amp;126&amp;" chars"))</f>
        <v>PASS</v>
      </c>
      <c r="P955" s="20" t="str">
        <f aca="false">IF(J955&gt;0,IF(J955&lt;5000,"PASS","FLAG - Review Price"),"FAIL - Zero Price")</f>
        <v>PASS</v>
      </c>
      <c r="Q955" s="20" t="str">
        <f aca="false">IF('Raw Catalog'!P953&lt;&gt;"","PASS","FAIL - No Image")</f>
        <v>PASS</v>
      </c>
      <c r="R955" s="20" t="str">
        <f aca="false">IF(F955&lt;&gt;"","PASS","FAIL - No Brand")</f>
        <v>PASS</v>
      </c>
      <c r="S955" s="20" t="str">
        <f aca="true">IF(K955="","FAIL - No Date",IF(TODAY()-DATEVALUE(K955)&lt;=180,"PASS","FLAG - Stale &gt;180d"))</f>
        <v>FLAG - Stale &gt;180d</v>
      </c>
      <c r="T955" s="20" t="n">
        <f aca="false">COUNTIF(M955:S955,"FAIL*")+COUNTIF(M955:S955,"FLAG*")</f>
        <v>1</v>
      </c>
      <c r="U955" s="20" t="str">
        <f aca="false">IF(T955=0,"CLEAN",IF(T955=1,"MINOR",IF(T955&lt;=3,"MODERATE","CRITICAL")))</f>
        <v>MINOR</v>
      </c>
      <c r="V955" s="20" t="str">
        <f aca="false">IF(U955="CLEAN","None",IF(U955="MINOR","Seller Notify",IF(U955="MODERATE","Listing Suspended","Immediate Removal")))</f>
        <v>Seller Notify</v>
      </c>
    </row>
    <row r="956" customFormat="false" ht="18" hidden="false" customHeight="true" outlineLevel="0" collapsed="false">
      <c r="A956" s="19" t="s">
        <v>7033</v>
      </c>
      <c r="B956" s="19" t="s">
        <v>5696</v>
      </c>
      <c r="C956" s="19" t="s">
        <v>173</v>
      </c>
      <c r="D956" s="19" t="s">
        <v>174</v>
      </c>
      <c r="E956" s="19" t="s">
        <v>65</v>
      </c>
      <c r="F956" s="19" t="s">
        <v>390</v>
      </c>
      <c r="G956" s="19" t="s">
        <v>5698</v>
      </c>
      <c r="H956" s="19" t="s">
        <v>5699</v>
      </c>
      <c r="I956" s="19" t="s">
        <v>1469</v>
      </c>
      <c r="J956" s="19" t="n">
        <v>384.86</v>
      </c>
      <c r="K956" s="19" t="s">
        <v>2006</v>
      </c>
      <c r="L956" s="19"/>
      <c r="M956" s="20" t="str">
        <f aca="false">IF(G956&lt;&gt;"","PASS","FAIL - Missing UPC")</f>
        <v>PASS</v>
      </c>
      <c r="N956" s="20" t="str">
        <f aca="false">IF(AND(G956&lt;&gt;"",H956&lt;&gt;""),IF("0"&amp;G956=H956,"PASS","FAIL - GTIN Mismatch"),"SKIP")</f>
        <v>PASS</v>
      </c>
      <c r="O956" s="20" t="str">
        <f aca="false">IF(I956="","FAIL - No Title",IF(LEN(I956)&lt;=126,"PASS","FAIL - Title &gt;"&amp;126&amp;" chars"))</f>
        <v>PASS</v>
      </c>
      <c r="P956" s="20" t="str">
        <f aca="false">IF(J956&gt;0,IF(J956&lt;5000,"PASS","FLAG - Review Price"),"FAIL - Zero Price")</f>
        <v>PASS</v>
      </c>
      <c r="Q956" s="20" t="str">
        <f aca="false">IF('Raw Catalog'!P954&lt;&gt;"","PASS","FAIL - No Image")</f>
        <v>PASS</v>
      </c>
      <c r="R956" s="20" t="str">
        <f aca="false">IF(F956&lt;&gt;"","PASS","FAIL - No Brand")</f>
        <v>PASS</v>
      </c>
      <c r="S956" s="20" t="str">
        <f aca="true">IF(K956="","FAIL - No Date",IF(TODAY()-DATEVALUE(K956)&lt;=180,"PASS","FLAG - Stale &gt;180d"))</f>
        <v>FLAG - Stale &gt;180d</v>
      </c>
      <c r="T956" s="20" t="n">
        <f aca="false">COUNTIF(M956:S956,"FAIL*")+COUNTIF(M956:S956,"FLAG*")</f>
        <v>1</v>
      </c>
      <c r="U956" s="20" t="str">
        <f aca="false">IF(T956=0,"CLEAN",IF(T956=1,"MINOR",IF(T956&lt;=3,"MODERATE","CRITICAL")))</f>
        <v>MINOR</v>
      </c>
      <c r="V956" s="20" t="str">
        <f aca="false">IF(U956="CLEAN","None",IF(U956="MINOR","Seller Notify",IF(U956="MODERATE","Listing Suspended","Immediate Removal")))</f>
        <v>Seller Notify</v>
      </c>
    </row>
    <row r="957" customFormat="false" ht="18" hidden="false" customHeight="true" outlineLevel="0" collapsed="false">
      <c r="A957" s="19" t="s">
        <v>7034</v>
      </c>
      <c r="B957" s="19" t="s">
        <v>5700</v>
      </c>
      <c r="C957" s="19" t="s">
        <v>48</v>
      </c>
      <c r="D957" s="19" t="s">
        <v>49</v>
      </c>
      <c r="E957" s="19" t="s">
        <v>91</v>
      </c>
      <c r="F957" s="19" t="s">
        <v>780</v>
      </c>
      <c r="G957" s="19" t="s">
        <v>5702</v>
      </c>
      <c r="H957" s="19" t="s">
        <v>5703</v>
      </c>
      <c r="I957" s="19" t="s">
        <v>5704</v>
      </c>
      <c r="J957" s="19" t="n">
        <v>17215.45</v>
      </c>
      <c r="K957" s="19" t="s">
        <v>3166</v>
      </c>
      <c r="L957" s="21" t="s">
        <v>343</v>
      </c>
      <c r="M957" s="20" t="str">
        <f aca="false">IF(G957&lt;&gt;"","PASS","FAIL - Missing UPC")</f>
        <v>PASS</v>
      </c>
      <c r="N957" s="20" t="str">
        <f aca="false">IF(AND(G957&lt;&gt;"",H957&lt;&gt;""),IF("0"&amp;G957=H957,"PASS","FAIL - GTIN Mismatch"),"SKIP")</f>
        <v>PASS</v>
      </c>
      <c r="O957" s="20" t="str">
        <f aca="false">IF(I957="","FAIL - No Title",IF(LEN(I957)&lt;=126,"PASS","FAIL - Title &gt;"&amp;126&amp;" chars"))</f>
        <v>PASS</v>
      </c>
      <c r="P957" s="20" t="str">
        <f aca="false">IF(J957&gt;0,IF(J957&lt;5000,"PASS","FLAG - Review Price"),"FAIL - Zero Price")</f>
        <v>FLAG - Review Price</v>
      </c>
      <c r="Q957" s="20" t="str">
        <f aca="false">IF('Raw Catalog'!P955&lt;&gt;"","PASS","FAIL - No Image")</f>
        <v>PASS</v>
      </c>
      <c r="R957" s="20" t="str">
        <f aca="false">IF(F957&lt;&gt;"","PASS","FAIL - No Brand")</f>
        <v>PASS</v>
      </c>
      <c r="S957" s="20" t="str">
        <f aca="true">IF(K957="","FAIL - No Date",IF(TODAY()-DATEVALUE(K957)&lt;=180,"PASS","FLAG - Stale &gt;180d"))</f>
        <v>FLAG - Stale &gt;180d</v>
      </c>
      <c r="T957" s="20" t="n">
        <f aca="false">COUNTIF(M957:S957,"FAIL*")+COUNTIF(M957:S957,"FLAG*")</f>
        <v>2</v>
      </c>
      <c r="U957" s="20" t="str">
        <f aca="false">IF(T957=0,"CLEAN",IF(T957=1,"MINOR",IF(T957&lt;=3,"MODERATE","CRITICAL")))</f>
        <v>MODERATE</v>
      </c>
      <c r="V957" s="20" t="str">
        <f aca="false">IF(U957="CLEAN","None",IF(U957="MINOR","Seller Notify",IF(U957="MODERATE","Listing Suspended","Immediate Removal")))</f>
        <v>Listing Suspended</v>
      </c>
    </row>
    <row r="958" customFormat="false" ht="18" hidden="false" customHeight="true" outlineLevel="0" collapsed="false">
      <c r="A958" s="19" t="s">
        <v>7035</v>
      </c>
      <c r="B958" s="19" t="s">
        <v>5705</v>
      </c>
      <c r="C958" s="19" t="s">
        <v>255</v>
      </c>
      <c r="D958" s="19" t="s">
        <v>256</v>
      </c>
      <c r="E958" s="19" t="s">
        <v>65</v>
      </c>
      <c r="F958" s="19" t="s">
        <v>438</v>
      </c>
      <c r="G958" s="19" t="s">
        <v>5707</v>
      </c>
      <c r="H958" s="19" t="s">
        <v>5708</v>
      </c>
      <c r="I958" s="19" t="s">
        <v>885</v>
      </c>
      <c r="J958" s="19" t="n">
        <v>348.92</v>
      </c>
      <c r="K958" s="19" t="s">
        <v>4030</v>
      </c>
      <c r="L958" s="19"/>
      <c r="M958" s="20" t="str">
        <f aca="false">IF(G958&lt;&gt;"","PASS","FAIL - Missing UPC")</f>
        <v>PASS</v>
      </c>
      <c r="N958" s="20" t="str">
        <f aca="false">IF(AND(G958&lt;&gt;"",H958&lt;&gt;""),IF("0"&amp;G958=H958,"PASS","FAIL - GTIN Mismatch"),"SKIP")</f>
        <v>PASS</v>
      </c>
      <c r="O958" s="20" t="str">
        <f aca="false">IF(I958="","FAIL - No Title",IF(LEN(I958)&lt;=126,"PASS","FAIL - Title &gt;"&amp;126&amp;" chars"))</f>
        <v>PASS</v>
      </c>
      <c r="P958" s="20" t="str">
        <f aca="false">IF(J958&gt;0,IF(J958&lt;5000,"PASS","FLAG - Review Price"),"FAIL - Zero Price")</f>
        <v>PASS</v>
      </c>
      <c r="Q958" s="20" t="str">
        <f aca="false">IF('Raw Catalog'!P956&lt;&gt;"","PASS","FAIL - No Image")</f>
        <v>PASS</v>
      </c>
      <c r="R958" s="20" t="str">
        <f aca="false">IF(F958&lt;&gt;"","PASS","FAIL - No Brand")</f>
        <v>PASS</v>
      </c>
      <c r="S958" s="20" t="str">
        <f aca="true">IF(K958="","FAIL - No Date",IF(TODAY()-DATEVALUE(K958)&lt;=180,"PASS","FLAG - Stale &gt;180d"))</f>
        <v>FLAG - Stale &gt;180d</v>
      </c>
      <c r="T958" s="20" t="n">
        <f aca="false">COUNTIF(M958:S958,"FAIL*")+COUNTIF(M958:S958,"FLAG*")</f>
        <v>1</v>
      </c>
      <c r="U958" s="20" t="str">
        <f aca="false">IF(T958=0,"CLEAN",IF(T958=1,"MINOR",IF(T958&lt;=3,"MODERATE","CRITICAL")))</f>
        <v>MINOR</v>
      </c>
      <c r="V958" s="20" t="str">
        <f aca="false">IF(U958="CLEAN","None",IF(U958="MINOR","Seller Notify",IF(U958="MODERATE","Listing Suspended","Immediate Removal")))</f>
        <v>Seller Notify</v>
      </c>
    </row>
    <row r="959" customFormat="false" ht="18" hidden="false" customHeight="true" outlineLevel="0" collapsed="false">
      <c r="A959" s="19" t="s">
        <v>7036</v>
      </c>
      <c r="B959" s="19" t="s">
        <v>5709</v>
      </c>
      <c r="C959" s="19" t="s">
        <v>173</v>
      </c>
      <c r="D959" s="19" t="s">
        <v>174</v>
      </c>
      <c r="E959" s="19" t="s">
        <v>50</v>
      </c>
      <c r="F959" s="19" t="s">
        <v>138</v>
      </c>
      <c r="G959" s="19" t="s">
        <v>5711</v>
      </c>
      <c r="H959" s="19" t="s">
        <v>5712</v>
      </c>
      <c r="I959" s="19" t="s">
        <v>5713</v>
      </c>
      <c r="J959" s="19" t="n">
        <v>684.76</v>
      </c>
      <c r="K959" s="19" t="s">
        <v>2738</v>
      </c>
      <c r="L959" s="19"/>
      <c r="M959" s="20" t="str">
        <f aca="false">IF(G959&lt;&gt;"","PASS","FAIL - Missing UPC")</f>
        <v>PASS</v>
      </c>
      <c r="N959" s="20" t="str">
        <f aca="false">IF(AND(G959&lt;&gt;"",H959&lt;&gt;""),IF("0"&amp;G959=H959,"PASS","FAIL - GTIN Mismatch"),"SKIP")</f>
        <v>PASS</v>
      </c>
      <c r="O959" s="20" t="str">
        <f aca="false">IF(I959="","FAIL - No Title",IF(LEN(I959)&lt;=126,"PASS","FAIL - Title &gt;"&amp;126&amp;" chars"))</f>
        <v>PASS</v>
      </c>
      <c r="P959" s="20" t="str">
        <f aca="false">IF(J959&gt;0,IF(J959&lt;5000,"PASS","FLAG - Review Price"),"FAIL - Zero Price")</f>
        <v>PASS</v>
      </c>
      <c r="Q959" s="20" t="str">
        <f aca="false">IF('Raw Catalog'!P957&lt;&gt;"","PASS","FAIL - No Image")</f>
        <v>PASS</v>
      </c>
      <c r="R959" s="20" t="str">
        <f aca="false">IF(F959&lt;&gt;"","PASS","FAIL - No Brand")</f>
        <v>PASS</v>
      </c>
      <c r="S959" s="20" t="str">
        <f aca="true">IF(K959="","FAIL - No Date",IF(TODAY()-DATEVALUE(K959)&lt;=180,"PASS","FLAG - Stale &gt;180d"))</f>
        <v>FLAG - Stale &gt;180d</v>
      </c>
      <c r="T959" s="20" t="n">
        <f aca="false">COUNTIF(M959:S959,"FAIL*")+COUNTIF(M959:S959,"FLAG*")</f>
        <v>1</v>
      </c>
      <c r="U959" s="20" t="str">
        <f aca="false">IF(T959=0,"CLEAN",IF(T959=1,"MINOR",IF(T959&lt;=3,"MODERATE","CRITICAL")))</f>
        <v>MINOR</v>
      </c>
      <c r="V959" s="20" t="str">
        <f aca="false">IF(U959="CLEAN","None",IF(U959="MINOR","Seller Notify",IF(U959="MODERATE","Listing Suspended","Immediate Removal")))</f>
        <v>Seller Notify</v>
      </c>
    </row>
    <row r="960" customFormat="false" ht="18" hidden="false" customHeight="true" outlineLevel="0" collapsed="false">
      <c r="A960" s="19" t="s">
        <v>7037</v>
      </c>
      <c r="B960" s="19" t="s">
        <v>5715</v>
      </c>
      <c r="C960" s="19" t="s">
        <v>255</v>
      </c>
      <c r="D960" s="19" t="s">
        <v>256</v>
      </c>
      <c r="E960" s="19" t="s">
        <v>65</v>
      </c>
      <c r="F960" s="19" t="s">
        <v>390</v>
      </c>
      <c r="G960" s="19" t="s">
        <v>5717</v>
      </c>
      <c r="H960" s="19" t="s">
        <v>5718</v>
      </c>
      <c r="I960" s="19" t="s">
        <v>3739</v>
      </c>
      <c r="J960" s="19" t="n">
        <v>415.27</v>
      </c>
      <c r="K960" s="19" t="s">
        <v>1765</v>
      </c>
      <c r="L960" s="19"/>
      <c r="M960" s="20" t="str">
        <f aca="false">IF(G960&lt;&gt;"","PASS","FAIL - Missing UPC")</f>
        <v>PASS</v>
      </c>
      <c r="N960" s="20" t="str">
        <f aca="false">IF(AND(G960&lt;&gt;"",H960&lt;&gt;""),IF("0"&amp;G960=H960,"PASS","FAIL - GTIN Mismatch"),"SKIP")</f>
        <v>PASS</v>
      </c>
      <c r="O960" s="20" t="str">
        <f aca="false">IF(I960="","FAIL - No Title",IF(LEN(I960)&lt;=126,"PASS","FAIL - Title &gt;"&amp;126&amp;" chars"))</f>
        <v>PASS</v>
      </c>
      <c r="P960" s="20" t="str">
        <f aca="false">IF(J960&gt;0,IF(J960&lt;5000,"PASS","FLAG - Review Price"),"FAIL - Zero Price")</f>
        <v>PASS</v>
      </c>
      <c r="Q960" s="20" t="str">
        <f aca="false">IF('Raw Catalog'!P958&lt;&gt;"","PASS","FAIL - No Image")</f>
        <v>PASS</v>
      </c>
      <c r="R960" s="20" t="str">
        <f aca="false">IF(F960&lt;&gt;"","PASS","FAIL - No Brand")</f>
        <v>PASS</v>
      </c>
      <c r="S960" s="20" t="str">
        <f aca="true">IF(K960="","FAIL - No Date",IF(TODAY()-DATEVALUE(K960)&lt;=180,"PASS","FLAG - Stale &gt;180d"))</f>
        <v>FLAG - Stale &gt;180d</v>
      </c>
      <c r="T960" s="20" t="n">
        <f aca="false">COUNTIF(M960:S960,"FAIL*")+COUNTIF(M960:S960,"FLAG*")</f>
        <v>1</v>
      </c>
      <c r="U960" s="20" t="str">
        <f aca="false">IF(T960=0,"CLEAN",IF(T960=1,"MINOR",IF(T960&lt;=3,"MODERATE","CRITICAL")))</f>
        <v>MINOR</v>
      </c>
      <c r="V960" s="20" t="str">
        <f aca="false">IF(U960="CLEAN","None",IF(U960="MINOR","Seller Notify",IF(U960="MODERATE","Listing Suspended","Immediate Removal")))</f>
        <v>Seller Notify</v>
      </c>
    </row>
    <row r="961" customFormat="false" ht="18" hidden="false" customHeight="true" outlineLevel="0" collapsed="false">
      <c r="A961" s="19" t="s">
        <v>7038</v>
      </c>
      <c r="B961" s="19" t="s">
        <v>5719</v>
      </c>
      <c r="C961" s="19" t="s">
        <v>63</v>
      </c>
      <c r="D961" s="19" t="s">
        <v>64</v>
      </c>
      <c r="E961" s="19" t="s">
        <v>50</v>
      </c>
      <c r="F961" s="19" t="s">
        <v>503</v>
      </c>
      <c r="G961" s="19" t="s">
        <v>5721</v>
      </c>
      <c r="H961" s="19" t="s">
        <v>5722</v>
      </c>
      <c r="I961" s="19" t="s">
        <v>4017</v>
      </c>
      <c r="J961" s="19" t="n">
        <v>1154.04</v>
      </c>
      <c r="K961" s="19" t="s">
        <v>888</v>
      </c>
      <c r="L961" s="19"/>
      <c r="M961" s="20" t="str">
        <f aca="false">IF(G961&lt;&gt;"","PASS","FAIL - Missing UPC")</f>
        <v>PASS</v>
      </c>
      <c r="N961" s="20" t="str">
        <f aca="false">IF(AND(G961&lt;&gt;"",H961&lt;&gt;""),IF("0"&amp;G961=H961,"PASS","FAIL - GTIN Mismatch"),"SKIP")</f>
        <v>PASS</v>
      </c>
      <c r="O961" s="20" t="str">
        <f aca="false">IF(I961="","FAIL - No Title",IF(LEN(I961)&lt;=126,"PASS","FAIL - Title &gt;"&amp;126&amp;" chars"))</f>
        <v>PASS</v>
      </c>
      <c r="P961" s="20" t="str">
        <f aca="false">IF(J961&gt;0,IF(J961&lt;5000,"PASS","FLAG - Review Price"),"FAIL - Zero Price")</f>
        <v>PASS</v>
      </c>
      <c r="Q961" s="20" t="str">
        <f aca="false">IF('Raw Catalog'!P959&lt;&gt;"","PASS","FAIL - No Image")</f>
        <v>PASS</v>
      </c>
      <c r="R961" s="20" t="str">
        <f aca="false">IF(F961&lt;&gt;"","PASS","FAIL - No Brand")</f>
        <v>PASS</v>
      </c>
      <c r="S961" s="20" t="str">
        <f aca="true">IF(K961="","FAIL - No Date",IF(TODAY()-DATEVALUE(K961)&lt;=180,"PASS","FLAG - Stale &gt;180d"))</f>
        <v>FLAG - Stale &gt;180d</v>
      </c>
      <c r="T961" s="20" t="n">
        <f aca="false">COUNTIF(M961:S961,"FAIL*")+COUNTIF(M961:S961,"FLAG*")</f>
        <v>1</v>
      </c>
      <c r="U961" s="20" t="str">
        <f aca="false">IF(T961=0,"CLEAN",IF(T961=1,"MINOR",IF(T961&lt;=3,"MODERATE","CRITICAL")))</f>
        <v>MINOR</v>
      </c>
      <c r="V961" s="20" t="str">
        <f aca="false">IF(U961="CLEAN","None",IF(U961="MINOR","Seller Notify",IF(U961="MODERATE","Listing Suspended","Immediate Removal")))</f>
        <v>Seller Notify</v>
      </c>
    </row>
    <row r="962" customFormat="false" ht="18" hidden="false" customHeight="true" outlineLevel="0" collapsed="false">
      <c r="A962" s="19" t="s">
        <v>7039</v>
      </c>
      <c r="B962" s="19" t="s">
        <v>5723</v>
      </c>
      <c r="C962" s="19" t="s">
        <v>173</v>
      </c>
      <c r="D962" s="19" t="s">
        <v>174</v>
      </c>
      <c r="E962" s="19" t="s">
        <v>91</v>
      </c>
      <c r="F962" s="19" t="s">
        <v>92</v>
      </c>
      <c r="G962" s="19" t="s">
        <v>5725</v>
      </c>
      <c r="H962" s="19" t="s">
        <v>5726</v>
      </c>
      <c r="I962" s="19" t="s">
        <v>2984</v>
      </c>
      <c r="J962" s="19" t="n">
        <v>2526.94</v>
      </c>
      <c r="K962" s="19" t="s">
        <v>2622</v>
      </c>
      <c r="L962" s="19"/>
      <c r="M962" s="20" t="str">
        <f aca="false">IF(G962&lt;&gt;"","PASS","FAIL - Missing UPC")</f>
        <v>PASS</v>
      </c>
      <c r="N962" s="20" t="str">
        <f aca="false">IF(AND(G962&lt;&gt;"",H962&lt;&gt;""),IF("0"&amp;G962=H962,"PASS","FAIL - GTIN Mismatch"),"SKIP")</f>
        <v>PASS</v>
      </c>
      <c r="O962" s="20" t="str">
        <f aca="false">IF(I962="","FAIL - No Title",IF(LEN(I962)&lt;=126,"PASS","FAIL - Title &gt;"&amp;126&amp;" chars"))</f>
        <v>PASS</v>
      </c>
      <c r="P962" s="20" t="str">
        <f aca="false">IF(J962&gt;0,IF(J962&lt;5000,"PASS","FLAG - Review Price"),"FAIL - Zero Price")</f>
        <v>PASS</v>
      </c>
      <c r="Q962" s="20" t="str">
        <f aca="false">IF('Raw Catalog'!P960&lt;&gt;"","PASS","FAIL - No Image")</f>
        <v>PASS</v>
      </c>
      <c r="R962" s="20" t="str">
        <f aca="false">IF(F962&lt;&gt;"","PASS","FAIL - No Brand")</f>
        <v>PASS</v>
      </c>
      <c r="S962" s="20" t="str">
        <f aca="true">IF(K962="","FAIL - No Date",IF(TODAY()-DATEVALUE(K962)&lt;=180,"PASS","FLAG - Stale &gt;180d"))</f>
        <v>FLAG - Stale &gt;180d</v>
      </c>
      <c r="T962" s="20" t="n">
        <f aca="false">COUNTIF(M962:S962,"FAIL*")+COUNTIF(M962:S962,"FLAG*")</f>
        <v>1</v>
      </c>
      <c r="U962" s="20" t="str">
        <f aca="false">IF(T962=0,"CLEAN",IF(T962=1,"MINOR",IF(T962&lt;=3,"MODERATE","CRITICAL")))</f>
        <v>MINOR</v>
      </c>
      <c r="V962" s="20" t="str">
        <f aca="false">IF(U962="CLEAN","None",IF(U962="MINOR","Seller Notify",IF(U962="MODERATE","Listing Suspended","Immediate Removal")))</f>
        <v>Seller Notify</v>
      </c>
    </row>
    <row r="963" customFormat="false" ht="18" hidden="false" customHeight="true" outlineLevel="0" collapsed="false">
      <c r="A963" s="19" t="s">
        <v>7040</v>
      </c>
      <c r="B963" s="19" t="s">
        <v>5728</v>
      </c>
      <c r="C963" s="19" t="s">
        <v>159</v>
      </c>
      <c r="D963" s="19" t="s">
        <v>160</v>
      </c>
      <c r="E963" s="19" t="s">
        <v>50</v>
      </c>
      <c r="F963" s="19" t="s">
        <v>503</v>
      </c>
      <c r="G963" s="19" t="s">
        <v>5730</v>
      </c>
      <c r="H963" s="19" t="s">
        <v>5731</v>
      </c>
      <c r="I963" s="19" t="s">
        <v>1265</v>
      </c>
      <c r="J963" s="19" t="n">
        <v>179.87</v>
      </c>
      <c r="K963" s="19" t="s">
        <v>1459</v>
      </c>
      <c r="L963" s="19"/>
      <c r="M963" s="20" t="str">
        <f aca="false">IF(G963&lt;&gt;"","PASS","FAIL - Missing UPC")</f>
        <v>PASS</v>
      </c>
      <c r="N963" s="20" t="str">
        <f aca="false">IF(AND(G963&lt;&gt;"",H963&lt;&gt;""),IF("0"&amp;G963=H963,"PASS","FAIL - GTIN Mismatch"),"SKIP")</f>
        <v>PASS</v>
      </c>
      <c r="O963" s="20" t="str">
        <f aca="false">IF(I963="","FAIL - No Title",IF(LEN(I963)&lt;=126,"PASS","FAIL - Title &gt;"&amp;126&amp;" chars"))</f>
        <v>PASS</v>
      </c>
      <c r="P963" s="20" t="str">
        <f aca="false">IF(J963&gt;0,IF(J963&lt;5000,"PASS","FLAG - Review Price"),"FAIL - Zero Price")</f>
        <v>PASS</v>
      </c>
      <c r="Q963" s="20" t="str">
        <f aca="false">IF('Raw Catalog'!P961&lt;&gt;"","PASS","FAIL - No Image")</f>
        <v>PASS</v>
      </c>
      <c r="R963" s="20" t="str">
        <f aca="false">IF(F963&lt;&gt;"","PASS","FAIL - No Brand")</f>
        <v>PASS</v>
      </c>
      <c r="S963" s="20" t="str">
        <f aca="true">IF(K963="","FAIL - No Date",IF(TODAY()-DATEVALUE(K963)&lt;=180,"PASS","FLAG - Stale &gt;180d"))</f>
        <v>FLAG - Stale &gt;180d</v>
      </c>
      <c r="T963" s="20" t="n">
        <f aca="false">COUNTIF(M963:S963,"FAIL*")+COUNTIF(M963:S963,"FLAG*")</f>
        <v>1</v>
      </c>
      <c r="U963" s="20" t="str">
        <f aca="false">IF(T963=0,"CLEAN",IF(T963=1,"MINOR",IF(T963&lt;=3,"MODERATE","CRITICAL")))</f>
        <v>MINOR</v>
      </c>
      <c r="V963" s="20" t="str">
        <f aca="false">IF(U963="CLEAN","None",IF(U963="MINOR","Seller Notify",IF(U963="MODERATE","Listing Suspended","Immediate Removal")))</f>
        <v>Seller Notify</v>
      </c>
    </row>
    <row r="964" customFormat="false" ht="18" hidden="false" customHeight="true" outlineLevel="0" collapsed="false">
      <c r="A964" s="19" t="s">
        <v>7041</v>
      </c>
      <c r="B964" s="19" t="s">
        <v>5733</v>
      </c>
      <c r="C964" s="19" t="s">
        <v>159</v>
      </c>
      <c r="D964" s="19" t="s">
        <v>160</v>
      </c>
      <c r="E964" s="19" t="s">
        <v>79</v>
      </c>
      <c r="F964" s="19"/>
      <c r="G964" s="19" t="s">
        <v>5735</v>
      </c>
      <c r="H964" s="19" t="s">
        <v>5736</v>
      </c>
      <c r="I964" s="19" t="s">
        <v>5737</v>
      </c>
      <c r="J964" s="19" t="n">
        <v>2474.39</v>
      </c>
      <c r="K964" s="19" t="s">
        <v>1125</v>
      </c>
      <c r="L964" s="21" t="s">
        <v>89</v>
      </c>
      <c r="M964" s="20" t="str">
        <f aca="false">IF(G964&lt;&gt;"","PASS","FAIL - Missing UPC")</f>
        <v>PASS</v>
      </c>
      <c r="N964" s="20" t="str">
        <f aca="false">IF(AND(G964&lt;&gt;"",H964&lt;&gt;""),IF("0"&amp;G964=H964,"PASS","FAIL - GTIN Mismatch"),"SKIP")</f>
        <v>PASS</v>
      </c>
      <c r="O964" s="20" t="str">
        <f aca="false">IF(I964="","FAIL - No Title",IF(LEN(I964)&lt;=126,"PASS","FAIL - Title &gt;"&amp;126&amp;" chars"))</f>
        <v>PASS</v>
      </c>
      <c r="P964" s="20" t="str">
        <f aca="false">IF(J964&gt;0,IF(J964&lt;5000,"PASS","FLAG - Review Price"),"FAIL - Zero Price")</f>
        <v>PASS</v>
      </c>
      <c r="Q964" s="20" t="str">
        <f aca="false">IF('Raw Catalog'!P962&lt;&gt;"","PASS","FAIL - No Image")</f>
        <v>PASS</v>
      </c>
      <c r="R964" s="20" t="str">
        <f aca="false">IF(F964&lt;&gt;"","PASS","FAIL - No Brand")</f>
        <v>FAIL - No Brand</v>
      </c>
      <c r="S964" s="20" t="str">
        <f aca="true">IF(K964="","FAIL - No Date",IF(TODAY()-DATEVALUE(K964)&lt;=180,"PASS","FLAG - Stale &gt;180d"))</f>
        <v>FLAG - Stale &gt;180d</v>
      </c>
      <c r="T964" s="20" t="n">
        <f aca="false">COUNTIF(M964:S964,"FAIL*")+COUNTIF(M964:S964,"FLAG*")</f>
        <v>2</v>
      </c>
      <c r="U964" s="20" t="str">
        <f aca="false">IF(T964=0,"CLEAN",IF(T964=1,"MINOR",IF(T964&lt;=3,"MODERATE","CRITICAL")))</f>
        <v>MODERATE</v>
      </c>
      <c r="V964" s="20" t="str">
        <f aca="false">IF(U964="CLEAN","None",IF(U964="MINOR","Seller Notify",IF(U964="MODERATE","Listing Suspended","Immediate Removal")))</f>
        <v>Listing Suspended</v>
      </c>
    </row>
    <row r="965" customFormat="false" ht="18" hidden="false" customHeight="true" outlineLevel="0" collapsed="false">
      <c r="A965" s="19" t="s">
        <v>7042</v>
      </c>
      <c r="B965" s="19" t="s">
        <v>5739</v>
      </c>
      <c r="C965" s="19" t="s">
        <v>113</v>
      </c>
      <c r="D965" s="19" t="s">
        <v>114</v>
      </c>
      <c r="E965" s="19" t="s">
        <v>161</v>
      </c>
      <c r="F965" s="19" t="s">
        <v>306</v>
      </c>
      <c r="G965" s="19"/>
      <c r="H965" s="19" t="s">
        <v>5741</v>
      </c>
      <c r="I965" s="19" t="s">
        <v>5742</v>
      </c>
      <c r="J965" s="19" t="n">
        <v>146.7</v>
      </c>
      <c r="K965" s="19" t="s">
        <v>205</v>
      </c>
      <c r="L965" s="21" t="s">
        <v>272</v>
      </c>
      <c r="M965" s="20" t="str">
        <f aca="false">IF(G965&lt;&gt;"","PASS","FAIL - Missing UPC")</f>
        <v>FAIL - Missing UPC</v>
      </c>
      <c r="N965" s="20" t="str">
        <f aca="false">IF(AND(G965&lt;&gt;"",H965&lt;&gt;""),IF("0"&amp;G965=H965,"PASS","FAIL - GTIN Mismatch"),"SKIP")</f>
        <v>SKIP</v>
      </c>
      <c r="O965" s="20" t="str">
        <f aca="false">IF(I965="","FAIL - No Title",IF(LEN(I965)&lt;=126,"PASS","FAIL - Title &gt;"&amp;126&amp;" chars"))</f>
        <v>PASS</v>
      </c>
      <c r="P965" s="20" t="str">
        <f aca="false">IF(J965&gt;0,IF(J965&lt;5000,"PASS","FLAG - Review Price"),"FAIL - Zero Price")</f>
        <v>PASS</v>
      </c>
      <c r="Q965" s="20" t="str">
        <f aca="false">IF('Raw Catalog'!P963&lt;&gt;"","PASS","FAIL - No Image")</f>
        <v>PASS</v>
      </c>
      <c r="R965" s="20" t="str">
        <f aca="false">IF(F965&lt;&gt;"","PASS","FAIL - No Brand")</f>
        <v>PASS</v>
      </c>
      <c r="S965" s="20" t="str">
        <f aca="true">IF(K965="","FAIL - No Date",IF(TODAY()-DATEVALUE(K965)&lt;=180,"PASS","FLAG - Stale &gt;180d"))</f>
        <v>FLAG - Stale &gt;180d</v>
      </c>
      <c r="T965" s="20" t="n">
        <f aca="false">COUNTIF(M965:S965,"FAIL*")+COUNTIF(M965:S965,"FLAG*")</f>
        <v>2</v>
      </c>
      <c r="U965" s="20" t="str">
        <f aca="false">IF(T965=0,"CLEAN",IF(T965=1,"MINOR",IF(T965&lt;=3,"MODERATE","CRITICAL")))</f>
        <v>MODERATE</v>
      </c>
      <c r="V965" s="20" t="str">
        <f aca="false">IF(U965="CLEAN","None",IF(U965="MINOR","Seller Notify",IF(U965="MODERATE","Listing Suspended","Immediate Removal")))</f>
        <v>Listing Suspended</v>
      </c>
    </row>
    <row r="966" customFormat="false" ht="18" hidden="false" customHeight="true" outlineLevel="0" collapsed="false">
      <c r="A966" s="19" t="s">
        <v>7043</v>
      </c>
      <c r="B966" s="19" t="s">
        <v>5744</v>
      </c>
      <c r="C966" s="19" t="s">
        <v>125</v>
      </c>
      <c r="D966" s="19" t="s">
        <v>126</v>
      </c>
      <c r="E966" s="19" t="s">
        <v>65</v>
      </c>
      <c r="F966" s="19" t="s">
        <v>438</v>
      </c>
      <c r="G966" s="19" t="s">
        <v>5746</v>
      </c>
      <c r="H966" s="19" t="s">
        <v>5747</v>
      </c>
      <c r="I966" s="19" t="s">
        <v>885</v>
      </c>
      <c r="J966" s="19" t="n">
        <v>193.98</v>
      </c>
      <c r="K966" s="19" t="s">
        <v>147</v>
      </c>
      <c r="L966" s="19"/>
      <c r="M966" s="20" t="str">
        <f aca="false">IF(G966&lt;&gt;"","PASS","FAIL - Missing UPC")</f>
        <v>PASS</v>
      </c>
      <c r="N966" s="20" t="str">
        <f aca="false">IF(AND(G966&lt;&gt;"",H966&lt;&gt;""),IF("0"&amp;G966=H966,"PASS","FAIL - GTIN Mismatch"),"SKIP")</f>
        <v>PASS</v>
      </c>
      <c r="O966" s="20" t="str">
        <f aca="false">IF(I966="","FAIL - No Title",IF(LEN(I966)&lt;=126,"PASS","FAIL - Title &gt;"&amp;126&amp;" chars"))</f>
        <v>PASS</v>
      </c>
      <c r="P966" s="20" t="str">
        <f aca="false">IF(J966&gt;0,IF(J966&lt;5000,"PASS","FLAG - Review Price"),"FAIL - Zero Price")</f>
        <v>PASS</v>
      </c>
      <c r="Q966" s="20" t="str">
        <f aca="false">IF('Raw Catalog'!P964&lt;&gt;"","PASS","FAIL - No Image")</f>
        <v>PASS</v>
      </c>
      <c r="R966" s="20" t="str">
        <f aca="false">IF(F966&lt;&gt;"","PASS","FAIL - No Brand")</f>
        <v>PASS</v>
      </c>
      <c r="S966" s="20" t="str">
        <f aca="true">IF(K966="","FAIL - No Date",IF(TODAY()-DATEVALUE(K966)&lt;=180,"PASS","FLAG - Stale &gt;180d"))</f>
        <v>FLAG - Stale &gt;180d</v>
      </c>
      <c r="T966" s="20" t="n">
        <f aca="false">COUNTIF(M966:S966,"FAIL*")+COUNTIF(M966:S966,"FLAG*")</f>
        <v>1</v>
      </c>
      <c r="U966" s="20" t="str">
        <f aca="false">IF(T966=0,"CLEAN",IF(T966=1,"MINOR",IF(T966&lt;=3,"MODERATE","CRITICAL")))</f>
        <v>MINOR</v>
      </c>
      <c r="V966" s="20" t="str">
        <f aca="false">IF(U966="CLEAN","None",IF(U966="MINOR","Seller Notify",IF(U966="MODERATE","Listing Suspended","Immediate Removal")))</f>
        <v>Seller Notify</v>
      </c>
    </row>
    <row r="967" customFormat="false" ht="18" hidden="false" customHeight="true" outlineLevel="0" collapsed="false">
      <c r="A967" s="19" t="s">
        <v>7044</v>
      </c>
      <c r="B967" s="19" t="s">
        <v>5748</v>
      </c>
      <c r="C967" s="19" t="s">
        <v>63</v>
      </c>
      <c r="D967" s="19" t="s">
        <v>64</v>
      </c>
      <c r="E967" s="19" t="s">
        <v>79</v>
      </c>
      <c r="F967" s="19" t="s">
        <v>513</v>
      </c>
      <c r="G967" s="19" t="s">
        <v>5750</v>
      </c>
      <c r="H967" s="19" t="s">
        <v>5751</v>
      </c>
      <c r="I967" s="19" t="s">
        <v>566</v>
      </c>
      <c r="J967" s="19" t="n">
        <v>1110.98</v>
      </c>
      <c r="K967" s="19" t="s">
        <v>1035</v>
      </c>
      <c r="L967" s="19"/>
      <c r="M967" s="20" t="str">
        <f aca="false">IF(G967&lt;&gt;"","PASS","FAIL - Missing UPC")</f>
        <v>PASS</v>
      </c>
      <c r="N967" s="20" t="str">
        <f aca="false">IF(AND(G967&lt;&gt;"",H967&lt;&gt;""),IF("0"&amp;G967=H967,"PASS","FAIL - GTIN Mismatch"),"SKIP")</f>
        <v>PASS</v>
      </c>
      <c r="O967" s="20" t="str">
        <f aca="false">IF(I967="","FAIL - No Title",IF(LEN(I967)&lt;=126,"PASS","FAIL - Title &gt;"&amp;126&amp;" chars"))</f>
        <v>PASS</v>
      </c>
      <c r="P967" s="20" t="str">
        <f aca="false">IF(J967&gt;0,IF(J967&lt;5000,"PASS","FLAG - Review Price"),"FAIL - Zero Price")</f>
        <v>PASS</v>
      </c>
      <c r="Q967" s="20" t="str">
        <f aca="false">IF('Raw Catalog'!P965&lt;&gt;"","PASS","FAIL - No Image")</f>
        <v>PASS</v>
      </c>
      <c r="R967" s="20" t="str">
        <f aca="false">IF(F967&lt;&gt;"","PASS","FAIL - No Brand")</f>
        <v>PASS</v>
      </c>
      <c r="S967" s="20" t="str">
        <f aca="true">IF(K967="","FAIL - No Date",IF(TODAY()-DATEVALUE(K967)&lt;=180,"PASS","FLAG - Stale &gt;180d"))</f>
        <v>FLAG - Stale &gt;180d</v>
      </c>
      <c r="T967" s="20" t="n">
        <f aca="false">COUNTIF(M967:S967,"FAIL*")+COUNTIF(M967:S967,"FLAG*")</f>
        <v>1</v>
      </c>
      <c r="U967" s="20" t="str">
        <f aca="false">IF(T967=0,"CLEAN",IF(T967=1,"MINOR",IF(T967&lt;=3,"MODERATE","CRITICAL")))</f>
        <v>MINOR</v>
      </c>
      <c r="V967" s="20" t="str">
        <f aca="false">IF(U967="CLEAN","None",IF(U967="MINOR","Seller Notify",IF(U967="MODERATE","Listing Suspended","Immediate Removal")))</f>
        <v>Seller Notify</v>
      </c>
    </row>
    <row r="968" customFormat="false" ht="18" hidden="false" customHeight="true" outlineLevel="0" collapsed="false">
      <c r="A968" s="19" t="s">
        <v>7045</v>
      </c>
      <c r="B968" s="19" t="s">
        <v>5753</v>
      </c>
      <c r="C968" s="19" t="s">
        <v>113</v>
      </c>
      <c r="D968" s="19" t="s">
        <v>114</v>
      </c>
      <c r="E968" s="19" t="s">
        <v>50</v>
      </c>
      <c r="F968" s="19" t="s">
        <v>503</v>
      </c>
      <c r="G968" s="19" t="s">
        <v>5755</v>
      </c>
      <c r="H968" s="19" t="s">
        <v>5756</v>
      </c>
      <c r="I968" s="19" t="s">
        <v>2613</v>
      </c>
      <c r="J968" s="19" t="n">
        <v>434.95</v>
      </c>
      <c r="K968" s="19" t="s">
        <v>1661</v>
      </c>
      <c r="L968" s="19"/>
      <c r="M968" s="20" t="str">
        <f aca="false">IF(G968&lt;&gt;"","PASS","FAIL - Missing UPC")</f>
        <v>PASS</v>
      </c>
      <c r="N968" s="20" t="str">
        <f aca="false">IF(AND(G968&lt;&gt;"",H968&lt;&gt;""),IF("0"&amp;G968=H968,"PASS","FAIL - GTIN Mismatch"),"SKIP")</f>
        <v>PASS</v>
      </c>
      <c r="O968" s="20" t="str">
        <f aca="false">IF(I968="","FAIL - No Title",IF(LEN(I968)&lt;=126,"PASS","FAIL - Title &gt;"&amp;126&amp;" chars"))</f>
        <v>PASS</v>
      </c>
      <c r="P968" s="20" t="str">
        <f aca="false">IF(J968&gt;0,IF(J968&lt;5000,"PASS","FLAG - Review Price"),"FAIL - Zero Price")</f>
        <v>PASS</v>
      </c>
      <c r="Q968" s="20" t="str">
        <f aca="false">IF('Raw Catalog'!P966&lt;&gt;"","PASS","FAIL - No Image")</f>
        <v>PASS</v>
      </c>
      <c r="R968" s="20" t="str">
        <f aca="false">IF(F968&lt;&gt;"","PASS","FAIL - No Brand")</f>
        <v>PASS</v>
      </c>
      <c r="S968" s="20" t="str">
        <f aca="true">IF(K968="","FAIL - No Date",IF(TODAY()-DATEVALUE(K968)&lt;=180,"PASS","FLAG - Stale &gt;180d"))</f>
        <v>FLAG - Stale &gt;180d</v>
      </c>
      <c r="T968" s="20" t="n">
        <f aca="false">COUNTIF(M968:S968,"FAIL*")+COUNTIF(M968:S968,"FLAG*")</f>
        <v>1</v>
      </c>
      <c r="U968" s="20" t="str">
        <f aca="false">IF(T968=0,"CLEAN",IF(T968=1,"MINOR",IF(T968&lt;=3,"MODERATE","CRITICAL")))</f>
        <v>MINOR</v>
      </c>
      <c r="V968" s="20" t="str">
        <f aca="false">IF(U968="CLEAN","None",IF(U968="MINOR","Seller Notify",IF(U968="MODERATE","Listing Suspended","Immediate Removal")))</f>
        <v>Seller Notify</v>
      </c>
    </row>
    <row r="969" customFormat="false" ht="18" hidden="false" customHeight="true" outlineLevel="0" collapsed="false">
      <c r="A969" s="19" t="s">
        <v>7046</v>
      </c>
      <c r="B969" s="19" t="s">
        <v>5757</v>
      </c>
      <c r="C969" s="19" t="s">
        <v>173</v>
      </c>
      <c r="D969" s="19" t="s">
        <v>174</v>
      </c>
      <c r="E969" s="19" t="s">
        <v>50</v>
      </c>
      <c r="F969" s="19" t="s">
        <v>115</v>
      </c>
      <c r="G969" s="19" t="s">
        <v>5759</v>
      </c>
      <c r="H969" s="19" t="s">
        <v>5760</v>
      </c>
      <c r="I969" s="19" t="s">
        <v>5761</v>
      </c>
      <c r="J969" s="19" t="n">
        <v>932.97</v>
      </c>
      <c r="K969" s="19" t="s">
        <v>75</v>
      </c>
      <c r="L969" s="19"/>
      <c r="M969" s="20" t="str">
        <f aca="false">IF(G969&lt;&gt;"","PASS","FAIL - Missing UPC")</f>
        <v>PASS</v>
      </c>
      <c r="N969" s="20" t="str">
        <f aca="false">IF(AND(G969&lt;&gt;"",H969&lt;&gt;""),IF("0"&amp;G969=H969,"PASS","FAIL - GTIN Mismatch"),"SKIP")</f>
        <v>PASS</v>
      </c>
      <c r="O969" s="20" t="str">
        <f aca="false">IF(I969="","FAIL - No Title",IF(LEN(I969)&lt;=126,"PASS","FAIL - Title &gt;"&amp;126&amp;" chars"))</f>
        <v>PASS</v>
      </c>
      <c r="P969" s="20" t="str">
        <f aca="false">IF(J969&gt;0,IF(J969&lt;5000,"PASS","FLAG - Review Price"),"FAIL - Zero Price")</f>
        <v>PASS</v>
      </c>
      <c r="Q969" s="20" t="str">
        <f aca="false">IF('Raw Catalog'!P967&lt;&gt;"","PASS","FAIL - No Image")</f>
        <v>PASS</v>
      </c>
      <c r="R969" s="20" t="str">
        <f aca="false">IF(F969&lt;&gt;"","PASS","FAIL - No Brand")</f>
        <v>PASS</v>
      </c>
      <c r="S969" s="20" t="str">
        <f aca="true">IF(K969="","FAIL - No Date",IF(TODAY()-DATEVALUE(K969)&lt;=180,"PASS","FLAG - Stale &gt;180d"))</f>
        <v>FLAG - Stale &gt;180d</v>
      </c>
      <c r="T969" s="20" t="n">
        <f aca="false">COUNTIF(M969:S969,"FAIL*")+COUNTIF(M969:S969,"FLAG*")</f>
        <v>1</v>
      </c>
      <c r="U969" s="20" t="str">
        <f aca="false">IF(T969=0,"CLEAN",IF(T969=1,"MINOR",IF(T969&lt;=3,"MODERATE","CRITICAL")))</f>
        <v>MINOR</v>
      </c>
      <c r="V969" s="20" t="str">
        <f aca="false">IF(U969="CLEAN","None",IF(U969="MINOR","Seller Notify",IF(U969="MODERATE","Listing Suspended","Immediate Removal")))</f>
        <v>Seller Notify</v>
      </c>
    </row>
    <row r="970" customFormat="false" ht="18" hidden="false" customHeight="true" outlineLevel="0" collapsed="false">
      <c r="A970" s="19" t="s">
        <v>7047</v>
      </c>
      <c r="B970" s="19" t="s">
        <v>5762</v>
      </c>
      <c r="C970" s="19" t="s">
        <v>48</v>
      </c>
      <c r="D970" s="19" t="s">
        <v>49</v>
      </c>
      <c r="E970" s="19" t="s">
        <v>79</v>
      </c>
      <c r="F970" s="19" t="s">
        <v>1531</v>
      </c>
      <c r="G970" s="19" t="s">
        <v>5764</v>
      </c>
      <c r="H970" s="19" t="s">
        <v>5765</v>
      </c>
      <c r="I970" s="19" t="s">
        <v>4099</v>
      </c>
      <c r="J970" s="19" t="n">
        <v>952.12</v>
      </c>
      <c r="K970" s="19" t="s">
        <v>5676</v>
      </c>
      <c r="L970" s="19"/>
      <c r="M970" s="20" t="str">
        <f aca="false">IF(G970&lt;&gt;"","PASS","FAIL - Missing UPC")</f>
        <v>PASS</v>
      </c>
      <c r="N970" s="20" t="str">
        <f aca="false">IF(AND(G970&lt;&gt;"",H970&lt;&gt;""),IF("0"&amp;G970=H970,"PASS","FAIL - GTIN Mismatch"),"SKIP")</f>
        <v>PASS</v>
      </c>
      <c r="O970" s="20" t="str">
        <f aca="false">IF(I970="","FAIL - No Title",IF(LEN(I970)&lt;=126,"PASS","FAIL - Title &gt;"&amp;126&amp;" chars"))</f>
        <v>PASS</v>
      </c>
      <c r="P970" s="20" t="str">
        <f aca="false">IF(J970&gt;0,IF(J970&lt;5000,"PASS","FLAG - Review Price"),"FAIL - Zero Price")</f>
        <v>PASS</v>
      </c>
      <c r="Q970" s="20" t="str">
        <f aca="false">IF('Raw Catalog'!P968&lt;&gt;"","PASS","FAIL - No Image")</f>
        <v>PASS</v>
      </c>
      <c r="R970" s="20" t="str">
        <f aca="false">IF(F970&lt;&gt;"","PASS","FAIL - No Brand")</f>
        <v>PASS</v>
      </c>
      <c r="S970" s="20" t="str">
        <f aca="true">IF(K970="","FAIL - No Date",IF(TODAY()-DATEVALUE(K970)&lt;=180,"PASS","FLAG - Stale &gt;180d"))</f>
        <v>FLAG - Stale &gt;180d</v>
      </c>
      <c r="T970" s="20" t="n">
        <f aca="false">COUNTIF(M970:S970,"FAIL*")+COUNTIF(M970:S970,"FLAG*")</f>
        <v>1</v>
      </c>
      <c r="U970" s="20" t="str">
        <f aca="false">IF(T970=0,"CLEAN",IF(T970=1,"MINOR",IF(T970&lt;=3,"MODERATE","CRITICAL")))</f>
        <v>MINOR</v>
      </c>
      <c r="V970" s="20" t="str">
        <f aca="false">IF(U970="CLEAN","None",IF(U970="MINOR","Seller Notify",IF(U970="MODERATE","Listing Suspended","Immediate Removal")))</f>
        <v>Seller Notify</v>
      </c>
    </row>
    <row r="971" customFormat="false" ht="18" hidden="false" customHeight="true" outlineLevel="0" collapsed="false">
      <c r="A971" s="19" t="s">
        <v>7048</v>
      </c>
      <c r="B971" s="19" t="s">
        <v>5767</v>
      </c>
      <c r="C971" s="19" t="s">
        <v>125</v>
      </c>
      <c r="D971" s="19" t="s">
        <v>126</v>
      </c>
      <c r="E971" s="19" t="s">
        <v>50</v>
      </c>
      <c r="F971" s="19" t="s">
        <v>127</v>
      </c>
      <c r="G971" s="19" t="s">
        <v>5769</v>
      </c>
      <c r="H971" s="19" t="s">
        <v>5770</v>
      </c>
      <c r="I971" s="19" t="s">
        <v>2940</v>
      </c>
      <c r="J971" s="19" t="n">
        <v>992.47</v>
      </c>
      <c r="K971" s="19" t="s">
        <v>1887</v>
      </c>
      <c r="L971" s="19"/>
      <c r="M971" s="20" t="str">
        <f aca="false">IF(G971&lt;&gt;"","PASS","FAIL - Missing UPC")</f>
        <v>PASS</v>
      </c>
      <c r="N971" s="20" t="str">
        <f aca="false">IF(AND(G971&lt;&gt;"",H971&lt;&gt;""),IF("0"&amp;G971=H971,"PASS","FAIL - GTIN Mismatch"),"SKIP")</f>
        <v>PASS</v>
      </c>
      <c r="O971" s="20" t="str">
        <f aca="false">IF(I971="","FAIL - No Title",IF(LEN(I971)&lt;=126,"PASS","FAIL - Title &gt;"&amp;126&amp;" chars"))</f>
        <v>PASS</v>
      </c>
      <c r="P971" s="20" t="str">
        <f aca="false">IF(J971&gt;0,IF(J971&lt;5000,"PASS","FLAG - Review Price"),"FAIL - Zero Price")</f>
        <v>PASS</v>
      </c>
      <c r="Q971" s="20" t="str">
        <f aca="false">IF('Raw Catalog'!P969&lt;&gt;"","PASS","FAIL - No Image")</f>
        <v>PASS</v>
      </c>
      <c r="R971" s="20" t="str">
        <f aca="false">IF(F971&lt;&gt;"","PASS","FAIL - No Brand")</f>
        <v>PASS</v>
      </c>
      <c r="S971" s="20" t="str">
        <f aca="true">IF(K971="","FAIL - No Date",IF(TODAY()-DATEVALUE(K971)&lt;=180,"PASS","FLAG - Stale &gt;180d"))</f>
        <v>FLAG - Stale &gt;180d</v>
      </c>
      <c r="T971" s="20" t="n">
        <f aca="false">COUNTIF(M971:S971,"FAIL*")+COUNTIF(M971:S971,"FLAG*")</f>
        <v>1</v>
      </c>
      <c r="U971" s="20" t="str">
        <f aca="false">IF(T971=0,"CLEAN",IF(T971=1,"MINOR",IF(T971&lt;=3,"MODERATE","CRITICAL")))</f>
        <v>MINOR</v>
      </c>
      <c r="V971" s="20" t="str">
        <f aca="false">IF(U971="CLEAN","None",IF(U971="MINOR","Seller Notify",IF(U971="MODERATE","Listing Suspended","Immediate Removal")))</f>
        <v>Seller Notify</v>
      </c>
    </row>
    <row r="972" customFormat="false" ht="18" hidden="false" customHeight="true" outlineLevel="0" collapsed="false">
      <c r="A972" s="19" t="s">
        <v>7049</v>
      </c>
      <c r="B972" s="19" t="s">
        <v>5772</v>
      </c>
      <c r="C972" s="19" t="s">
        <v>48</v>
      </c>
      <c r="D972" s="19" t="s">
        <v>49</v>
      </c>
      <c r="E972" s="19" t="s">
        <v>50</v>
      </c>
      <c r="F972" s="19" t="s">
        <v>115</v>
      </c>
      <c r="G972" s="19" t="s">
        <v>5774</v>
      </c>
      <c r="H972" s="19" t="s">
        <v>5775</v>
      </c>
      <c r="I972" s="19" t="s">
        <v>4669</v>
      </c>
      <c r="J972" s="19" t="n">
        <v>697.12</v>
      </c>
      <c r="K972" s="19" t="s">
        <v>2634</v>
      </c>
      <c r="L972" s="19"/>
      <c r="M972" s="20" t="str">
        <f aca="false">IF(G972&lt;&gt;"","PASS","FAIL - Missing UPC")</f>
        <v>PASS</v>
      </c>
      <c r="N972" s="20" t="str">
        <f aca="false">IF(AND(G972&lt;&gt;"",H972&lt;&gt;""),IF("0"&amp;G972=H972,"PASS","FAIL - GTIN Mismatch"),"SKIP")</f>
        <v>PASS</v>
      </c>
      <c r="O972" s="20" t="str">
        <f aca="false">IF(I972="","FAIL - No Title",IF(LEN(I972)&lt;=126,"PASS","FAIL - Title &gt;"&amp;126&amp;" chars"))</f>
        <v>PASS</v>
      </c>
      <c r="P972" s="20" t="str">
        <f aca="false">IF(J972&gt;0,IF(J972&lt;5000,"PASS","FLAG - Review Price"),"FAIL - Zero Price")</f>
        <v>PASS</v>
      </c>
      <c r="Q972" s="20" t="str">
        <f aca="false">IF('Raw Catalog'!P970&lt;&gt;"","PASS","FAIL - No Image")</f>
        <v>PASS</v>
      </c>
      <c r="R972" s="20" t="str">
        <f aca="false">IF(F972&lt;&gt;"","PASS","FAIL - No Brand")</f>
        <v>PASS</v>
      </c>
      <c r="S972" s="20" t="str">
        <f aca="true">IF(K972="","FAIL - No Date",IF(TODAY()-DATEVALUE(K972)&lt;=180,"PASS","FLAG - Stale &gt;180d"))</f>
        <v>FLAG - Stale &gt;180d</v>
      </c>
      <c r="T972" s="20" t="n">
        <f aca="false">COUNTIF(M972:S972,"FAIL*")+COUNTIF(M972:S972,"FLAG*")</f>
        <v>1</v>
      </c>
      <c r="U972" s="20" t="str">
        <f aca="false">IF(T972=0,"CLEAN",IF(T972=1,"MINOR",IF(T972&lt;=3,"MODERATE","CRITICAL")))</f>
        <v>MINOR</v>
      </c>
      <c r="V972" s="20" t="str">
        <f aca="false">IF(U972="CLEAN","None",IF(U972="MINOR","Seller Notify",IF(U972="MODERATE","Listing Suspended","Immediate Removal")))</f>
        <v>Seller Notify</v>
      </c>
    </row>
    <row r="973" customFormat="false" ht="18" hidden="false" customHeight="true" outlineLevel="0" collapsed="false">
      <c r="A973" s="19" t="s">
        <v>7050</v>
      </c>
      <c r="B973" s="19" t="s">
        <v>5777</v>
      </c>
      <c r="C973" s="19" t="s">
        <v>159</v>
      </c>
      <c r="D973" s="19" t="s">
        <v>160</v>
      </c>
      <c r="E973" s="19" t="s">
        <v>91</v>
      </c>
      <c r="F973" s="19" t="s">
        <v>138</v>
      </c>
      <c r="G973" s="19" t="s">
        <v>5779</v>
      </c>
      <c r="H973" s="19" t="s">
        <v>5780</v>
      </c>
      <c r="I973" s="19" t="s">
        <v>5781</v>
      </c>
      <c r="J973" s="19" t="n">
        <v>2816.8</v>
      </c>
      <c r="K973" s="19" t="s">
        <v>1795</v>
      </c>
      <c r="L973" s="19"/>
      <c r="M973" s="20" t="str">
        <f aca="false">IF(G973&lt;&gt;"","PASS","FAIL - Missing UPC")</f>
        <v>PASS</v>
      </c>
      <c r="N973" s="20" t="str">
        <f aca="false">IF(AND(G973&lt;&gt;"",H973&lt;&gt;""),IF("0"&amp;G973=H973,"PASS","FAIL - GTIN Mismatch"),"SKIP")</f>
        <v>PASS</v>
      </c>
      <c r="O973" s="20" t="str">
        <f aca="false">IF(I973="","FAIL - No Title",IF(LEN(I973)&lt;=126,"PASS","FAIL - Title &gt;"&amp;126&amp;" chars"))</f>
        <v>PASS</v>
      </c>
      <c r="P973" s="20" t="str">
        <f aca="false">IF(J973&gt;0,IF(J973&lt;5000,"PASS","FLAG - Review Price"),"FAIL - Zero Price")</f>
        <v>PASS</v>
      </c>
      <c r="Q973" s="20" t="str">
        <f aca="false">IF('Raw Catalog'!P971&lt;&gt;"","PASS","FAIL - No Image")</f>
        <v>PASS</v>
      </c>
      <c r="R973" s="20" t="str">
        <f aca="false">IF(F973&lt;&gt;"","PASS","FAIL - No Brand")</f>
        <v>PASS</v>
      </c>
      <c r="S973" s="20" t="str">
        <f aca="true">IF(K973="","FAIL - No Date",IF(TODAY()-DATEVALUE(K973)&lt;=180,"PASS","FLAG - Stale &gt;180d"))</f>
        <v>FLAG - Stale &gt;180d</v>
      </c>
      <c r="T973" s="20" t="n">
        <f aca="false">COUNTIF(M973:S973,"FAIL*")+COUNTIF(M973:S973,"FLAG*")</f>
        <v>1</v>
      </c>
      <c r="U973" s="20" t="str">
        <f aca="false">IF(T973=0,"CLEAN",IF(T973=1,"MINOR",IF(T973&lt;=3,"MODERATE","CRITICAL")))</f>
        <v>MINOR</v>
      </c>
      <c r="V973" s="20" t="str">
        <f aca="false">IF(U973="CLEAN","None",IF(U973="MINOR","Seller Notify",IF(U973="MODERATE","Listing Suspended","Immediate Removal")))</f>
        <v>Seller Notify</v>
      </c>
    </row>
    <row r="974" customFormat="false" ht="18" hidden="false" customHeight="true" outlineLevel="0" collapsed="false">
      <c r="A974" s="19" t="s">
        <v>7051</v>
      </c>
      <c r="B974" s="19" t="s">
        <v>5782</v>
      </c>
      <c r="C974" s="19" t="s">
        <v>173</v>
      </c>
      <c r="D974" s="19" t="s">
        <v>174</v>
      </c>
      <c r="E974" s="19" t="s">
        <v>50</v>
      </c>
      <c r="F974" s="19" t="s">
        <v>115</v>
      </c>
      <c r="G974" s="19" t="s">
        <v>5784</v>
      </c>
      <c r="H974" s="19" t="s">
        <v>5785</v>
      </c>
      <c r="I974" s="19" t="s">
        <v>5786</v>
      </c>
      <c r="J974" s="19" t="n">
        <v>657.05</v>
      </c>
      <c r="K974" s="19" t="s">
        <v>522</v>
      </c>
      <c r="L974" s="19"/>
      <c r="M974" s="20" t="str">
        <f aca="false">IF(G974&lt;&gt;"","PASS","FAIL - Missing UPC")</f>
        <v>PASS</v>
      </c>
      <c r="N974" s="20" t="str">
        <f aca="false">IF(AND(G974&lt;&gt;"",H974&lt;&gt;""),IF("0"&amp;G974=H974,"PASS","FAIL - GTIN Mismatch"),"SKIP")</f>
        <v>PASS</v>
      </c>
      <c r="O974" s="20" t="str">
        <f aca="false">IF(I974="","FAIL - No Title",IF(LEN(I974)&lt;=126,"PASS","FAIL - Title &gt;"&amp;126&amp;" chars"))</f>
        <v>PASS</v>
      </c>
      <c r="P974" s="20" t="str">
        <f aca="false">IF(J974&gt;0,IF(J974&lt;5000,"PASS","FLAG - Review Price"),"FAIL - Zero Price")</f>
        <v>PASS</v>
      </c>
      <c r="Q974" s="20" t="str">
        <f aca="false">IF('Raw Catalog'!P972&lt;&gt;"","PASS","FAIL - No Image")</f>
        <v>PASS</v>
      </c>
      <c r="R974" s="20" t="str">
        <f aca="false">IF(F974&lt;&gt;"","PASS","FAIL - No Brand")</f>
        <v>PASS</v>
      </c>
      <c r="S974" s="20" t="str">
        <f aca="true">IF(K974="","FAIL - No Date",IF(TODAY()-DATEVALUE(K974)&lt;=180,"PASS","FLAG - Stale &gt;180d"))</f>
        <v>FLAG - Stale &gt;180d</v>
      </c>
      <c r="T974" s="20" t="n">
        <f aca="false">COUNTIF(M974:S974,"FAIL*")+COUNTIF(M974:S974,"FLAG*")</f>
        <v>1</v>
      </c>
      <c r="U974" s="20" t="str">
        <f aca="false">IF(T974=0,"CLEAN",IF(T974=1,"MINOR",IF(T974&lt;=3,"MODERATE","CRITICAL")))</f>
        <v>MINOR</v>
      </c>
      <c r="V974" s="20" t="str">
        <f aca="false">IF(U974="CLEAN","None",IF(U974="MINOR","Seller Notify",IF(U974="MODERATE","Listing Suspended","Immediate Removal")))</f>
        <v>Seller Notify</v>
      </c>
    </row>
    <row r="975" customFormat="false" ht="18" hidden="false" customHeight="true" outlineLevel="0" collapsed="false">
      <c r="A975" s="19" t="s">
        <v>7052</v>
      </c>
      <c r="B975" s="19" t="s">
        <v>5787</v>
      </c>
      <c r="C975" s="19" t="s">
        <v>48</v>
      </c>
      <c r="D975" s="19" t="s">
        <v>49</v>
      </c>
      <c r="E975" s="19" t="s">
        <v>50</v>
      </c>
      <c r="F975" s="19" t="s">
        <v>503</v>
      </c>
      <c r="G975" s="19" t="s">
        <v>5789</v>
      </c>
      <c r="H975" s="19" t="s">
        <v>5790</v>
      </c>
      <c r="I975" s="19" t="s">
        <v>5791</v>
      </c>
      <c r="J975" s="19" t="n">
        <v>204.53</v>
      </c>
      <c r="K975" s="19" t="s">
        <v>265</v>
      </c>
      <c r="L975" s="19"/>
      <c r="M975" s="20" t="str">
        <f aca="false">IF(G975&lt;&gt;"","PASS","FAIL - Missing UPC")</f>
        <v>PASS</v>
      </c>
      <c r="N975" s="20" t="str">
        <f aca="false">IF(AND(G975&lt;&gt;"",H975&lt;&gt;""),IF("0"&amp;G975=H975,"PASS","FAIL - GTIN Mismatch"),"SKIP")</f>
        <v>PASS</v>
      </c>
      <c r="O975" s="20" t="str">
        <f aca="false">IF(I975="","FAIL - No Title",IF(LEN(I975)&lt;=126,"PASS","FAIL - Title &gt;"&amp;126&amp;" chars"))</f>
        <v>PASS</v>
      </c>
      <c r="P975" s="20" t="str">
        <f aca="false">IF(J975&gt;0,IF(J975&lt;5000,"PASS","FLAG - Review Price"),"FAIL - Zero Price")</f>
        <v>PASS</v>
      </c>
      <c r="Q975" s="20" t="str">
        <f aca="false">IF('Raw Catalog'!P973&lt;&gt;"","PASS","FAIL - No Image")</f>
        <v>PASS</v>
      </c>
      <c r="R975" s="20" t="str">
        <f aca="false">IF(F975&lt;&gt;"","PASS","FAIL - No Brand")</f>
        <v>PASS</v>
      </c>
      <c r="S975" s="20" t="str">
        <f aca="true">IF(K975="","FAIL - No Date",IF(TODAY()-DATEVALUE(K975)&lt;=180,"PASS","FLAG - Stale &gt;180d"))</f>
        <v>FLAG - Stale &gt;180d</v>
      </c>
      <c r="T975" s="20" t="n">
        <f aca="false">COUNTIF(M975:S975,"FAIL*")+COUNTIF(M975:S975,"FLAG*")</f>
        <v>1</v>
      </c>
      <c r="U975" s="20" t="str">
        <f aca="false">IF(T975=0,"CLEAN",IF(T975=1,"MINOR",IF(T975&lt;=3,"MODERATE","CRITICAL")))</f>
        <v>MINOR</v>
      </c>
      <c r="V975" s="20" t="str">
        <f aca="false">IF(U975="CLEAN","None",IF(U975="MINOR","Seller Notify",IF(U975="MODERATE","Listing Suspended","Immediate Removal")))</f>
        <v>Seller Notify</v>
      </c>
    </row>
    <row r="976" customFormat="false" ht="18" hidden="false" customHeight="true" outlineLevel="0" collapsed="false">
      <c r="A976" s="19" t="s">
        <v>7053</v>
      </c>
      <c r="B976" s="19" t="s">
        <v>5792</v>
      </c>
      <c r="C976" s="19" t="s">
        <v>48</v>
      </c>
      <c r="D976" s="19" t="s">
        <v>49</v>
      </c>
      <c r="E976" s="19" t="s">
        <v>91</v>
      </c>
      <c r="F976" s="19" t="s">
        <v>587</v>
      </c>
      <c r="G976" s="19" t="s">
        <v>5794</v>
      </c>
      <c r="H976" s="19" t="s">
        <v>5795</v>
      </c>
      <c r="I976" s="19" t="s">
        <v>5796</v>
      </c>
      <c r="J976" s="19" t="n">
        <v>1324.38</v>
      </c>
      <c r="K976" s="19" t="s">
        <v>797</v>
      </c>
      <c r="L976" s="19"/>
      <c r="M976" s="20" t="str">
        <f aca="false">IF(G976&lt;&gt;"","PASS","FAIL - Missing UPC")</f>
        <v>PASS</v>
      </c>
      <c r="N976" s="20" t="str">
        <f aca="false">IF(AND(G976&lt;&gt;"",H976&lt;&gt;""),IF("0"&amp;G976=H976,"PASS","FAIL - GTIN Mismatch"),"SKIP")</f>
        <v>PASS</v>
      </c>
      <c r="O976" s="20" t="str">
        <f aca="false">IF(I976="","FAIL - No Title",IF(LEN(I976)&lt;=126,"PASS","FAIL - Title &gt;"&amp;126&amp;" chars"))</f>
        <v>PASS</v>
      </c>
      <c r="P976" s="20" t="str">
        <f aca="false">IF(J976&gt;0,IF(J976&lt;5000,"PASS","FLAG - Review Price"),"FAIL - Zero Price")</f>
        <v>PASS</v>
      </c>
      <c r="Q976" s="20" t="str">
        <f aca="false">IF('Raw Catalog'!P974&lt;&gt;"","PASS","FAIL - No Image")</f>
        <v>PASS</v>
      </c>
      <c r="R976" s="20" t="str">
        <f aca="false">IF(F976&lt;&gt;"","PASS","FAIL - No Brand")</f>
        <v>PASS</v>
      </c>
      <c r="S976" s="20" t="str">
        <f aca="true">IF(K976="","FAIL - No Date",IF(TODAY()-DATEVALUE(K976)&lt;=180,"PASS","FLAG - Stale &gt;180d"))</f>
        <v>FLAG - Stale &gt;180d</v>
      </c>
      <c r="T976" s="20" t="n">
        <f aca="false">COUNTIF(M976:S976,"FAIL*")+COUNTIF(M976:S976,"FLAG*")</f>
        <v>1</v>
      </c>
      <c r="U976" s="20" t="str">
        <f aca="false">IF(T976=0,"CLEAN",IF(T976=1,"MINOR",IF(T976&lt;=3,"MODERATE","CRITICAL")))</f>
        <v>MINOR</v>
      </c>
      <c r="V976" s="20" t="str">
        <f aca="false">IF(U976="CLEAN","None",IF(U976="MINOR","Seller Notify",IF(U976="MODERATE","Listing Suspended","Immediate Removal")))</f>
        <v>Seller Notify</v>
      </c>
    </row>
    <row r="977" customFormat="false" ht="18" hidden="false" customHeight="true" outlineLevel="0" collapsed="false">
      <c r="A977" s="19" t="s">
        <v>7054</v>
      </c>
      <c r="B977" s="19" t="s">
        <v>5797</v>
      </c>
      <c r="C977" s="19" t="s">
        <v>159</v>
      </c>
      <c r="D977" s="19" t="s">
        <v>160</v>
      </c>
      <c r="E977" s="19" t="s">
        <v>79</v>
      </c>
      <c r="F977" s="19" t="s">
        <v>51</v>
      </c>
      <c r="G977" s="19" t="s">
        <v>5799</v>
      </c>
      <c r="H977" s="19" t="s">
        <v>5800</v>
      </c>
      <c r="I977" s="19" t="s">
        <v>5801</v>
      </c>
      <c r="J977" s="19" t="n">
        <v>1392.67</v>
      </c>
      <c r="K977" s="19" t="s">
        <v>1211</v>
      </c>
      <c r="L977" s="21" t="s">
        <v>243</v>
      </c>
      <c r="M977" s="20" t="str">
        <f aca="false">IF(G977&lt;&gt;"","PASS","FAIL - Missing UPC")</f>
        <v>PASS</v>
      </c>
      <c r="N977" s="20" t="str">
        <f aca="false">IF(AND(G977&lt;&gt;"",H977&lt;&gt;""),IF("0"&amp;G977=H977,"PASS","FAIL - GTIN Mismatch"),"SKIP")</f>
        <v>FAIL - GTIN Mismatch</v>
      </c>
      <c r="O977" s="20" t="str">
        <f aca="false">IF(I977="","FAIL - No Title",IF(LEN(I977)&lt;=126,"PASS","FAIL - Title &gt;"&amp;126&amp;" chars"))</f>
        <v>PASS</v>
      </c>
      <c r="P977" s="20" t="str">
        <f aca="false">IF(J977&gt;0,IF(J977&lt;5000,"PASS","FLAG - Review Price"),"FAIL - Zero Price")</f>
        <v>PASS</v>
      </c>
      <c r="Q977" s="20" t="str">
        <f aca="false">IF('Raw Catalog'!P975&lt;&gt;"","PASS","FAIL - No Image")</f>
        <v>PASS</v>
      </c>
      <c r="R977" s="20" t="str">
        <f aca="false">IF(F977&lt;&gt;"","PASS","FAIL - No Brand")</f>
        <v>PASS</v>
      </c>
      <c r="S977" s="20" t="str">
        <f aca="true">IF(K977="","FAIL - No Date",IF(TODAY()-DATEVALUE(K977)&lt;=180,"PASS","FLAG - Stale &gt;180d"))</f>
        <v>FLAG - Stale &gt;180d</v>
      </c>
      <c r="T977" s="20" t="n">
        <f aca="false">COUNTIF(M977:S977,"FAIL*")+COUNTIF(M977:S977,"FLAG*")</f>
        <v>2</v>
      </c>
      <c r="U977" s="20" t="str">
        <f aca="false">IF(T977=0,"CLEAN",IF(T977=1,"MINOR",IF(T977&lt;=3,"MODERATE","CRITICAL")))</f>
        <v>MODERATE</v>
      </c>
      <c r="V977" s="20" t="str">
        <f aca="false">IF(U977="CLEAN","None",IF(U977="MINOR","Seller Notify",IF(U977="MODERATE","Listing Suspended","Immediate Removal")))</f>
        <v>Listing Suspended</v>
      </c>
    </row>
    <row r="978" customFormat="false" ht="18" hidden="false" customHeight="true" outlineLevel="0" collapsed="false">
      <c r="A978" s="19" t="s">
        <v>7055</v>
      </c>
      <c r="B978" s="19" t="s">
        <v>5803</v>
      </c>
      <c r="C978" s="19" t="s">
        <v>159</v>
      </c>
      <c r="D978" s="19" t="s">
        <v>160</v>
      </c>
      <c r="E978" s="19" t="s">
        <v>50</v>
      </c>
      <c r="F978" s="19" t="s">
        <v>51</v>
      </c>
      <c r="G978" s="19" t="s">
        <v>5805</v>
      </c>
      <c r="H978" s="19" t="s">
        <v>5806</v>
      </c>
      <c r="I978" s="19" t="s">
        <v>3689</v>
      </c>
      <c r="J978" s="19" t="n">
        <v>750.07</v>
      </c>
      <c r="K978" s="19" t="s">
        <v>1510</v>
      </c>
      <c r="L978" s="19"/>
      <c r="M978" s="20" t="str">
        <f aca="false">IF(G978&lt;&gt;"","PASS","FAIL - Missing UPC")</f>
        <v>PASS</v>
      </c>
      <c r="N978" s="20" t="str">
        <f aca="false">IF(AND(G978&lt;&gt;"",H978&lt;&gt;""),IF("0"&amp;G978=H978,"PASS","FAIL - GTIN Mismatch"),"SKIP")</f>
        <v>PASS</v>
      </c>
      <c r="O978" s="20" t="str">
        <f aca="false">IF(I978="","FAIL - No Title",IF(LEN(I978)&lt;=126,"PASS","FAIL - Title &gt;"&amp;126&amp;" chars"))</f>
        <v>PASS</v>
      </c>
      <c r="P978" s="20" t="str">
        <f aca="false">IF(J978&gt;0,IF(J978&lt;5000,"PASS","FLAG - Review Price"),"FAIL - Zero Price")</f>
        <v>PASS</v>
      </c>
      <c r="Q978" s="20" t="str">
        <f aca="false">IF('Raw Catalog'!P976&lt;&gt;"","PASS","FAIL - No Image")</f>
        <v>PASS</v>
      </c>
      <c r="R978" s="20" t="str">
        <f aca="false">IF(F978&lt;&gt;"","PASS","FAIL - No Brand")</f>
        <v>PASS</v>
      </c>
      <c r="S978" s="20" t="str">
        <f aca="true">IF(K978="","FAIL - No Date",IF(TODAY()-DATEVALUE(K978)&lt;=180,"PASS","FLAG - Stale &gt;180d"))</f>
        <v>FLAG - Stale &gt;180d</v>
      </c>
      <c r="T978" s="20" t="n">
        <f aca="false">COUNTIF(M978:S978,"FAIL*")+COUNTIF(M978:S978,"FLAG*")</f>
        <v>1</v>
      </c>
      <c r="U978" s="20" t="str">
        <f aca="false">IF(T978=0,"CLEAN",IF(T978=1,"MINOR",IF(T978&lt;=3,"MODERATE","CRITICAL")))</f>
        <v>MINOR</v>
      </c>
      <c r="V978" s="20" t="str">
        <f aca="false">IF(U978="CLEAN","None",IF(U978="MINOR","Seller Notify",IF(U978="MODERATE","Listing Suspended","Immediate Removal")))</f>
        <v>Seller Notify</v>
      </c>
    </row>
    <row r="979" customFormat="false" ht="18" hidden="false" customHeight="true" outlineLevel="0" collapsed="false">
      <c r="A979" s="19" t="s">
        <v>7056</v>
      </c>
      <c r="B979" s="19" t="s">
        <v>5807</v>
      </c>
      <c r="C979" s="19" t="s">
        <v>77</v>
      </c>
      <c r="D979" s="19" t="s">
        <v>78</v>
      </c>
      <c r="E979" s="19" t="s">
        <v>65</v>
      </c>
      <c r="F979" s="19" t="s">
        <v>66</v>
      </c>
      <c r="G979" s="19" t="s">
        <v>5809</v>
      </c>
      <c r="H979" s="19" t="s">
        <v>5810</v>
      </c>
      <c r="I979" s="19" t="s">
        <v>1175</v>
      </c>
      <c r="J979" s="19" t="n">
        <v>84.21</v>
      </c>
      <c r="K979" s="19" t="s">
        <v>978</v>
      </c>
      <c r="L979" s="19"/>
      <c r="M979" s="20" t="str">
        <f aca="false">IF(G979&lt;&gt;"","PASS","FAIL - Missing UPC")</f>
        <v>PASS</v>
      </c>
      <c r="N979" s="20" t="str">
        <f aca="false">IF(AND(G979&lt;&gt;"",H979&lt;&gt;""),IF("0"&amp;G979=H979,"PASS","FAIL - GTIN Mismatch"),"SKIP")</f>
        <v>PASS</v>
      </c>
      <c r="O979" s="20" t="str">
        <f aca="false">IF(I979="","FAIL - No Title",IF(LEN(I979)&lt;=126,"PASS","FAIL - Title &gt;"&amp;126&amp;" chars"))</f>
        <v>PASS</v>
      </c>
      <c r="P979" s="20" t="str">
        <f aca="false">IF(J979&gt;0,IF(J979&lt;5000,"PASS","FLAG - Review Price"),"FAIL - Zero Price")</f>
        <v>PASS</v>
      </c>
      <c r="Q979" s="20" t="str">
        <f aca="false">IF('Raw Catalog'!P977&lt;&gt;"","PASS","FAIL - No Image")</f>
        <v>PASS</v>
      </c>
      <c r="R979" s="20" t="str">
        <f aca="false">IF(F979&lt;&gt;"","PASS","FAIL - No Brand")</f>
        <v>PASS</v>
      </c>
      <c r="S979" s="20" t="str">
        <f aca="true">IF(K979="","FAIL - No Date",IF(TODAY()-DATEVALUE(K979)&lt;=180,"PASS","FLAG - Stale &gt;180d"))</f>
        <v>FLAG - Stale &gt;180d</v>
      </c>
      <c r="T979" s="20" t="n">
        <f aca="false">COUNTIF(M979:S979,"FAIL*")+COUNTIF(M979:S979,"FLAG*")</f>
        <v>1</v>
      </c>
      <c r="U979" s="20" t="str">
        <f aca="false">IF(T979=0,"CLEAN",IF(T979=1,"MINOR",IF(T979&lt;=3,"MODERATE","CRITICAL")))</f>
        <v>MINOR</v>
      </c>
      <c r="V979" s="20" t="str">
        <f aca="false">IF(U979="CLEAN","None",IF(U979="MINOR","Seller Notify",IF(U979="MODERATE","Listing Suspended","Immediate Removal")))</f>
        <v>Seller Notify</v>
      </c>
    </row>
    <row r="980" customFormat="false" ht="18" hidden="false" customHeight="true" outlineLevel="0" collapsed="false">
      <c r="A980" s="19" t="s">
        <v>7057</v>
      </c>
      <c r="B980" s="19" t="s">
        <v>5811</v>
      </c>
      <c r="C980" s="19" t="s">
        <v>159</v>
      </c>
      <c r="D980" s="19" t="s">
        <v>160</v>
      </c>
      <c r="E980" s="19" t="s">
        <v>65</v>
      </c>
      <c r="F980" s="19" t="s">
        <v>115</v>
      </c>
      <c r="G980" s="19" t="s">
        <v>5813</v>
      </c>
      <c r="H980" s="19" t="s">
        <v>5814</v>
      </c>
      <c r="I980" s="19" t="s">
        <v>2796</v>
      </c>
      <c r="J980" s="19" t="n">
        <v>3259.21</v>
      </c>
      <c r="K980" s="19" t="s">
        <v>3766</v>
      </c>
      <c r="L980" s="21" t="s">
        <v>343</v>
      </c>
      <c r="M980" s="20" t="str">
        <f aca="false">IF(G980&lt;&gt;"","PASS","FAIL - Missing UPC")</f>
        <v>PASS</v>
      </c>
      <c r="N980" s="20" t="str">
        <f aca="false">IF(AND(G980&lt;&gt;"",H980&lt;&gt;""),IF("0"&amp;G980=H980,"PASS","FAIL - GTIN Mismatch"),"SKIP")</f>
        <v>PASS</v>
      </c>
      <c r="O980" s="20" t="str">
        <f aca="false">IF(I980="","FAIL - No Title",IF(LEN(I980)&lt;=126,"PASS","FAIL - Title &gt;"&amp;126&amp;" chars"))</f>
        <v>PASS</v>
      </c>
      <c r="P980" s="20" t="str">
        <f aca="false">IF(J980&gt;0,IF(J980&lt;5000,"PASS","FLAG - Review Price"),"FAIL - Zero Price")</f>
        <v>PASS</v>
      </c>
      <c r="Q980" s="20" t="str">
        <f aca="false">IF('Raw Catalog'!P978&lt;&gt;"","PASS","FAIL - No Image")</f>
        <v>PASS</v>
      </c>
      <c r="R980" s="20" t="str">
        <f aca="false">IF(F980&lt;&gt;"","PASS","FAIL - No Brand")</f>
        <v>PASS</v>
      </c>
      <c r="S980" s="20" t="str">
        <f aca="true">IF(K980="","FAIL - No Date",IF(TODAY()-DATEVALUE(K980)&lt;=180,"PASS","FLAG - Stale &gt;180d"))</f>
        <v>FLAG - Stale &gt;180d</v>
      </c>
      <c r="T980" s="20" t="n">
        <f aca="false">COUNTIF(M980:S980,"FAIL*")+COUNTIF(M980:S980,"FLAG*")</f>
        <v>1</v>
      </c>
      <c r="U980" s="20" t="str">
        <f aca="false">IF(T980=0,"CLEAN",IF(T980=1,"MINOR",IF(T980&lt;=3,"MODERATE","CRITICAL")))</f>
        <v>MINOR</v>
      </c>
      <c r="V980" s="20" t="str">
        <f aca="false">IF(U980="CLEAN","None",IF(U980="MINOR","Seller Notify",IF(U980="MODERATE","Listing Suspended","Immediate Removal")))</f>
        <v>Seller Notify</v>
      </c>
    </row>
    <row r="981" customFormat="false" ht="18" hidden="false" customHeight="true" outlineLevel="0" collapsed="false">
      <c r="A981" s="19" t="s">
        <v>7058</v>
      </c>
      <c r="B981" s="19" t="s">
        <v>5815</v>
      </c>
      <c r="C981" s="19" t="s">
        <v>113</v>
      </c>
      <c r="D981" s="19" t="s">
        <v>114</v>
      </c>
      <c r="E981" s="19" t="s">
        <v>79</v>
      </c>
      <c r="F981" s="19" t="s">
        <v>127</v>
      </c>
      <c r="G981" s="19" t="s">
        <v>5817</v>
      </c>
      <c r="H981" s="19" t="s">
        <v>5818</v>
      </c>
      <c r="I981" s="19" t="s">
        <v>5819</v>
      </c>
      <c r="J981" s="19" t="n">
        <v>1354.92</v>
      </c>
      <c r="K981" s="19" t="s">
        <v>3734</v>
      </c>
      <c r="L981" s="19"/>
      <c r="M981" s="20" t="str">
        <f aca="false">IF(G981&lt;&gt;"","PASS","FAIL - Missing UPC")</f>
        <v>PASS</v>
      </c>
      <c r="N981" s="20" t="str">
        <f aca="false">IF(AND(G981&lt;&gt;"",H981&lt;&gt;""),IF("0"&amp;G981=H981,"PASS","FAIL - GTIN Mismatch"),"SKIP")</f>
        <v>PASS</v>
      </c>
      <c r="O981" s="20" t="str">
        <f aca="false">IF(I981="","FAIL - No Title",IF(LEN(I981)&lt;=126,"PASS","FAIL - Title &gt;"&amp;126&amp;" chars"))</f>
        <v>PASS</v>
      </c>
      <c r="P981" s="20" t="str">
        <f aca="false">IF(J981&gt;0,IF(J981&lt;5000,"PASS","FLAG - Review Price"),"FAIL - Zero Price")</f>
        <v>PASS</v>
      </c>
      <c r="Q981" s="20" t="str">
        <f aca="false">IF('Raw Catalog'!P979&lt;&gt;"","PASS","FAIL - No Image")</f>
        <v>PASS</v>
      </c>
      <c r="R981" s="20" t="str">
        <f aca="false">IF(F981&lt;&gt;"","PASS","FAIL - No Brand")</f>
        <v>PASS</v>
      </c>
      <c r="S981" s="20" t="str">
        <f aca="true">IF(K981="","FAIL - No Date",IF(TODAY()-DATEVALUE(K981)&lt;=180,"PASS","FLAG - Stale &gt;180d"))</f>
        <v>FLAG - Stale &gt;180d</v>
      </c>
      <c r="T981" s="20" t="n">
        <f aca="false">COUNTIF(M981:S981,"FAIL*")+COUNTIF(M981:S981,"FLAG*")</f>
        <v>1</v>
      </c>
      <c r="U981" s="20" t="str">
        <f aca="false">IF(T981=0,"CLEAN",IF(T981=1,"MINOR",IF(T981&lt;=3,"MODERATE","CRITICAL")))</f>
        <v>MINOR</v>
      </c>
      <c r="V981" s="20" t="str">
        <f aca="false">IF(U981="CLEAN","None",IF(U981="MINOR","Seller Notify",IF(U981="MODERATE","Listing Suspended","Immediate Removal")))</f>
        <v>Seller Notify</v>
      </c>
    </row>
    <row r="982" customFormat="false" ht="18" hidden="false" customHeight="true" outlineLevel="0" collapsed="false">
      <c r="A982" s="19" t="s">
        <v>7059</v>
      </c>
      <c r="B982" s="19" t="s">
        <v>5821</v>
      </c>
      <c r="C982" s="19" t="s">
        <v>255</v>
      </c>
      <c r="D982" s="19" t="s">
        <v>256</v>
      </c>
      <c r="E982" s="19" t="s">
        <v>161</v>
      </c>
      <c r="F982" s="19" t="s">
        <v>162</v>
      </c>
      <c r="G982" s="19" t="s">
        <v>5823</v>
      </c>
      <c r="H982" s="19" t="s">
        <v>5824</v>
      </c>
      <c r="I982" s="19" t="s">
        <v>3924</v>
      </c>
      <c r="J982" s="19" t="n">
        <v>34.6</v>
      </c>
      <c r="K982" s="19" t="s">
        <v>611</v>
      </c>
      <c r="L982" s="19"/>
      <c r="M982" s="20" t="str">
        <f aca="false">IF(G982&lt;&gt;"","PASS","FAIL - Missing UPC")</f>
        <v>PASS</v>
      </c>
      <c r="N982" s="20" t="str">
        <f aca="false">IF(AND(G982&lt;&gt;"",H982&lt;&gt;""),IF("0"&amp;G982=H982,"PASS","FAIL - GTIN Mismatch"),"SKIP")</f>
        <v>PASS</v>
      </c>
      <c r="O982" s="20" t="str">
        <f aca="false">IF(I982="","FAIL - No Title",IF(LEN(I982)&lt;=126,"PASS","FAIL - Title &gt;"&amp;126&amp;" chars"))</f>
        <v>PASS</v>
      </c>
      <c r="P982" s="20" t="str">
        <f aca="false">IF(J982&gt;0,IF(J982&lt;5000,"PASS","FLAG - Review Price"),"FAIL - Zero Price")</f>
        <v>PASS</v>
      </c>
      <c r="Q982" s="20" t="str">
        <f aca="false">IF('Raw Catalog'!P980&lt;&gt;"","PASS","FAIL - No Image")</f>
        <v>PASS</v>
      </c>
      <c r="R982" s="20" t="str">
        <f aca="false">IF(F982&lt;&gt;"","PASS","FAIL - No Brand")</f>
        <v>PASS</v>
      </c>
      <c r="S982" s="20" t="str">
        <f aca="true">IF(K982="","FAIL - No Date",IF(TODAY()-DATEVALUE(K982)&lt;=180,"PASS","FLAG - Stale &gt;180d"))</f>
        <v>FLAG - Stale &gt;180d</v>
      </c>
      <c r="T982" s="20" t="n">
        <f aca="false">COUNTIF(M982:S982,"FAIL*")+COUNTIF(M982:S982,"FLAG*")</f>
        <v>1</v>
      </c>
      <c r="U982" s="20" t="str">
        <f aca="false">IF(T982=0,"CLEAN",IF(T982=1,"MINOR",IF(T982&lt;=3,"MODERATE","CRITICAL")))</f>
        <v>MINOR</v>
      </c>
      <c r="V982" s="20" t="str">
        <f aca="false">IF(U982="CLEAN","None",IF(U982="MINOR","Seller Notify",IF(U982="MODERATE","Listing Suspended","Immediate Removal")))</f>
        <v>Seller Notify</v>
      </c>
    </row>
    <row r="983" customFormat="false" ht="18" hidden="false" customHeight="true" outlineLevel="0" collapsed="false">
      <c r="A983" s="19" t="s">
        <v>7060</v>
      </c>
      <c r="B983" s="19" t="s">
        <v>5825</v>
      </c>
      <c r="C983" s="19" t="s">
        <v>77</v>
      </c>
      <c r="D983" s="19" t="s">
        <v>78</v>
      </c>
      <c r="E983" s="19" t="s">
        <v>65</v>
      </c>
      <c r="F983" s="19" t="s">
        <v>390</v>
      </c>
      <c r="G983" s="19" t="s">
        <v>5827</v>
      </c>
      <c r="H983" s="19" t="s">
        <v>5828</v>
      </c>
      <c r="I983" s="19" t="s">
        <v>2114</v>
      </c>
      <c r="J983" s="19" t="n">
        <v>403.47</v>
      </c>
      <c r="K983" s="19" t="s">
        <v>3240</v>
      </c>
      <c r="L983" s="19"/>
      <c r="M983" s="20" t="str">
        <f aca="false">IF(G983&lt;&gt;"","PASS","FAIL - Missing UPC")</f>
        <v>PASS</v>
      </c>
      <c r="N983" s="20" t="str">
        <f aca="false">IF(AND(G983&lt;&gt;"",H983&lt;&gt;""),IF("0"&amp;G983=H983,"PASS","FAIL - GTIN Mismatch"),"SKIP")</f>
        <v>PASS</v>
      </c>
      <c r="O983" s="20" t="str">
        <f aca="false">IF(I983="","FAIL - No Title",IF(LEN(I983)&lt;=126,"PASS","FAIL - Title &gt;"&amp;126&amp;" chars"))</f>
        <v>PASS</v>
      </c>
      <c r="P983" s="20" t="str">
        <f aca="false">IF(J983&gt;0,IF(J983&lt;5000,"PASS","FLAG - Review Price"),"FAIL - Zero Price")</f>
        <v>PASS</v>
      </c>
      <c r="Q983" s="20" t="str">
        <f aca="false">IF('Raw Catalog'!P981&lt;&gt;"","PASS","FAIL - No Image")</f>
        <v>PASS</v>
      </c>
      <c r="R983" s="20" t="str">
        <f aca="false">IF(F983&lt;&gt;"","PASS","FAIL - No Brand")</f>
        <v>PASS</v>
      </c>
      <c r="S983" s="20" t="str">
        <f aca="true">IF(K983="","FAIL - No Date",IF(TODAY()-DATEVALUE(K983)&lt;=180,"PASS","FLAG - Stale &gt;180d"))</f>
        <v>FLAG - Stale &gt;180d</v>
      </c>
      <c r="T983" s="20" t="n">
        <f aca="false">COUNTIF(M983:S983,"FAIL*")+COUNTIF(M983:S983,"FLAG*")</f>
        <v>1</v>
      </c>
      <c r="U983" s="20" t="str">
        <f aca="false">IF(T983=0,"CLEAN",IF(T983=1,"MINOR",IF(T983&lt;=3,"MODERATE","CRITICAL")))</f>
        <v>MINOR</v>
      </c>
      <c r="V983" s="20" t="str">
        <f aca="false">IF(U983="CLEAN","None",IF(U983="MINOR","Seller Notify",IF(U983="MODERATE","Listing Suspended","Immediate Removal")))</f>
        <v>Seller Notify</v>
      </c>
    </row>
    <row r="984" customFormat="false" ht="18" hidden="false" customHeight="true" outlineLevel="0" collapsed="false">
      <c r="A984" s="19" t="s">
        <v>7061</v>
      </c>
      <c r="B984" s="19" t="s">
        <v>5829</v>
      </c>
      <c r="C984" s="19" t="s">
        <v>113</v>
      </c>
      <c r="D984" s="19" t="s">
        <v>114</v>
      </c>
      <c r="E984" s="19" t="s">
        <v>50</v>
      </c>
      <c r="F984" s="19" t="s">
        <v>138</v>
      </c>
      <c r="G984" s="19" t="s">
        <v>5831</v>
      </c>
      <c r="H984" s="19" t="s">
        <v>5832</v>
      </c>
      <c r="I984" s="19" t="s">
        <v>5833</v>
      </c>
      <c r="J984" s="19" t="n">
        <v>1249.78</v>
      </c>
      <c r="K984" s="19" t="s">
        <v>482</v>
      </c>
      <c r="L984" s="19"/>
      <c r="M984" s="20" t="str">
        <f aca="false">IF(G984&lt;&gt;"","PASS","FAIL - Missing UPC")</f>
        <v>PASS</v>
      </c>
      <c r="N984" s="20" t="str">
        <f aca="false">IF(AND(G984&lt;&gt;"",H984&lt;&gt;""),IF("0"&amp;G984=H984,"PASS","FAIL - GTIN Mismatch"),"SKIP")</f>
        <v>PASS</v>
      </c>
      <c r="O984" s="20" t="str">
        <f aca="false">IF(I984="","FAIL - No Title",IF(LEN(I984)&lt;=126,"PASS","FAIL - Title &gt;"&amp;126&amp;" chars"))</f>
        <v>PASS</v>
      </c>
      <c r="P984" s="20" t="str">
        <f aca="false">IF(J984&gt;0,IF(J984&lt;5000,"PASS","FLAG - Review Price"),"FAIL - Zero Price")</f>
        <v>PASS</v>
      </c>
      <c r="Q984" s="20" t="str">
        <f aca="false">IF('Raw Catalog'!P982&lt;&gt;"","PASS","FAIL - No Image")</f>
        <v>PASS</v>
      </c>
      <c r="R984" s="20" t="str">
        <f aca="false">IF(F984&lt;&gt;"","PASS","FAIL - No Brand")</f>
        <v>PASS</v>
      </c>
      <c r="S984" s="20" t="str">
        <f aca="true">IF(K984="","FAIL - No Date",IF(TODAY()-DATEVALUE(K984)&lt;=180,"PASS","FLAG - Stale &gt;180d"))</f>
        <v>FLAG - Stale &gt;180d</v>
      </c>
      <c r="T984" s="20" t="n">
        <f aca="false">COUNTIF(M984:S984,"FAIL*")+COUNTIF(M984:S984,"FLAG*")</f>
        <v>1</v>
      </c>
      <c r="U984" s="20" t="str">
        <f aca="false">IF(T984=0,"CLEAN",IF(T984=1,"MINOR",IF(T984&lt;=3,"MODERATE","CRITICAL")))</f>
        <v>MINOR</v>
      </c>
      <c r="V984" s="20" t="str">
        <f aca="false">IF(U984="CLEAN","None",IF(U984="MINOR","Seller Notify",IF(U984="MODERATE","Listing Suspended","Immediate Removal")))</f>
        <v>Seller Notify</v>
      </c>
    </row>
    <row r="985" customFormat="false" ht="18" hidden="false" customHeight="true" outlineLevel="0" collapsed="false">
      <c r="A985" s="19" t="s">
        <v>7062</v>
      </c>
      <c r="B985" s="19" t="s">
        <v>5835</v>
      </c>
      <c r="C985" s="19" t="s">
        <v>113</v>
      </c>
      <c r="D985" s="19" t="s">
        <v>114</v>
      </c>
      <c r="E985" s="19" t="s">
        <v>161</v>
      </c>
      <c r="F985" s="19" t="s">
        <v>306</v>
      </c>
      <c r="G985" s="19" t="s">
        <v>5837</v>
      </c>
      <c r="H985" s="19" t="s">
        <v>5838</v>
      </c>
      <c r="I985" s="19" t="s">
        <v>3632</v>
      </c>
      <c r="J985" s="19" t="n">
        <v>140.91</v>
      </c>
      <c r="K985" s="19" t="s">
        <v>4572</v>
      </c>
      <c r="L985" s="19"/>
      <c r="M985" s="20" t="str">
        <f aca="false">IF(G985&lt;&gt;"","PASS","FAIL - Missing UPC")</f>
        <v>PASS</v>
      </c>
      <c r="N985" s="20" t="str">
        <f aca="false">IF(AND(G985&lt;&gt;"",H985&lt;&gt;""),IF("0"&amp;G985=H985,"PASS","FAIL - GTIN Mismatch"),"SKIP")</f>
        <v>PASS</v>
      </c>
      <c r="O985" s="20" t="str">
        <f aca="false">IF(I985="","FAIL - No Title",IF(LEN(I985)&lt;=126,"PASS","FAIL - Title &gt;"&amp;126&amp;" chars"))</f>
        <v>PASS</v>
      </c>
      <c r="P985" s="20" t="str">
        <f aca="false">IF(J985&gt;0,IF(J985&lt;5000,"PASS","FLAG - Review Price"),"FAIL - Zero Price")</f>
        <v>PASS</v>
      </c>
      <c r="Q985" s="20" t="str">
        <f aca="false">IF('Raw Catalog'!P983&lt;&gt;"","PASS","FAIL - No Image")</f>
        <v>PASS</v>
      </c>
      <c r="R985" s="20" t="str">
        <f aca="false">IF(F985&lt;&gt;"","PASS","FAIL - No Brand")</f>
        <v>PASS</v>
      </c>
      <c r="S985" s="20" t="str">
        <f aca="true">IF(K985="","FAIL - No Date",IF(TODAY()-DATEVALUE(K985)&lt;=180,"PASS","FLAG - Stale &gt;180d"))</f>
        <v>FLAG - Stale &gt;180d</v>
      </c>
      <c r="T985" s="20" t="n">
        <f aca="false">COUNTIF(M985:S985,"FAIL*")+COUNTIF(M985:S985,"FLAG*")</f>
        <v>1</v>
      </c>
      <c r="U985" s="20" t="str">
        <f aca="false">IF(T985=0,"CLEAN",IF(T985=1,"MINOR",IF(T985&lt;=3,"MODERATE","CRITICAL")))</f>
        <v>MINOR</v>
      </c>
      <c r="V985" s="20" t="str">
        <f aca="false">IF(U985="CLEAN","None",IF(U985="MINOR","Seller Notify",IF(U985="MODERATE","Listing Suspended","Immediate Removal")))</f>
        <v>Seller Notify</v>
      </c>
    </row>
    <row r="986" customFormat="false" ht="18" hidden="false" customHeight="true" outlineLevel="0" collapsed="false">
      <c r="A986" s="19" t="s">
        <v>7063</v>
      </c>
      <c r="B986" s="19" t="s">
        <v>839</v>
      </c>
      <c r="C986" s="19" t="s">
        <v>173</v>
      </c>
      <c r="D986" s="19" t="s">
        <v>174</v>
      </c>
      <c r="E986" s="19" t="s">
        <v>161</v>
      </c>
      <c r="F986" s="19" t="s">
        <v>295</v>
      </c>
      <c r="G986" s="19" t="s">
        <v>841</v>
      </c>
      <c r="H986" s="19" t="s">
        <v>842</v>
      </c>
      <c r="I986" s="19" t="s">
        <v>843</v>
      </c>
      <c r="J986" s="19" t="n">
        <v>251.87</v>
      </c>
      <c r="K986" s="19" t="s">
        <v>838</v>
      </c>
      <c r="L986" s="21" t="s">
        <v>283</v>
      </c>
      <c r="M986" s="20" t="str">
        <f aca="false">IF(G986&lt;&gt;"","PASS","FAIL - Missing UPC")</f>
        <v>PASS</v>
      </c>
      <c r="N986" s="20" t="str">
        <f aca="false">IF(AND(G986&lt;&gt;"",H986&lt;&gt;""),IF("0"&amp;G986=H986,"PASS","FAIL - GTIN Mismatch"),"SKIP")</f>
        <v>PASS</v>
      </c>
      <c r="O986" s="20" t="str">
        <f aca="false">IF(I986="","FAIL - No Title",IF(LEN(I986)&lt;=126,"PASS","FAIL - Title &gt;"&amp;126&amp;" chars"))</f>
        <v>PASS</v>
      </c>
      <c r="P986" s="20" t="str">
        <f aca="false">IF(J986&gt;0,IF(J986&lt;5000,"PASS","FLAG - Review Price"),"FAIL - Zero Price")</f>
        <v>PASS</v>
      </c>
      <c r="Q986" s="20" t="str">
        <f aca="false">IF('Raw Catalog'!P984&lt;&gt;"","PASS","FAIL - No Image")</f>
        <v>PASS</v>
      </c>
      <c r="R986" s="20" t="str">
        <f aca="false">IF(F986&lt;&gt;"","PASS","FAIL - No Brand")</f>
        <v>PASS</v>
      </c>
      <c r="S986" s="20" t="str">
        <f aca="true">IF(K986="","FAIL - No Date",IF(TODAY()-DATEVALUE(K986)&lt;=180,"PASS","FLAG - Stale &gt;180d"))</f>
        <v>FLAG - Stale &gt;180d</v>
      </c>
      <c r="T986" s="20" t="n">
        <f aca="false">COUNTIF(M986:S986,"FAIL*")+COUNTIF(M986:S986,"FLAG*")</f>
        <v>1</v>
      </c>
      <c r="U986" s="20" t="str">
        <f aca="false">IF(T986=0,"CLEAN",IF(T986=1,"MINOR",IF(T986&lt;=3,"MODERATE","CRITICAL")))</f>
        <v>MINOR</v>
      </c>
      <c r="V986" s="20" t="str">
        <f aca="false">IF(U986="CLEAN","None",IF(U986="MINOR","Seller Notify",IF(U986="MODERATE","Listing Suspended","Immediate Removal")))</f>
        <v>Seller Notify</v>
      </c>
    </row>
    <row r="987" customFormat="false" ht="18" hidden="false" customHeight="true" outlineLevel="0" collapsed="false">
      <c r="A987" s="19" t="s">
        <v>7064</v>
      </c>
      <c r="B987" s="19" t="s">
        <v>5839</v>
      </c>
      <c r="C987" s="19" t="s">
        <v>48</v>
      </c>
      <c r="D987" s="19" t="s">
        <v>49</v>
      </c>
      <c r="E987" s="19" t="s">
        <v>79</v>
      </c>
      <c r="F987" s="19" t="s">
        <v>51</v>
      </c>
      <c r="G987" s="19" t="s">
        <v>5841</v>
      </c>
      <c r="H987" s="19" t="s">
        <v>5842</v>
      </c>
      <c r="I987" s="19" t="s">
        <v>5843</v>
      </c>
      <c r="J987" s="19" t="n">
        <v>649.64</v>
      </c>
      <c r="K987" s="19" t="s">
        <v>1384</v>
      </c>
      <c r="L987" s="19"/>
      <c r="M987" s="20" t="str">
        <f aca="false">IF(G987&lt;&gt;"","PASS","FAIL - Missing UPC")</f>
        <v>PASS</v>
      </c>
      <c r="N987" s="20" t="str">
        <f aca="false">IF(AND(G987&lt;&gt;"",H987&lt;&gt;""),IF("0"&amp;G987=H987,"PASS","FAIL - GTIN Mismatch"),"SKIP")</f>
        <v>PASS</v>
      </c>
      <c r="O987" s="20" t="str">
        <f aca="false">IF(I987="","FAIL - No Title",IF(LEN(I987)&lt;=126,"PASS","FAIL - Title &gt;"&amp;126&amp;" chars"))</f>
        <v>PASS</v>
      </c>
      <c r="P987" s="20" t="str">
        <f aca="false">IF(J987&gt;0,IF(J987&lt;5000,"PASS","FLAG - Review Price"),"FAIL - Zero Price")</f>
        <v>PASS</v>
      </c>
      <c r="Q987" s="20" t="str">
        <f aca="false">IF('Raw Catalog'!P985&lt;&gt;"","PASS","FAIL - No Image")</f>
        <v>PASS</v>
      </c>
      <c r="R987" s="20" t="str">
        <f aca="false">IF(F987&lt;&gt;"","PASS","FAIL - No Brand")</f>
        <v>PASS</v>
      </c>
      <c r="S987" s="20" t="str">
        <f aca="true">IF(K987="","FAIL - No Date",IF(TODAY()-DATEVALUE(K987)&lt;=180,"PASS","FLAG - Stale &gt;180d"))</f>
        <v>FLAG - Stale &gt;180d</v>
      </c>
      <c r="T987" s="20" t="n">
        <f aca="false">COUNTIF(M987:S987,"FAIL*")+COUNTIF(M987:S987,"FLAG*")</f>
        <v>1</v>
      </c>
      <c r="U987" s="20" t="str">
        <f aca="false">IF(T987=0,"CLEAN",IF(T987=1,"MINOR",IF(T987&lt;=3,"MODERATE","CRITICAL")))</f>
        <v>MINOR</v>
      </c>
      <c r="V987" s="20" t="str">
        <f aca="false">IF(U987="CLEAN","None",IF(U987="MINOR","Seller Notify",IF(U987="MODERATE","Listing Suspended","Immediate Removal")))</f>
        <v>Seller Notify</v>
      </c>
    </row>
    <row r="988" customFormat="false" ht="18" hidden="false" customHeight="true" outlineLevel="0" collapsed="false">
      <c r="A988" s="19" t="s">
        <v>7065</v>
      </c>
      <c r="B988" s="19" t="s">
        <v>1874</v>
      </c>
      <c r="C988" s="19" t="s">
        <v>113</v>
      </c>
      <c r="D988" s="19" t="s">
        <v>114</v>
      </c>
      <c r="E988" s="19" t="s">
        <v>50</v>
      </c>
      <c r="F988" s="19" t="s">
        <v>115</v>
      </c>
      <c r="G988" s="19" t="s">
        <v>1876</v>
      </c>
      <c r="H988" s="19" t="s">
        <v>1877</v>
      </c>
      <c r="I988" s="19" t="s">
        <v>1878</v>
      </c>
      <c r="J988" s="19" t="n">
        <v>1207.46</v>
      </c>
      <c r="K988" s="19" t="s">
        <v>1880</v>
      </c>
      <c r="L988" s="19"/>
      <c r="M988" s="20" t="str">
        <f aca="false">IF(G988&lt;&gt;"","PASS","FAIL - Missing UPC")</f>
        <v>PASS</v>
      </c>
      <c r="N988" s="20" t="str">
        <f aca="false">IF(AND(G988&lt;&gt;"",H988&lt;&gt;""),IF("0"&amp;G988=H988,"PASS","FAIL - GTIN Mismatch"),"SKIP")</f>
        <v>PASS</v>
      </c>
      <c r="O988" s="20" t="str">
        <f aca="false">IF(I988="","FAIL - No Title",IF(LEN(I988)&lt;=126,"PASS","FAIL - Title &gt;"&amp;126&amp;" chars"))</f>
        <v>PASS</v>
      </c>
      <c r="P988" s="20" t="str">
        <f aca="false">IF(J988&gt;0,IF(J988&lt;5000,"PASS","FLAG - Review Price"),"FAIL - Zero Price")</f>
        <v>PASS</v>
      </c>
      <c r="Q988" s="20" t="str">
        <f aca="false">IF('Raw Catalog'!P986&lt;&gt;"","PASS","FAIL - No Image")</f>
        <v>PASS</v>
      </c>
      <c r="R988" s="20" t="str">
        <f aca="false">IF(F988&lt;&gt;"","PASS","FAIL - No Brand")</f>
        <v>PASS</v>
      </c>
      <c r="S988" s="20" t="str">
        <f aca="true">IF(K988="","FAIL - No Date",IF(TODAY()-DATEVALUE(K988)&lt;=180,"PASS","FLAG - Stale &gt;180d"))</f>
        <v>FLAG - Stale &gt;180d</v>
      </c>
      <c r="T988" s="20" t="n">
        <f aca="false">COUNTIF(M988:S988,"FAIL*")+COUNTIF(M988:S988,"FLAG*")</f>
        <v>1</v>
      </c>
      <c r="U988" s="20" t="str">
        <f aca="false">IF(T988=0,"CLEAN",IF(T988=1,"MINOR",IF(T988&lt;=3,"MODERATE","CRITICAL")))</f>
        <v>MINOR</v>
      </c>
      <c r="V988" s="20" t="str">
        <f aca="false">IF(U988="CLEAN","None",IF(U988="MINOR","Seller Notify",IF(U988="MODERATE","Listing Suspended","Immediate Removal")))</f>
        <v>Seller Notify</v>
      </c>
    </row>
    <row r="989" customFormat="false" ht="18" hidden="false" customHeight="true" outlineLevel="0" collapsed="false">
      <c r="A989" s="19" t="s">
        <v>7066</v>
      </c>
      <c r="B989" s="19" t="s">
        <v>5844</v>
      </c>
      <c r="C989" s="19" t="s">
        <v>159</v>
      </c>
      <c r="D989" s="19" t="s">
        <v>160</v>
      </c>
      <c r="E989" s="19" t="s">
        <v>91</v>
      </c>
      <c r="F989" s="19" t="s">
        <v>227</v>
      </c>
      <c r="G989" s="19" t="s">
        <v>5846</v>
      </c>
      <c r="H989" s="19" t="s">
        <v>5847</v>
      </c>
      <c r="I989" s="19" t="s">
        <v>3456</v>
      </c>
      <c r="J989" s="19" t="n">
        <v>366.74</v>
      </c>
      <c r="K989" s="19" t="s">
        <v>1334</v>
      </c>
      <c r="L989" s="21" t="s">
        <v>453</v>
      </c>
      <c r="M989" s="20" t="str">
        <f aca="false">IF(G989&lt;&gt;"","PASS","FAIL - Missing UPC")</f>
        <v>PASS</v>
      </c>
      <c r="N989" s="20" t="str">
        <f aca="false">IF(AND(G989&lt;&gt;"",H989&lt;&gt;""),IF("0"&amp;G989=H989,"PASS","FAIL - GTIN Mismatch"),"SKIP")</f>
        <v>PASS</v>
      </c>
      <c r="O989" s="20" t="str">
        <f aca="false">IF(I989="","FAIL - No Title",IF(LEN(I989)&lt;=126,"PASS","FAIL - Title &gt;"&amp;126&amp;" chars"))</f>
        <v>PASS</v>
      </c>
      <c r="P989" s="20" t="str">
        <f aca="false">IF(J989&gt;0,IF(J989&lt;5000,"PASS","FLAG - Review Price"),"FAIL - Zero Price")</f>
        <v>PASS</v>
      </c>
      <c r="Q989" s="20" t="str">
        <f aca="false">IF('Raw Catalog'!P987&lt;&gt;"","PASS","FAIL - No Image")</f>
        <v>PASS</v>
      </c>
      <c r="R989" s="20" t="str">
        <f aca="false">IF(F989&lt;&gt;"","PASS","FAIL - No Brand")</f>
        <v>PASS</v>
      </c>
      <c r="S989" s="20" t="str">
        <f aca="true">IF(K989="","FAIL - No Date",IF(TODAY()-DATEVALUE(K989)&lt;=180,"PASS","FLAG - Stale &gt;180d"))</f>
        <v>FLAG - Stale &gt;180d</v>
      </c>
      <c r="T989" s="20" t="n">
        <f aca="false">COUNTIF(M989:S989,"FAIL*")+COUNTIF(M989:S989,"FLAG*")</f>
        <v>1</v>
      </c>
      <c r="U989" s="20" t="str">
        <f aca="false">IF(T989=0,"CLEAN",IF(T989=1,"MINOR",IF(T989&lt;=3,"MODERATE","CRITICAL")))</f>
        <v>MINOR</v>
      </c>
      <c r="V989" s="20" t="str">
        <f aca="false">IF(U989="CLEAN","None",IF(U989="MINOR","Seller Notify",IF(U989="MODERATE","Listing Suspended","Immediate Removal")))</f>
        <v>Seller Notify</v>
      </c>
    </row>
    <row r="990" customFormat="false" ht="18" hidden="false" customHeight="true" outlineLevel="0" collapsed="false">
      <c r="A990" s="19" t="s">
        <v>7067</v>
      </c>
      <c r="B990" s="19" t="s">
        <v>5848</v>
      </c>
      <c r="C990" s="19" t="s">
        <v>159</v>
      </c>
      <c r="D990" s="19" t="s">
        <v>160</v>
      </c>
      <c r="E990" s="19" t="s">
        <v>65</v>
      </c>
      <c r="F990" s="19" t="s">
        <v>438</v>
      </c>
      <c r="G990" s="19" t="s">
        <v>5850</v>
      </c>
      <c r="H990" s="19" t="s">
        <v>5851</v>
      </c>
      <c r="I990" s="19" t="s">
        <v>1363</v>
      </c>
      <c r="J990" s="19" t="n">
        <v>137.01</v>
      </c>
      <c r="K990" s="19" t="s">
        <v>350</v>
      </c>
      <c r="L990" s="19"/>
      <c r="M990" s="20" t="str">
        <f aca="false">IF(G990&lt;&gt;"","PASS","FAIL - Missing UPC")</f>
        <v>PASS</v>
      </c>
      <c r="N990" s="20" t="str">
        <f aca="false">IF(AND(G990&lt;&gt;"",H990&lt;&gt;""),IF("0"&amp;G990=H990,"PASS","FAIL - GTIN Mismatch"),"SKIP")</f>
        <v>PASS</v>
      </c>
      <c r="O990" s="20" t="str">
        <f aca="false">IF(I990="","FAIL - No Title",IF(LEN(I990)&lt;=126,"PASS","FAIL - Title &gt;"&amp;126&amp;" chars"))</f>
        <v>PASS</v>
      </c>
      <c r="P990" s="20" t="str">
        <f aca="false">IF(J990&gt;0,IF(J990&lt;5000,"PASS","FLAG - Review Price"),"FAIL - Zero Price")</f>
        <v>PASS</v>
      </c>
      <c r="Q990" s="20" t="str">
        <f aca="false">IF('Raw Catalog'!P988&lt;&gt;"","PASS","FAIL - No Image")</f>
        <v>PASS</v>
      </c>
      <c r="R990" s="20" t="str">
        <f aca="false">IF(F990&lt;&gt;"","PASS","FAIL - No Brand")</f>
        <v>PASS</v>
      </c>
      <c r="S990" s="20" t="str">
        <f aca="true">IF(K990="","FAIL - No Date",IF(TODAY()-DATEVALUE(K990)&lt;=180,"PASS","FLAG - Stale &gt;180d"))</f>
        <v>FLAG - Stale &gt;180d</v>
      </c>
      <c r="T990" s="20" t="n">
        <f aca="false">COUNTIF(M990:S990,"FAIL*")+COUNTIF(M990:S990,"FLAG*")</f>
        <v>1</v>
      </c>
      <c r="U990" s="20" t="str">
        <f aca="false">IF(T990=0,"CLEAN",IF(T990=1,"MINOR",IF(T990&lt;=3,"MODERATE","CRITICAL")))</f>
        <v>MINOR</v>
      </c>
      <c r="V990" s="20" t="str">
        <f aca="false">IF(U990="CLEAN","None",IF(U990="MINOR","Seller Notify",IF(U990="MODERATE","Listing Suspended","Immediate Removal")))</f>
        <v>Seller Notify</v>
      </c>
    </row>
    <row r="991" customFormat="false" ht="18" hidden="false" customHeight="true" outlineLevel="0" collapsed="false">
      <c r="A991" s="19" t="s">
        <v>7068</v>
      </c>
      <c r="B991" s="19" t="s">
        <v>5852</v>
      </c>
      <c r="C991" s="19" t="s">
        <v>159</v>
      </c>
      <c r="D991" s="19" t="s">
        <v>160</v>
      </c>
      <c r="E991" s="19" t="s">
        <v>91</v>
      </c>
      <c r="F991" s="19" t="s">
        <v>185</v>
      </c>
      <c r="G991" s="19" t="s">
        <v>5854</v>
      </c>
      <c r="H991" s="19" t="s">
        <v>5855</v>
      </c>
      <c r="I991" s="19" t="s">
        <v>5856</v>
      </c>
      <c r="J991" s="19" t="n">
        <v>1602.36</v>
      </c>
      <c r="K991" s="19" t="s">
        <v>4260</v>
      </c>
      <c r="L991" s="19"/>
      <c r="M991" s="20" t="str">
        <f aca="false">IF(G991&lt;&gt;"","PASS","FAIL - Missing UPC")</f>
        <v>PASS</v>
      </c>
      <c r="N991" s="20" t="str">
        <f aca="false">IF(AND(G991&lt;&gt;"",H991&lt;&gt;""),IF("0"&amp;G991=H991,"PASS","FAIL - GTIN Mismatch"),"SKIP")</f>
        <v>PASS</v>
      </c>
      <c r="O991" s="20" t="str">
        <f aca="false">IF(I991="","FAIL - No Title",IF(LEN(I991)&lt;=126,"PASS","FAIL - Title &gt;"&amp;126&amp;" chars"))</f>
        <v>PASS</v>
      </c>
      <c r="P991" s="20" t="str">
        <f aca="false">IF(J991&gt;0,IF(J991&lt;5000,"PASS","FLAG - Review Price"),"FAIL - Zero Price")</f>
        <v>PASS</v>
      </c>
      <c r="Q991" s="20" t="str">
        <f aca="false">IF('Raw Catalog'!P989&lt;&gt;"","PASS","FAIL - No Image")</f>
        <v>PASS</v>
      </c>
      <c r="R991" s="20" t="str">
        <f aca="false">IF(F991&lt;&gt;"","PASS","FAIL - No Brand")</f>
        <v>PASS</v>
      </c>
      <c r="S991" s="20" t="str">
        <f aca="true">IF(K991="","FAIL - No Date",IF(TODAY()-DATEVALUE(K991)&lt;=180,"PASS","FLAG - Stale &gt;180d"))</f>
        <v>FLAG - Stale &gt;180d</v>
      </c>
      <c r="T991" s="20" t="n">
        <f aca="false">COUNTIF(M991:S991,"FAIL*")+COUNTIF(M991:S991,"FLAG*")</f>
        <v>1</v>
      </c>
      <c r="U991" s="20" t="str">
        <f aca="false">IF(T991=0,"CLEAN",IF(T991=1,"MINOR",IF(T991&lt;=3,"MODERATE","CRITICAL")))</f>
        <v>MINOR</v>
      </c>
      <c r="V991" s="20" t="str">
        <f aca="false">IF(U991="CLEAN","None",IF(U991="MINOR","Seller Notify",IF(U991="MODERATE","Listing Suspended","Immediate Removal")))</f>
        <v>Seller Notify</v>
      </c>
    </row>
    <row r="992" customFormat="false" ht="18" hidden="false" customHeight="true" outlineLevel="0" collapsed="false">
      <c r="A992" s="19" t="s">
        <v>7069</v>
      </c>
      <c r="B992" s="19" t="s">
        <v>5857</v>
      </c>
      <c r="C992" s="19" t="s">
        <v>63</v>
      </c>
      <c r="D992" s="19" t="s">
        <v>64</v>
      </c>
      <c r="E992" s="19" t="s">
        <v>79</v>
      </c>
      <c r="F992" s="19" t="s">
        <v>465</v>
      </c>
      <c r="G992" s="19" t="s">
        <v>5859</v>
      </c>
      <c r="H992" s="19" t="s">
        <v>5860</v>
      </c>
      <c r="I992" s="19" t="s">
        <v>5861</v>
      </c>
      <c r="J992" s="19" t="n">
        <v>1999.8</v>
      </c>
      <c r="K992" s="19" t="s">
        <v>1274</v>
      </c>
      <c r="L992" s="19"/>
      <c r="M992" s="20" t="str">
        <f aca="false">IF(G992&lt;&gt;"","PASS","FAIL - Missing UPC")</f>
        <v>PASS</v>
      </c>
      <c r="N992" s="20" t="str">
        <f aca="false">IF(AND(G992&lt;&gt;"",H992&lt;&gt;""),IF("0"&amp;G992=H992,"PASS","FAIL - GTIN Mismatch"),"SKIP")</f>
        <v>PASS</v>
      </c>
      <c r="O992" s="20" t="str">
        <f aca="false">IF(I992="","FAIL - No Title",IF(LEN(I992)&lt;=126,"PASS","FAIL - Title &gt;"&amp;126&amp;" chars"))</f>
        <v>PASS</v>
      </c>
      <c r="P992" s="20" t="str">
        <f aca="false">IF(J992&gt;0,IF(J992&lt;5000,"PASS","FLAG - Review Price"),"FAIL - Zero Price")</f>
        <v>PASS</v>
      </c>
      <c r="Q992" s="20" t="str">
        <f aca="false">IF('Raw Catalog'!P990&lt;&gt;"","PASS","FAIL - No Image")</f>
        <v>PASS</v>
      </c>
      <c r="R992" s="20" t="str">
        <f aca="false">IF(F992&lt;&gt;"","PASS","FAIL - No Brand")</f>
        <v>PASS</v>
      </c>
      <c r="S992" s="20" t="str">
        <f aca="true">IF(K992="","FAIL - No Date",IF(TODAY()-DATEVALUE(K992)&lt;=180,"PASS","FLAG - Stale &gt;180d"))</f>
        <v>FLAG - Stale &gt;180d</v>
      </c>
      <c r="T992" s="20" t="n">
        <f aca="false">COUNTIF(M992:S992,"FAIL*")+COUNTIF(M992:S992,"FLAG*")</f>
        <v>1</v>
      </c>
      <c r="U992" s="20" t="str">
        <f aca="false">IF(T992=0,"CLEAN",IF(T992=1,"MINOR",IF(T992&lt;=3,"MODERATE","CRITICAL")))</f>
        <v>MINOR</v>
      </c>
      <c r="V992" s="20" t="str">
        <f aca="false">IF(U992="CLEAN","None",IF(U992="MINOR","Seller Notify",IF(U992="MODERATE","Listing Suspended","Immediate Removal")))</f>
        <v>Seller Notify</v>
      </c>
    </row>
    <row r="993" customFormat="false" ht="18" hidden="false" customHeight="true" outlineLevel="0" collapsed="false">
      <c r="A993" s="19" t="s">
        <v>7070</v>
      </c>
      <c r="B993" s="19" t="s">
        <v>5863</v>
      </c>
      <c r="C993" s="19" t="s">
        <v>48</v>
      </c>
      <c r="D993" s="19" t="s">
        <v>49</v>
      </c>
      <c r="E993" s="19" t="s">
        <v>65</v>
      </c>
      <c r="F993" s="19" t="s">
        <v>587</v>
      </c>
      <c r="G993" s="19" t="s">
        <v>5865</v>
      </c>
      <c r="H993" s="19" t="s">
        <v>5866</v>
      </c>
      <c r="I993" s="19" t="s">
        <v>5867</v>
      </c>
      <c r="J993" s="19" t="n">
        <v>2599.31</v>
      </c>
      <c r="K993" s="19" t="s">
        <v>4100</v>
      </c>
      <c r="L993" s="21" t="s">
        <v>453</v>
      </c>
      <c r="M993" s="20" t="str">
        <f aca="false">IF(G993&lt;&gt;"","PASS","FAIL - Missing UPC")</f>
        <v>PASS</v>
      </c>
      <c r="N993" s="20" t="str">
        <f aca="false">IF(AND(G993&lt;&gt;"",H993&lt;&gt;""),IF("0"&amp;G993=H993,"PASS","FAIL - GTIN Mismatch"),"SKIP")</f>
        <v>PASS</v>
      </c>
      <c r="O993" s="20" t="str">
        <f aca="false">IF(I993="","FAIL - No Title",IF(LEN(I993)&lt;=126,"PASS","FAIL - Title &gt;"&amp;126&amp;" chars"))</f>
        <v>PASS</v>
      </c>
      <c r="P993" s="20" t="str">
        <f aca="false">IF(J993&gt;0,IF(J993&lt;5000,"PASS","FLAG - Review Price"),"FAIL - Zero Price")</f>
        <v>PASS</v>
      </c>
      <c r="Q993" s="20" t="str">
        <f aca="false">IF('Raw Catalog'!P991&lt;&gt;"","PASS","FAIL - No Image")</f>
        <v>PASS</v>
      </c>
      <c r="R993" s="20" t="str">
        <f aca="false">IF(F993&lt;&gt;"","PASS","FAIL - No Brand")</f>
        <v>PASS</v>
      </c>
      <c r="S993" s="20" t="str">
        <f aca="true">IF(K993="","FAIL - No Date",IF(TODAY()-DATEVALUE(K993)&lt;=180,"PASS","FLAG - Stale &gt;180d"))</f>
        <v>FLAG - Stale &gt;180d</v>
      </c>
      <c r="T993" s="20" t="n">
        <f aca="false">COUNTIF(M993:S993,"FAIL*")+COUNTIF(M993:S993,"FLAG*")</f>
        <v>1</v>
      </c>
      <c r="U993" s="20" t="str">
        <f aca="false">IF(T993=0,"CLEAN",IF(T993=1,"MINOR",IF(T993&lt;=3,"MODERATE","CRITICAL")))</f>
        <v>MINOR</v>
      </c>
      <c r="V993" s="20" t="str">
        <f aca="false">IF(U993="CLEAN","None",IF(U993="MINOR","Seller Notify",IF(U993="MODERATE","Listing Suspended","Immediate Removal")))</f>
        <v>Seller Notify</v>
      </c>
    </row>
    <row r="994" customFormat="false" ht="18" hidden="false" customHeight="true" outlineLevel="0" collapsed="false">
      <c r="A994" s="19" t="s">
        <v>7071</v>
      </c>
      <c r="B994" s="19" t="s">
        <v>5868</v>
      </c>
      <c r="C994" s="19" t="s">
        <v>255</v>
      </c>
      <c r="D994" s="19" t="s">
        <v>256</v>
      </c>
      <c r="E994" s="19" t="s">
        <v>79</v>
      </c>
      <c r="F994" s="19" t="s">
        <v>1531</v>
      </c>
      <c r="G994" s="19" t="s">
        <v>5870</v>
      </c>
      <c r="H994" s="19" t="s">
        <v>5871</v>
      </c>
      <c r="I994" s="19" t="s">
        <v>5872</v>
      </c>
      <c r="J994" s="19" t="n">
        <v>559.88</v>
      </c>
      <c r="K994" s="19" t="s">
        <v>3535</v>
      </c>
      <c r="L994" s="19"/>
      <c r="M994" s="20" t="str">
        <f aca="false">IF(G994&lt;&gt;"","PASS","FAIL - Missing UPC")</f>
        <v>PASS</v>
      </c>
      <c r="N994" s="20" t="str">
        <f aca="false">IF(AND(G994&lt;&gt;"",H994&lt;&gt;""),IF("0"&amp;G994=H994,"PASS","FAIL - GTIN Mismatch"),"SKIP")</f>
        <v>PASS</v>
      </c>
      <c r="O994" s="20" t="str">
        <f aca="false">IF(I994="","FAIL - No Title",IF(LEN(I994)&lt;=126,"PASS","FAIL - Title &gt;"&amp;126&amp;" chars"))</f>
        <v>PASS</v>
      </c>
      <c r="P994" s="20" t="str">
        <f aca="false">IF(J994&gt;0,IF(J994&lt;5000,"PASS","FLAG - Review Price"),"FAIL - Zero Price")</f>
        <v>PASS</v>
      </c>
      <c r="Q994" s="20" t="str">
        <f aca="false">IF('Raw Catalog'!P992&lt;&gt;"","PASS","FAIL - No Image")</f>
        <v>PASS</v>
      </c>
      <c r="R994" s="20" t="str">
        <f aca="false">IF(F994&lt;&gt;"","PASS","FAIL - No Brand")</f>
        <v>PASS</v>
      </c>
      <c r="S994" s="20" t="str">
        <f aca="true">IF(K994="","FAIL - No Date",IF(TODAY()-DATEVALUE(K994)&lt;=180,"PASS","FLAG - Stale &gt;180d"))</f>
        <v>FLAG - Stale &gt;180d</v>
      </c>
      <c r="T994" s="20" t="n">
        <f aca="false">COUNTIF(M994:S994,"FAIL*")+COUNTIF(M994:S994,"FLAG*")</f>
        <v>1</v>
      </c>
      <c r="U994" s="20" t="str">
        <f aca="false">IF(T994=0,"CLEAN",IF(T994=1,"MINOR",IF(T994&lt;=3,"MODERATE","CRITICAL")))</f>
        <v>MINOR</v>
      </c>
      <c r="V994" s="20" t="str">
        <f aca="false">IF(U994="CLEAN","None",IF(U994="MINOR","Seller Notify",IF(U994="MODERATE","Listing Suspended","Immediate Removal")))</f>
        <v>Seller Notify</v>
      </c>
    </row>
    <row r="995" customFormat="false" ht="18" hidden="false" customHeight="true" outlineLevel="0" collapsed="false">
      <c r="A995" s="19" t="s">
        <v>7072</v>
      </c>
      <c r="B995" s="19" t="s">
        <v>5873</v>
      </c>
      <c r="C995" s="19" t="s">
        <v>63</v>
      </c>
      <c r="D995" s="19" t="s">
        <v>64</v>
      </c>
      <c r="E995" s="19" t="s">
        <v>79</v>
      </c>
      <c r="F995" s="19" t="s">
        <v>51</v>
      </c>
      <c r="G995" s="19" t="s">
        <v>5875</v>
      </c>
      <c r="H995" s="19" t="s">
        <v>5876</v>
      </c>
      <c r="I995" s="19" t="s">
        <v>3562</v>
      </c>
      <c r="J995" s="19" t="n">
        <v>1771.72</v>
      </c>
      <c r="K995" s="19" t="s">
        <v>2215</v>
      </c>
      <c r="L995" s="19"/>
      <c r="M995" s="20" t="str">
        <f aca="false">IF(G995&lt;&gt;"","PASS","FAIL - Missing UPC")</f>
        <v>PASS</v>
      </c>
      <c r="N995" s="20" t="str">
        <f aca="false">IF(AND(G995&lt;&gt;"",H995&lt;&gt;""),IF("0"&amp;G995=H995,"PASS","FAIL - GTIN Mismatch"),"SKIP")</f>
        <v>PASS</v>
      </c>
      <c r="O995" s="20" t="str">
        <f aca="false">IF(I995="","FAIL - No Title",IF(LEN(I995)&lt;=126,"PASS","FAIL - Title &gt;"&amp;126&amp;" chars"))</f>
        <v>PASS</v>
      </c>
      <c r="P995" s="20" t="str">
        <f aca="false">IF(J995&gt;0,IF(J995&lt;5000,"PASS","FLAG - Review Price"),"FAIL - Zero Price")</f>
        <v>PASS</v>
      </c>
      <c r="Q995" s="20" t="str">
        <f aca="false">IF('Raw Catalog'!P993&lt;&gt;"","PASS","FAIL - No Image")</f>
        <v>PASS</v>
      </c>
      <c r="R995" s="20" t="str">
        <f aca="false">IF(F995&lt;&gt;"","PASS","FAIL - No Brand")</f>
        <v>PASS</v>
      </c>
      <c r="S995" s="20" t="str">
        <f aca="true">IF(K995="","FAIL - No Date",IF(TODAY()-DATEVALUE(K995)&lt;=180,"PASS","FLAG - Stale &gt;180d"))</f>
        <v>FLAG - Stale &gt;180d</v>
      </c>
      <c r="T995" s="20" t="n">
        <f aca="false">COUNTIF(M995:S995,"FAIL*")+COUNTIF(M995:S995,"FLAG*")</f>
        <v>1</v>
      </c>
      <c r="U995" s="20" t="str">
        <f aca="false">IF(T995=0,"CLEAN",IF(T995=1,"MINOR",IF(T995&lt;=3,"MODERATE","CRITICAL")))</f>
        <v>MINOR</v>
      </c>
      <c r="V995" s="20" t="str">
        <f aca="false">IF(U995="CLEAN","None",IF(U995="MINOR","Seller Notify",IF(U995="MODERATE","Listing Suspended","Immediate Removal")))</f>
        <v>Seller Notify</v>
      </c>
    </row>
    <row r="996" customFormat="false" ht="18" hidden="false" customHeight="true" outlineLevel="0" collapsed="false">
      <c r="A996" s="19" t="s">
        <v>7073</v>
      </c>
      <c r="B996" s="19" t="s">
        <v>5878</v>
      </c>
      <c r="C996" s="19" t="s">
        <v>173</v>
      </c>
      <c r="D996" s="19" t="s">
        <v>174</v>
      </c>
      <c r="E996" s="19" t="s">
        <v>65</v>
      </c>
      <c r="F996" s="19" t="s">
        <v>390</v>
      </c>
      <c r="G996" s="19" t="s">
        <v>5880</v>
      </c>
      <c r="H996" s="19" t="s">
        <v>5881</v>
      </c>
      <c r="I996" s="19" t="s">
        <v>2114</v>
      </c>
      <c r="J996" s="19" t="n">
        <v>454.51</v>
      </c>
      <c r="K996" s="19" t="s">
        <v>1539</v>
      </c>
      <c r="L996" s="19"/>
      <c r="M996" s="20" t="str">
        <f aca="false">IF(G996&lt;&gt;"","PASS","FAIL - Missing UPC")</f>
        <v>PASS</v>
      </c>
      <c r="N996" s="20" t="str">
        <f aca="false">IF(AND(G996&lt;&gt;"",H996&lt;&gt;""),IF("0"&amp;G996=H996,"PASS","FAIL - GTIN Mismatch"),"SKIP")</f>
        <v>PASS</v>
      </c>
      <c r="O996" s="20" t="str">
        <f aca="false">IF(I996="","FAIL - No Title",IF(LEN(I996)&lt;=126,"PASS","FAIL - Title &gt;"&amp;126&amp;" chars"))</f>
        <v>PASS</v>
      </c>
      <c r="P996" s="20" t="str">
        <f aca="false">IF(J996&gt;0,IF(J996&lt;5000,"PASS","FLAG - Review Price"),"FAIL - Zero Price")</f>
        <v>PASS</v>
      </c>
      <c r="Q996" s="20" t="str">
        <f aca="false">IF('Raw Catalog'!P994&lt;&gt;"","PASS","FAIL - No Image")</f>
        <v>PASS</v>
      </c>
      <c r="R996" s="20" t="str">
        <f aca="false">IF(F996&lt;&gt;"","PASS","FAIL - No Brand")</f>
        <v>PASS</v>
      </c>
      <c r="S996" s="20" t="str">
        <f aca="true">IF(K996="","FAIL - No Date",IF(TODAY()-DATEVALUE(K996)&lt;=180,"PASS","FLAG - Stale &gt;180d"))</f>
        <v>FLAG - Stale &gt;180d</v>
      </c>
      <c r="T996" s="20" t="n">
        <f aca="false">COUNTIF(M996:S996,"FAIL*")+COUNTIF(M996:S996,"FLAG*")</f>
        <v>1</v>
      </c>
      <c r="U996" s="20" t="str">
        <f aca="false">IF(T996=0,"CLEAN",IF(T996=1,"MINOR",IF(T996&lt;=3,"MODERATE","CRITICAL")))</f>
        <v>MINOR</v>
      </c>
      <c r="V996" s="20" t="str">
        <f aca="false">IF(U996="CLEAN","None",IF(U996="MINOR","Seller Notify",IF(U996="MODERATE","Listing Suspended","Immediate Removal")))</f>
        <v>Seller Notify</v>
      </c>
    </row>
    <row r="997" customFormat="false" ht="18" hidden="false" customHeight="true" outlineLevel="0" collapsed="false">
      <c r="A997" s="19" t="s">
        <v>7074</v>
      </c>
      <c r="B997" s="19" t="s">
        <v>5882</v>
      </c>
      <c r="C997" s="19" t="s">
        <v>77</v>
      </c>
      <c r="D997" s="19" t="s">
        <v>78</v>
      </c>
      <c r="E997" s="19" t="s">
        <v>91</v>
      </c>
      <c r="F997" s="19" t="s">
        <v>138</v>
      </c>
      <c r="G997" s="19" t="s">
        <v>5884</v>
      </c>
      <c r="H997" s="19" t="s">
        <v>5885</v>
      </c>
      <c r="I997" s="19" t="s">
        <v>5886</v>
      </c>
      <c r="J997" s="19" t="n">
        <v>2792.66</v>
      </c>
      <c r="K997" s="19" t="s">
        <v>946</v>
      </c>
      <c r="L997" s="19"/>
      <c r="M997" s="20" t="str">
        <f aca="false">IF(G997&lt;&gt;"","PASS","FAIL - Missing UPC")</f>
        <v>PASS</v>
      </c>
      <c r="N997" s="20" t="str">
        <f aca="false">IF(AND(G997&lt;&gt;"",H997&lt;&gt;""),IF("0"&amp;G997=H997,"PASS","FAIL - GTIN Mismatch"),"SKIP")</f>
        <v>PASS</v>
      </c>
      <c r="O997" s="20" t="str">
        <f aca="false">IF(I997="","FAIL - No Title",IF(LEN(I997)&lt;=126,"PASS","FAIL - Title &gt;"&amp;126&amp;" chars"))</f>
        <v>PASS</v>
      </c>
      <c r="P997" s="20" t="str">
        <f aca="false">IF(J997&gt;0,IF(J997&lt;5000,"PASS","FLAG - Review Price"),"FAIL - Zero Price")</f>
        <v>PASS</v>
      </c>
      <c r="Q997" s="20" t="str">
        <f aca="false">IF('Raw Catalog'!P995&lt;&gt;"","PASS","FAIL - No Image")</f>
        <v>PASS</v>
      </c>
      <c r="R997" s="20" t="str">
        <f aca="false">IF(F997&lt;&gt;"","PASS","FAIL - No Brand")</f>
        <v>PASS</v>
      </c>
      <c r="S997" s="20" t="str">
        <f aca="true">IF(K997="","FAIL - No Date",IF(TODAY()-DATEVALUE(K997)&lt;=180,"PASS","FLAG - Stale &gt;180d"))</f>
        <v>FLAG - Stale &gt;180d</v>
      </c>
      <c r="T997" s="20" t="n">
        <f aca="false">COUNTIF(M997:S997,"FAIL*")+COUNTIF(M997:S997,"FLAG*")</f>
        <v>1</v>
      </c>
      <c r="U997" s="20" t="str">
        <f aca="false">IF(T997=0,"CLEAN",IF(T997=1,"MINOR",IF(T997&lt;=3,"MODERATE","CRITICAL")))</f>
        <v>MINOR</v>
      </c>
      <c r="V997" s="20" t="str">
        <f aca="false">IF(U997="CLEAN","None",IF(U997="MINOR","Seller Notify",IF(U997="MODERATE","Listing Suspended","Immediate Removal")))</f>
        <v>Seller Notify</v>
      </c>
    </row>
    <row r="998" customFormat="false" ht="18" hidden="false" customHeight="true" outlineLevel="0" collapsed="false">
      <c r="A998" s="19" t="s">
        <v>7075</v>
      </c>
      <c r="B998" s="19" t="s">
        <v>5887</v>
      </c>
      <c r="C998" s="19" t="s">
        <v>48</v>
      </c>
      <c r="D998" s="19" t="s">
        <v>49</v>
      </c>
      <c r="E998" s="19" t="s">
        <v>91</v>
      </c>
      <c r="F998" s="19" t="s">
        <v>92</v>
      </c>
      <c r="G998" s="19" t="s">
        <v>5889</v>
      </c>
      <c r="H998" s="19" t="s">
        <v>5890</v>
      </c>
      <c r="I998" s="19" t="s">
        <v>5891</v>
      </c>
      <c r="J998" s="19" t="n">
        <v>2551.37</v>
      </c>
      <c r="K998" s="19" t="s">
        <v>1055</v>
      </c>
      <c r="L998" s="19"/>
      <c r="M998" s="20" t="str">
        <f aca="false">IF(G998&lt;&gt;"","PASS","FAIL - Missing UPC")</f>
        <v>PASS</v>
      </c>
      <c r="N998" s="20" t="str">
        <f aca="false">IF(AND(G998&lt;&gt;"",H998&lt;&gt;""),IF("0"&amp;G998=H998,"PASS","FAIL - GTIN Mismatch"),"SKIP")</f>
        <v>PASS</v>
      </c>
      <c r="O998" s="20" t="str">
        <f aca="false">IF(I998="","FAIL - No Title",IF(LEN(I998)&lt;=126,"PASS","FAIL - Title &gt;"&amp;126&amp;" chars"))</f>
        <v>PASS</v>
      </c>
      <c r="P998" s="20" t="str">
        <f aca="false">IF(J998&gt;0,IF(J998&lt;5000,"PASS","FLAG - Review Price"),"FAIL - Zero Price")</f>
        <v>PASS</v>
      </c>
      <c r="Q998" s="20" t="str">
        <f aca="false">IF('Raw Catalog'!P996&lt;&gt;"","PASS","FAIL - No Image")</f>
        <v>PASS</v>
      </c>
      <c r="R998" s="20" t="str">
        <f aca="false">IF(F998&lt;&gt;"","PASS","FAIL - No Brand")</f>
        <v>PASS</v>
      </c>
      <c r="S998" s="20" t="str">
        <f aca="true">IF(K998="","FAIL - No Date",IF(TODAY()-DATEVALUE(K998)&lt;=180,"PASS","FLAG - Stale &gt;180d"))</f>
        <v>FLAG - Stale &gt;180d</v>
      </c>
      <c r="T998" s="20" t="n">
        <f aca="false">COUNTIF(M998:S998,"FAIL*")+COUNTIF(M998:S998,"FLAG*")</f>
        <v>1</v>
      </c>
      <c r="U998" s="20" t="str">
        <f aca="false">IF(T998=0,"CLEAN",IF(T998=1,"MINOR",IF(T998&lt;=3,"MODERATE","CRITICAL")))</f>
        <v>MINOR</v>
      </c>
      <c r="V998" s="20" t="str">
        <f aca="false">IF(U998="CLEAN","None",IF(U998="MINOR","Seller Notify",IF(U998="MODERATE","Listing Suspended","Immediate Removal")))</f>
        <v>Seller Notify</v>
      </c>
    </row>
    <row r="999" customFormat="false" ht="18" hidden="false" customHeight="true" outlineLevel="0" collapsed="false">
      <c r="A999" s="19" t="s">
        <v>7076</v>
      </c>
      <c r="B999" s="19" t="s">
        <v>5892</v>
      </c>
      <c r="C999" s="19" t="s">
        <v>63</v>
      </c>
      <c r="D999" s="19" t="s">
        <v>64</v>
      </c>
      <c r="E999" s="19" t="s">
        <v>65</v>
      </c>
      <c r="F999" s="19" t="s">
        <v>115</v>
      </c>
      <c r="G999" s="19" t="s">
        <v>5894</v>
      </c>
      <c r="H999" s="19" t="s">
        <v>5895</v>
      </c>
      <c r="I999" s="19" t="s">
        <v>153</v>
      </c>
      <c r="J999" s="19" t="n">
        <v>275.94</v>
      </c>
      <c r="K999" s="19" t="s">
        <v>1384</v>
      </c>
      <c r="L999" s="19"/>
      <c r="M999" s="20" t="str">
        <f aca="false">IF(G999&lt;&gt;"","PASS","FAIL - Missing UPC")</f>
        <v>PASS</v>
      </c>
      <c r="N999" s="20" t="str">
        <f aca="false">IF(AND(G999&lt;&gt;"",H999&lt;&gt;""),IF("0"&amp;G999=H999,"PASS","FAIL - GTIN Mismatch"),"SKIP")</f>
        <v>PASS</v>
      </c>
      <c r="O999" s="20" t="str">
        <f aca="false">IF(I999="","FAIL - No Title",IF(LEN(I999)&lt;=126,"PASS","FAIL - Title &gt;"&amp;126&amp;" chars"))</f>
        <v>PASS</v>
      </c>
      <c r="P999" s="20" t="str">
        <f aca="false">IF(J999&gt;0,IF(J999&lt;5000,"PASS","FLAG - Review Price"),"FAIL - Zero Price")</f>
        <v>PASS</v>
      </c>
      <c r="Q999" s="20" t="str">
        <f aca="false">IF('Raw Catalog'!P997&lt;&gt;"","PASS","FAIL - No Image")</f>
        <v>PASS</v>
      </c>
      <c r="R999" s="20" t="str">
        <f aca="false">IF(F999&lt;&gt;"","PASS","FAIL - No Brand")</f>
        <v>PASS</v>
      </c>
      <c r="S999" s="20" t="str">
        <f aca="true">IF(K999="","FAIL - No Date",IF(TODAY()-DATEVALUE(K999)&lt;=180,"PASS","FLAG - Stale &gt;180d"))</f>
        <v>FLAG - Stale &gt;180d</v>
      </c>
      <c r="T999" s="20" t="n">
        <f aca="false">COUNTIF(M999:S999,"FAIL*")+COUNTIF(M999:S999,"FLAG*")</f>
        <v>1</v>
      </c>
      <c r="U999" s="20" t="str">
        <f aca="false">IF(T999=0,"CLEAN",IF(T999=1,"MINOR",IF(T999&lt;=3,"MODERATE","CRITICAL")))</f>
        <v>MINOR</v>
      </c>
      <c r="V999" s="20" t="str">
        <f aca="false">IF(U999="CLEAN","None",IF(U999="MINOR","Seller Notify",IF(U999="MODERATE","Listing Suspended","Immediate Removal")))</f>
        <v>Seller Notify</v>
      </c>
    </row>
    <row r="1000" customFormat="false" ht="18" hidden="false" customHeight="true" outlineLevel="0" collapsed="false">
      <c r="A1000" s="19" t="s">
        <v>7077</v>
      </c>
      <c r="B1000" s="19" t="s">
        <v>3999</v>
      </c>
      <c r="C1000" s="19" t="s">
        <v>113</v>
      </c>
      <c r="D1000" s="19" t="s">
        <v>114</v>
      </c>
      <c r="E1000" s="19" t="s">
        <v>79</v>
      </c>
      <c r="F1000" s="19" t="s">
        <v>465</v>
      </c>
      <c r="G1000" s="19" t="s">
        <v>4001</v>
      </c>
      <c r="H1000" s="19" t="s">
        <v>4002</v>
      </c>
      <c r="I1000" s="19" t="s">
        <v>4003</v>
      </c>
      <c r="J1000" s="19" t="n">
        <v>1632.41</v>
      </c>
      <c r="K1000" s="19" t="s">
        <v>4004</v>
      </c>
      <c r="L1000" s="19"/>
      <c r="M1000" s="20" t="str">
        <f aca="false">IF(G1000&lt;&gt;"","PASS","FAIL - Missing UPC")</f>
        <v>PASS</v>
      </c>
      <c r="N1000" s="20" t="str">
        <f aca="false">IF(AND(G1000&lt;&gt;"",H1000&lt;&gt;""),IF("0"&amp;G1000=H1000,"PASS","FAIL - GTIN Mismatch"),"SKIP")</f>
        <v>PASS</v>
      </c>
      <c r="O1000" s="20" t="str">
        <f aca="false">IF(I1000="","FAIL - No Title",IF(LEN(I1000)&lt;=126,"PASS","FAIL - Title &gt;"&amp;126&amp;" chars"))</f>
        <v>PASS</v>
      </c>
      <c r="P1000" s="20" t="str">
        <f aca="false">IF(J1000&gt;0,IF(J1000&lt;5000,"PASS","FLAG - Review Price"),"FAIL - Zero Price")</f>
        <v>PASS</v>
      </c>
      <c r="Q1000" s="20" t="str">
        <f aca="false">IF('Raw Catalog'!P998&lt;&gt;"","PASS","FAIL - No Image")</f>
        <v>PASS</v>
      </c>
      <c r="R1000" s="20" t="str">
        <f aca="false">IF(F1000&lt;&gt;"","PASS","FAIL - No Brand")</f>
        <v>PASS</v>
      </c>
      <c r="S1000" s="20" t="str">
        <f aca="true">IF(K1000="","FAIL - No Date",IF(TODAY()-DATEVALUE(K1000)&lt;=180,"PASS","FLAG - Stale &gt;180d"))</f>
        <v>FLAG - Stale &gt;180d</v>
      </c>
      <c r="T1000" s="20" t="n">
        <f aca="false">COUNTIF(M1000:S1000,"FAIL*")+COUNTIF(M1000:S1000,"FLAG*")</f>
        <v>1</v>
      </c>
      <c r="U1000" s="20" t="str">
        <f aca="false">IF(T1000=0,"CLEAN",IF(T1000=1,"MINOR",IF(T1000&lt;=3,"MODERATE","CRITICAL")))</f>
        <v>MINOR</v>
      </c>
      <c r="V1000" s="20" t="str">
        <f aca="false">IF(U1000="CLEAN","None",IF(U1000="MINOR","Seller Notify",IF(U1000="MODERATE","Listing Suspended","Immediate Removal")))</f>
        <v>Seller Notify</v>
      </c>
    </row>
    <row r="1001" customFormat="false" ht="18" hidden="false" customHeight="true" outlineLevel="0" collapsed="false">
      <c r="A1001" s="19" t="s">
        <v>7078</v>
      </c>
      <c r="B1001" s="19" t="s">
        <v>5896</v>
      </c>
      <c r="C1001" s="19" t="s">
        <v>113</v>
      </c>
      <c r="D1001" s="19" t="s">
        <v>114</v>
      </c>
      <c r="E1001" s="19" t="s">
        <v>65</v>
      </c>
      <c r="F1001" s="19" t="s">
        <v>115</v>
      </c>
      <c r="G1001" s="19" t="s">
        <v>5898</v>
      </c>
      <c r="H1001" s="19" t="s">
        <v>5899</v>
      </c>
      <c r="I1001" s="19" t="s">
        <v>496</v>
      </c>
      <c r="J1001" s="19" t="n">
        <v>242.23</v>
      </c>
      <c r="K1001" s="19" t="s">
        <v>985</v>
      </c>
      <c r="L1001" s="19"/>
      <c r="M1001" s="20" t="str">
        <f aca="false">IF(G1001&lt;&gt;"","PASS","FAIL - Missing UPC")</f>
        <v>PASS</v>
      </c>
      <c r="N1001" s="20" t="str">
        <f aca="false">IF(AND(G1001&lt;&gt;"",H1001&lt;&gt;""),IF("0"&amp;G1001=H1001,"PASS","FAIL - GTIN Mismatch"),"SKIP")</f>
        <v>PASS</v>
      </c>
      <c r="O1001" s="20" t="str">
        <f aca="false">IF(I1001="","FAIL - No Title",IF(LEN(I1001)&lt;=126,"PASS","FAIL - Title &gt;"&amp;126&amp;" chars"))</f>
        <v>PASS</v>
      </c>
      <c r="P1001" s="20" t="str">
        <f aca="false">IF(J1001&gt;0,IF(J1001&lt;5000,"PASS","FLAG - Review Price"),"FAIL - Zero Price")</f>
        <v>PASS</v>
      </c>
      <c r="Q1001" s="20" t="str">
        <f aca="false">IF('Raw Catalog'!P999&lt;&gt;"","PASS","FAIL - No Image")</f>
        <v>PASS</v>
      </c>
      <c r="R1001" s="20" t="str">
        <f aca="false">IF(F1001&lt;&gt;"","PASS","FAIL - No Brand")</f>
        <v>PASS</v>
      </c>
      <c r="S1001" s="20" t="str">
        <f aca="true">IF(K1001="","FAIL - No Date",IF(TODAY()-DATEVALUE(K1001)&lt;=180,"PASS","FLAG - Stale &gt;180d"))</f>
        <v>FLAG - Stale &gt;180d</v>
      </c>
      <c r="T1001" s="20" t="n">
        <f aca="false">COUNTIF(M1001:S1001,"FAIL*")+COUNTIF(M1001:S1001,"FLAG*")</f>
        <v>1</v>
      </c>
      <c r="U1001" s="20" t="str">
        <f aca="false">IF(T1001=0,"CLEAN",IF(T1001=1,"MINOR",IF(T1001&lt;=3,"MODERATE","CRITICAL")))</f>
        <v>MINOR</v>
      </c>
      <c r="V1001" s="20" t="str">
        <f aca="false">IF(U1001="CLEAN","None",IF(U1001="MINOR","Seller Notify",IF(U1001="MODERATE","Listing Suspended","Immediate Removal")))</f>
        <v>Seller Notify</v>
      </c>
    </row>
    <row r="1002" customFormat="false" ht="18" hidden="false" customHeight="true" outlineLevel="0" collapsed="false">
      <c r="A1002" s="19" t="s">
        <v>7079</v>
      </c>
      <c r="B1002" s="19" t="s">
        <v>5900</v>
      </c>
      <c r="C1002" s="19" t="s">
        <v>63</v>
      </c>
      <c r="D1002" s="19" t="s">
        <v>64</v>
      </c>
      <c r="E1002" s="19" t="s">
        <v>79</v>
      </c>
      <c r="F1002" s="19" t="s">
        <v>465</v>
      </c>
      <c r="G1002" s="19" t="s">
        <v>5902</v>
      </c>
      <c r="H1002" s="19" t="s">
        <v>5903</v>
      </c>
      <c r="I1002" s="19" t="s">
        <v>990</v>
      </c>
      <c r="J1002" s="19" t="n">
        <v>1655.42</v>
      </c>
      <c r="K1002" s="19" t="s">
        <v>978</v>
      </c>
      <c r="L1002" s="19"/>
      <c r="M1002" s="20" t="str">
        <f aca="false">IF(G1002&lt;&gt;"","PASS","FAIL - Missing UPC")</f>
        <v>PASS</v>
      </c>
      <c r="N1002" s="20" t="str">
        <f aca="false">IF(AND(G1002&lt;&gt;"",H1002&lt;&gt;""),IF("0"&amp;G1002=H1002,"PASS","FAIL - GTIN Mismatch"),"SKIP")</f>
        <v>PASS</v>
      </c>
      <c r="O1002" s="20" t="str">
        <f aca="false">IF(I1002="","FAIL - No Title",IF(LEN(I1002)&lt;=126,"PASS","FAIL - Title &gt;"&amp;126&amp;" chars"))</f>
        <v>PASS</v>
      </c>
      <c r="P1002" s="20" t="str">
        <f aca="false">IF(J1002&gt;0,IF(J1002&lt;5000,"PASS","FLAG - Review Price"),"FAIL - Zero Price")</f>
        <v>PASS</v>
      </c>
      <c r="Q1002" s="20" t="str">
        <f aca="false">IF('Raw Catalog'!P1000&lt;&gt;"","PASS","FAIL - No Image")</f>
        <v>PASS</v>
      </c>
      <c r="R1002" s="20" t="str">
        <f aca="false">IF(F1002&lt;&gt;"","PASS","FAIL - No Brand")</f>
        <v>PASS</v>
      </c>
      <c r="S1002" s="20" t="str">
        <f aca="true">IF(K1002="","FAIL - No Date",IF(TODAY()-DATEVALUE(K1002)&lt;=180,"PASS","FLAG - Stale &gt;180d"))</f>
        <v>FLAG - Stale &gt;180d</v>
      </c>
      <c r="T1002" s="20" t="n">
        <f aca="false">COUNTIF(M1002:S1002,"FAIL*")+COUNTIF(M1002:S1002,"FLAG*")</f>
        <v>1</v>
      </c>
      <c r="U1002" s="20" t="str">
        <f aca="false">IF(T1002=0,"CLEAN",IF(T1002=1,"MINOR",IF(T1002&lt;=3,"MODERATE","CRITICAL")))</f>
        <v>MINOR</v>
      </c>
      <c r="V1002" s="20" t="str">
        <f aca="false">IF(U1002="CLEAN","None",IF(U1002="MINOR","Seller Notify",IF(U1002="MODERATE","Listing Suspended","Immediate Removal")))</f>
        <v>Seller Notify</v>
      </c>
    </row>
    <row r="1003" customFormat="false" ht="18" hidden="false" customHeight="true" outlineLevel="0" collapsed="false">
      <c r="A1003" s="19" t="s">
        <v>7080</v>
      </c>
      <c r="B1003" s="19" t="s">
        <v>5904</v>
      </c>
      <c r="C1003" s="19" t="s">
        <v>255</v>
      </c>
      <c r="D1003" s="19" t="s">
        <v>256</v>
      </c>
      <c r="E1003" s="19" t="s">
        <v>79</v>
      </c>
      <c r="F1003" s="19" t="s">
        <v>1531</v>
      </c>
      <c r="G1003" s="19" t="s">
        <v>5906</v>
      </c>
      <c r="H1003" s="19" t="s">
        <v>5907</v>
      </c>
      <c r="I1003" s="19" t="s">
        <v>5908</v>
      </c>
      <c r="J1003" s="19" t="n">
        <v>630.4</v>
      </c>
      <c r="K1003" s="19" t="s">
        <v>1125</v>
      </c>
      <c r="L1003" s="19"/>
      <c r="M1003" s="20" t="str">
        <f aca="false">IF(G1003&lt;&gt;"","PASS","FAIL - Missing UPC")</f>
        <v>PASS</v>
      </c>
      <c r="N1003" s="20" t="str">
        <f aca="false">IF(AND(G1003&lt;&gt;"",H1003&lt;&gt;""),IF("0"&amp;G1003=H1003,"PASS","FAIL - GTIN Mismatch"),"SKIP")</f>
        <v>PASS</v>
      </c>
      <c r="O1003" s="20" t="str">
        <f aca="false">IF(I1003="","FAIL - No Title",IF(LEN(I1003)&lt;=126,"PASS","FAIL - Title &gt;"&amp;126&amp;" chars"))</f>
        <v>PASS</v>
      </c>
      <c r="P1003" s="20" t="str">
        <f aca="false">IF(J1003&gt;0,IF(J1003&lt;5000,"PASS","FLAG - Review Price"),"FAIL - Zero Price")</f>
        <v>PASS</v>
      </c>
      <c r="Q1003" s="20" t="str">
        <f aca="false">IF('Raw Catalog'!P1001&lt;&gt;"","PASS","FAIL - No Image")</f>
        <v>PASS</v>
      </c>
      <c r="R1003" s="20" t="str">
        <f aca="false">IF(F1003&lt;&gt;"","PASS","FAIL - No Brand")</f>
        <v>PASS</v>
      </c>
      <c r="S1003" s="20" t="str">
        <f aca="true">IF(K1003="","FAIL - No Date",IF(TODAY()-DATEVALUE(K1003)&lt;=180,"PASS","FLAG - Stale &gt;180d"))</f>
        <v>FLAG - Stale &gt;180d</v>
      </c>
      <c r="T1003" s="20" t="n">
        <f aca="false">COUNTIF(M1003:S1003,"FAIL*")+COUNTIF(M1003:S1003,"FLAG*")</f>
        <v>1</v>
      </c>
      <c r="U1003" s="20" t="str">
        <f aca="false">IF(T1003=0,"CLEAN",IF(T1003=1,"MINOR",IF(T1003&lt;=3,"MODERATE","CRITICAL")))</f>
        <v>MINOR</v>
      </c>
      <c r="V1003" s="20" t="str">
        <f aca="false">IF(U1003="CLEAN","None",IF(U1003="MINOR","Seller Notify",IF(U1003="MODERATE","Listing Suspended","Immediate Removal")))</f>
        <v>Seller Notify</v>
      </c>
    </row>
    <row r="1004" customFormat="false" ht="18" hidden="false" customHeight="true" outlineLevel="0" collapsed="false">
      <c r="A1004" s="19" t="s">
        <v>7081</v>
      </c>
      <c r="B1004" s="19" t="s">
        <v>5909</v>
      </c>
      <c r="C1004" s="19" t="s">
        <v>125</v>
      </c>
      <c r="D1004" s="19" t="s">
        <v>126</v>
      </c>
      <c r="E1004" s="19" t="s">
        <v>161</v>
      </c>
      <c r="F1004" s="19" t="s">
        <v>185</v>
      </c>
      <c r="G1004" s="19" t="s">
        <v>5911</v>
      </c>
      <c r="H1004" s="19" t="s">
        <v>5912</v>
      </c>
      <c r="I1004" s="19" t="s">
        <v>5913</v>
      </c>
      <c r="J1004" s="19" t="n">
        <v>517.85</v>
      </c>
      <c r="K1004" s="19" t="s">
        <v>704</v>
      </c>
      <c r="L1004" s="19"/>
      <c r="M1004" s="20" t="str">
        <f aca="false">IF(G1004&lt;&gt;"","PASS","FAIL - Missing UPC")</f>
        <v>PASS</v>
      </c>
      <c r="N1004" s="20" t="str">
        <f aca="false">IF(AND(G1004&lt;&gt;"",H1004&lt;&gt;""),IF("0"&amp;G1004=H1004,"PASS","FAIL - GTIN Mismatch"),"SKIP")</f>
        <v>PASS</v>
      </c>
      <c r="O1004" s="20" t="str">
        <f aca="false">IF(I1004="","FAIL - No Title",IF(LEN(I1004)&lt;=126,"PASS","FAIL - Title &gt;"&amp;126&amp;" chars"))</f>
        <v>PASS</v>
      </c>
      <c r="P1004" s="20" t="str">
        <f aca="false">IF(J1004&gt;0,IF(J1004&lt;5000,"PASS","FLAG - Review Price"),"FAIL - Zero Price")</f>
        <v>PASS</v>
      </c>
      <c r="Q1004" s="20" t="str">
        <f aca="false">IF('Raw Catalog'!P1002&lt;&gt;"","PASS","FAIL - No Image")</f>
        <v>PASS</v>
      </c>
      <c r="R1004" s="20" t="str">
        <f aca="false">IF(F1004&lt;&gt;"","PASS","FAIL - No Brand")</f>
        <v>PASS</v>
      </c>
      <c r="S1004" s="20" t="str">
        <f aca="true">IF(K1004="","FAIL - No Date",IF(TODAY()-DATEVALUE(K1004)&lt;=180,"PASS","FLAG - Stale &gt;180d"))</f>
        <v>FLAG - Stale &gt;180d</v>
      </c>
      <c r="T1004" s="20" t="n">
        <f aca="false">COUNTIF(M1004:S1004,"FAIL*")+COUNTIF(M1004:S1004,"FLAG*")</f>
        <v>1</v>
      </c>
      <c r="U1004" s="20" t="str">
        <f aca="false">IF(T1004=0,"CLEAN",IF(T1004=1,"MINOR",IF(T1004&lt;=3,"MODERATE","CRITICAL")))</f>
        <v>MINOR</v>
      </c>
      <c r="V1004" s="20" t="str">
        <f aca="false">IF(U1004="CLEAN","None",IF(U1004="MINOR","Seller Notify",IF(U1004="MODERATE","Listing Suspended","Immediate Removal")))</f>
        <v>Seller Notify</v>
      </c>
    </row>
    <row r="1005" customFormat="false" ht="18" hidden="false" customHeight="true" outlineLevel="0" collapsed="false">
      <c r="A1005" s="19" t="s">
        <v>7082</v>
      </c>
      <c r="B1005" s="19" t="s">
        <v>5914</v>
      </c>
      <c r="C1005" s="19" t="s">
        <v>125</v>
      </c>
      <c r="D1005" s="19" t="s">
        <v>126</v>
      </c>
      <c r="E1005" s="19" t="s">
        <v>161</v>
      </c>
      <c r="F1005" s="19" t="s">
        <v>429</v>
      </c>
      <c r="G1005" s="19" t="s">
        <v>5916</v>
      </c>
      <c r="H1005" s="19" t="s">
        <v>5917</v>
      </c>
      <c r="I1005" s="19" t="s">
        <v>667</v>
      </c>
      <c r="J1005" s="19" t="n">
        <v>203.53</v>
      </c>
      <c r="K1005" s="19" t="s">
        <v>4707</v>
      </c>
      <c r="L1005" s="19"/>
      <c r="M1005" s="20" t="str">
        <f aca="false">IF(G1005&lt;&gt;"","PASS","FAIL - Missing UPC")</f>
        <v>PASS</v>
      </c>
      <c r="N1005" s="20" t="str">
        <f aca="false">IF(AND(G1005&lt;&gt;"",H1005&lt;&gt;""),IF("0"&amp;G1005=H1005,"PASS","FAIL - GTIN Mismatch"),"SKIP")</f>
        <v>PASS</v>
      </c>
      <c r="O1005" s="20" t="str">
        <f aca="false">IF(I1005="","FAIL - No Title",IF(LEN(I1005)&lt;=126,"PASS","FAIL - Title &gt;"&amp;126&amp;" chars"))</f>
        <v>PASS</v>
      </c>
      <c r="P1005" s="20" t="str">
        <f aca="false">IF(J1005&gt;0,IF(J1005&lt;5000,"PASS","FLAG - Review Price"),"FAIL - Zero Price")</f>
        <v>PASS</v>
      </c>
      <c r="Q1005" s="20" t="str">
        <f aca="false">IF('Raw Catalog'!P1003&lt;&gt;"","PASS","FAIL - No Image")</f>
        <v>PASS</v>
      </c>
      <c r="R1005" s="20" t="str">
        <f aca="false">IF(F1005&lt;&gt;"","PASS","FAIL - No Brand")</f>
        <v>PASS</v>
      </c>
      <c r="S1005" s="20" t="str">
        <f aca="true">IF(K1005="","FAIL - No Date",IF(TODAY()-DATEVALUE(K1005)&lt;=180,"PASS","FLAG - Stale &gt;180d"))</f>
        <v>FLAG - Stale &gt;180d</v>
      </c>
      <c r="T1005" s="20" t="n">
        <f aca="false">COUNTIF(M1005:S1005,"FAIL*")+COUNTIF(M1005:S1005,"FLAG*")</f>
        <v>1</v>
      </c>
      <c r="U1005" s="20" t="str">
        <f aca="false">IF(T1005=0,"CLEAN",IF(T1005=1,"MINOR",IF(T1005&lt;=3,"MODERATE","CRITICAL")))</f>
        <v>MINOR</v>
      </c>
      <c r="V1005" s="20" t="str">
        <f aca="false">IF(U1005="CLEAN","None",IF(U1005="MINOR","Seller Notify",IF(U1005="MODERATE","Listing Suspended","Immediate Removal")))</f>
        <v>Seller Notify</v>
      </c>
    </row>
    <row r="1006" customFormat="false" ht="18" hidden="false" customHeight="true" outlineLevel="0" collapsed="false">
      <c r="A1006" s="19" t="s">
        <v>7083</v>
      </c>
      <c r="B1006" s="19" t="s">
        <v>5918</v>
      </c>
      <c r="C1006" s="19" t="s">
        <v>255</v>
      </c>
      <c r="D1006" s="19" t="s">
        <v>256</v>
      </c>
      <c r="E1006" s="19" t="s">
        <v>50</v>
      </c>
      <c r="F1006" s="19" t="s">
        <v>127</v>
      </c>
      <c r="G1006" s="19" t="s">
        <v>5920</v>
      </c>
      <c r="H1006" s="19" t="s">
        <v>5921</v>
      </c>
      <c r="I1006" s="19" t="s">
        <v>4226</v>
      </c>
      <c r="J1006" s="19" t="n">
        <v>741.96</v>
      </c>
      <c r="K1006" s="19" t="s">
        <v>205</v>
      </c>
      <c r="L1006" s="19"/>
      <c r="M1006" s="20" t="str">
        <f aca="false">IF(G1006&lt;&gt;"","PASS","FAIL - Missing UPC")</f>
        <v>PASS</v>
      </c>
      <c r="N1006" s="20" t="str">
        <f aca="false">IF(AND(G1006&lt;&gt;"",H1006&lt;&gt;""),IF("0"&amp;G1006=H1006,"PASS","FAIL - GTIN Mismatch"),"SKIP")</f>
        <v>PASS</v>
      </c>
      <c r="O1006" s="20" t="str">
        <f aca="false">IF(I1006="","FAIL - No Title",IF(LEN(I1006)&lt;=126,"PASS","FAIL - Title &gt;"&amp;126&amp;" chars"))</f>
        <v>PASS</v>
      </c>
      <c r="P1006" s="20" t="str">
        <f aca="false">IF(J1006&gt;0,IF(J1006&lt;5000,"PASS","FLAG - Review Price"),"FAIL - Zero Price")</f>
        <v>PASS</v>
      </c>
      <c r="Q1006" s="20" t="str">
        <f aca="false">IF('Raw Catalog'!P1004&lt;&gt;"","PASS","FAIL - No Image")</f>
        <v>PASS</v>
      </c>
      <c r="R1006" s="20" t="str">
        <f aca="false">IF(F1006&lt;&gt;"","PASS","FAIL - No Brand")</f>
        <v>PASS</v>
      </c>
      <c r="S1006" s="20" t="str">
        <f aca="true">IF(K1006="","FAIL - No Date",IF(TODAY()-DATEVALUE(K1006)&lt;=180,"PASS","FLAG - Stale &gt;180d"))</f>
        <v>FLAG - Stale &gt;180d</v>
      </c>
      <c r="T1006" s="20" t="n">
        <f aca="false">COUNTIF(M1006:S1006,"FAIL*")+COUNTIF(M1006:S1006,"FLAG*")</f>
        <v>1</v>
      </c>
      <c r="U1006" s="20" t="str">
        <f aca="false">IF(T1006=0,"CLEAN",IF(T1006=1,"MINOR",IF(T1006&lt;=3,"MODERATE","CRITICAL")))</f>
        <v>MINOR</v>
      </c>
      <c r="V1006" s="20" t="str">
        <f aca="false">IF(U1006="CLEAN","None",IF(U1006="MINOR","Seller Notify",IF(U1006="MODERATE","Listing Suspended","Immediate Removal")))</f>
        <v>Seller Notify</v>
      </c>
    </row>
    <row r="1007" customFormat="false" ht="18" hidden="false" customHeight="true" outlineLevel="0" collapsed="false">
      <c r="A1007" s="19" t="s">
        <v>7084</v>
      </c>
      <c r="B1007" s="19" t="s">
        <v>5922</v>
      </c>
      <c r="C1007" s="19" t="s">
        <v>125</v>
      </c>
      <c r="D1007" s="19" t="s">
        <v>126</v>
      </c>
      <c r="E1007" s="19" t="s">
        <v>79</v>
      </c>
      <c r="F1007" s="19" t="s">
        <v>115</v>
      </c>
      <c r="G1007" s="19" t="s">
        <v>5924</v>
      </c>
      <c r="H1007" s="19" t="s">
        <v>5925</v>
      </c>
      <c r="I1007" s="19" t="s">
        <v>3469</v>
      </c>
      <c r="J1007" s="19" t="n">
        <v>7754.02</v>
      </c>
      <c r="K1007" s="19" t="s">
        <v>3166</v>
      </c>
      <c r="L1007" s="21" t="s">
        <v>453</v>
      </c>
      <c r="M1007" s="20" t="str">
        <f aca="false">IF(G1007&lt;&gt;"","PASS","FAIL - Missing UPC")</f>
        <v>PASS</v>
      </c>
      <c r="N1007" s="20" t="str">
        <f aca="false">IF(AND(G1007&lt;&gt;"",H1007&lt;&gt;""),IF("0"&amp;G1007=H1007,"PASS","FAIL - GTIN Mismatch"),"SKIP")</f>
        <v>PASS</v>
      </c>
      <c r="O1007" s="20" t="str">
        <f aca="false">IF(I1007="","FAIL - No Title",IF(LEN(I1007)&lt;=126,"PASS","FAIL - Title &gt;"&amp;126&amp;" chars"))</f>
        <v>PASS</v>
      </c>
      <c r="P1007" s="20" t="str">
        <f aca="false">IF(J1007&gt;0,IF(J1007&lt;5000,"PASS","FLAG - Review Price"),"FAIL - Zero Price")</f>
        <v>FLAG - Review Price</v>
      </c>
      <c r="Q1007" s="20" t="str">
        <f aca="false">IF('Raw Catalog'!P1005&lt;&gt;"","PASS","FAIL - No Image")</f>
        <v>PASS</v>
      </c>
      <c r="R1007" s="20" t="str">
        <f aca="false">IF(F1007&lt;&gt;"","PASS","FAIL - No Brand")</f>
        <v>PASS</v>
      </c>
      <c r="S1007" s="20" t="str">
        <f aca="true">IF(K1007="","FAIL - No Date",IF(TODAY()-DATEVALUE(K1007)&lt;=180,"PASS","FLAG - Stale &gt;180d"))</f>
        <v>FLAG - Stale &gt;180d</v>
      </c>
      <c r="T1007" s="20" t="n">
        <f aca="false">COUNTIF(M1007:S1007,"FAIL*")+COUNTIF(M1007:S1007,"FLAG*")</f>
        <v>2</v>
      </c>
      <c r="U1007" s="20" t="str">
        <f aca="false">IF(T1007=0,"CLEAN",IF(T1007=1,"MINOR",IF(T1007&lt;=3,"MODERATE","CRITICAL")))</f>
        <v>MODERATE</v>
      </c>
      <c r="V1007" s="20" t="str">
        <f aca="false">IF(U1007="CLEAN","None",IF(U1007="MINOR","Seller Notify",IF(U1007="MODERATE","Listing Suspended","Immediate Removal")))</f>
        <v>Listing Suspended</v>
      </c>
    </row>
    <row r="1008" customFormat="false" ht="18" hidden="false" customHeight="true" outlineLevel="0" collapsed="false">
      <c r="A1008" s="19" t="s">
        <v>7085</v>
      </c>
      <c r="B1008" s="19" t="s">
        <v>5926</v>
      </c>
      <c r="C1008" s="19" t="s">
        <v>255</v>
      </c>
      <c r="D1008" s="19" t="s">
        <v>256</v>
      </c>
      <c r="E1008" s="19" t="s">
        <v>50</v>
      </c>
      <c r="F1008" s="19" t="s">
        <v>503</v>
      </c>
      <c r="G1008" s="19" t="s">
        <v>5928</v>
      </c>
      <c r="H1008" s="19" t="s">
        <v>5929</v>
      </c>
      <c r="I1008" s="19" t="s">
        <v>5930</v>
      </c>
      <c r="J1008" s="19" t="n">
        <v>1189.84</v>
      </c>
      <c r="K1008" s="19" t="s">
        <v>332</v>
      </c>
      <c r="L1008" s="19"/>
      <c r="M1008" s="20" t="str">
        <f aca="false">IF(G1008&lt;&gt;"","PASS","FAIL - Missing UPC")</f>
        <v>PASS</v>
      </c>
      <c r="N1008" s="20" t="str">
        <f aca="false">IF(AND(G1008&lt;&gt;"",H1008&lt;&gt;""),IF("0"&amp;G1008=H1008,"PASS","FAIL - GTIN Mismatch"),"SKIP")</f>
        <v>PASS</v>
      </c>
      <c r="O1008" s="20" t="str">
        <f aca="false">IF(I1008="","FAIL - No Title",IF(LEN(I1008)&lt;=126,"PASS","FAIL - Title &gt;"&amp;126&amp;" chars"))</f>
        <v>PASS</v>
      </c>
      <c r="P1008" s="20" t="str">
        <f aca="false">IF(J1008&gt;0,IF(J1008&lt;5000,"PASS","FLAG - Review Price"),"FAIL - Zero Price")</f>
        <v>PASS</v>
      </c>
      <c r="Q1008" s="20" t="str">
        <f aca="false">IF('Raw Catalog'!P1006&lt;&gt;"","PASS","FAIL - No Image")</f>
        <v>PASS</v>
      </c>
      <c r="R1008" s="20" t="str">
        <f aca="false">IF(F1008&lt;&gt;"","PASS","FAIL - No Brand")</f>
        <v>PASS</v>
      </c>
      <c r="S1008" s="20" t="str">
        <f aca="true">IF(K1008="","FAIL - No Date",IF(TODAY()-DATEVALUE(K1008)&lt;=180,"PASS","FLAG - Stale &gt;180d"))</f>
        <v>FLAG - Stale &gt;180d</v>
      </c>
      <c r="T1008" s="20" t="n">
        <f aca="false">COUNTIF(M1008:S1008,"FAIL*")+COUNTIF(M1008:S1008,"FLAG*")</f>
        <v>1</v>
      </c>
      <c r="U1008" s="20" t="str">
        <f aca="false">IF(T1008=0,"CLEAN",IF(T1008=1,"MINOR",IF(T1008&lt;=3,"MODERATE","CRITICAL")))</f>
        <v>MINOR</v>
      </c>
      <c r="V1008" s="20" t="str">
        <f aca="false">IF(U1008="CLEAN","None",IF(U1008="MINOR","Seller Notify",IF(U1008="MODERATE","Listing Suspended","Immediate Removal")))</f>
        <v>Seller Notify</v>
      </c>
    </row>
    <row r="1009" customFormat="false" ht="18" hidden="false" customHeight="true" outlineLevel="0" collapsed="false">
      <c r="A1009" s="19" t="s">
        <v>7086</v>
      </c>
      <c r="B1009" s="19" t="s">
        <v>5932</v>
      </c>
      <c r="C1009" s="19" t="s">
        <v>255</v>
      </c>
      <c r="D1009" s="19" t="s">
        <v>256</v>
      </c>
      <c r="E1009" s="19" t="s">
        <v>65</v>
      </c>
      <c r="F1009" s="19" t="s">
        <v>390</v>
      </c>
      <c r="G1009" s="19" t="s">
        <v>5934</v>
      </c>
      <c r="H1009" s="19" t="s">
        <v>5935</v>
      </c>
      <c r="I1009" s="19" t="s">
        <v>1469</v>
      </c>
      <c r="J1009" s="19" t="n">
        <v>265.09</v>
      </c>
      <c r="K1009" s="19" t="s">
        <v>806</v>
      </c>
      <c r="L1009" s="19"/>
      <c r="M1009" s="20" t="str">
        <f aca="false">IF(G1009&lt;&gt;"","PASS","FAIL - Missing UPC")</f>
        <v>PASS</v>
      </c>
      <c r="N1009" s="20" t="str">
        <f aca="false">IF(AND(G1009&lt;&gt;"",H1009&lt;&gt;""),IF("0"&amp;G1009=H1009,"PASS","FAIL - GTIN Mismatch"),"SKIP")</f>
        <v>PASS</v>
      </c>
      <c r="O1009" s="20" t="str">
        <f aca="false">IF(I1009="","FAIL - No Title",IF(LEN(I1009)&lt;=126,"PASS","FAIL - Title &gt;"&amp;126&amp;" chars"))</f>
        <v>PASS</v>
      </c>
      <c r="P1009" s="20" t="str">
        <f aca="false">IF(J1009&gt;0,IF(J1009&lt;5000,"PASS","FLAG - Review Price"),"FAIL - Zero Price")</f>
        <v>PASS</v>
      </c>
      <c r="Q1009" s="20" t="str">
        <f aca="false">IF('Raw Catalog'!P1007&lt;&gt;"","PASS","FAIL - No Image")</f>
        <v>PASS</v>
      </c>
      <c r="R1009" s="20" t="str">
        <f aca="false">IF(F1009&lt;&gt;"","PASS","FAIL - No Brand")</f>
        <v>PASS</v>
      </c>
      <c r="S1009" s="20" t="str">
        <f aca="true">IF(K1009="","FAIL - No Date",IF(TODAY()-DATEVALUE(K1009)&lt;=180,"PASS","FLAG - Stale &gt;180d"))</f>
        <v>FLAG - Stale &gt;180d</v>
      </c>
      <c r="T1009" s="20" t="n">
        <f aca="false">COUNTIF(M1009:S1009,"FAIL*")+COUNTIF(M1009:S1009,"FLAG*")</f>
        <v>1</v>
      </c>
      <c r="U1009" s="20" t="str">
        <f aca="false">IF(T1009=0,"CLEAN",IF(T1009=1,"MINOR",IF(T1009&lt;=3,"MODERATE","CRITICAL")))</f>
        <v>MINOR</v>
      </c>
      <c r="V1009" s="20" t="str">
        <f aca="false">IF(U1009="CLEAN","None",IF(U1009="MINOR","Seller Notify",IF(U1009="MODERATE","Listing Suspended","Immediate Removal")))</f>
        <v>Seller Notify</v>
      </c>
    </row>
    <row r="1010" customFormat="false" ht="18" hidden="false" customHeight="true" outlineLevel="0" collapsed="false">
      <c r="A1010" s="19" t="s">
        <v>7087</v>
      </c>
      <c r="B1010" s="19" t="s">
        <v>5936</v>
      </c>
      <c r="C1010" s="19" t="s">
        <v>125</v>
      </c>
      <c r="D1010" s="19" t="s">
        <v>126</v>
      </c>
      <c r="E1010" s="19" t="s">
        <v>50</v>
      </c>
      <c r="F1010" s="19" t="s">
        <v>127</v>
      </c>
      <c r="G1010" s="19" t="s">
        <v>5938</v>
      </c>
      <c r="H1010" s="19" t="s">
        <v>5939</v>
      </c>
      <c r="I1010" s="19" t="s">
        <v>5940</v>
      </c>
      <c r="J1010" s="19" t="n">
        <v>230.86</v>
      </c>
      <c r="K1010" s="19" t="s">
        <v>2006</v>
      </c>
      <c r="L1010" s="19"/>
      <c r="M1010" s="20" t="str">
        <f aca="false">IF(G1010&lt;&gt;"","PASS","FAIL - Missing UPC")</f>
        <v>PASS</v>
      </c>
      <c r="N1010" s="20" t="str">
        <f aca="false">IF(AND(G1010&lt;&gt;"",H1010&lt;&gt;""),IF("0"&amp;G1010=H1010,"PASS","FAIL - GTIN Mismatch"),"SKIP")</f>
        <v>PASS</v>
      </c>
      <c r="O1010" s="20" t="str">
        <f aca="false">IF(I1010="","FAIL - No Title",IF(LEN(I1010)&lt;=126,"PASS","FAIL - Title &gt;"&amp;126&amp;" chars"))</f>
        <v>PASS</v>
      </c>
      <c r="P1010" s="20" t="str">
        <f aca="false">IF(J1010&gt;0,IF(J1010&lt;5000,"PASS","FLAG - Review Price"),"FAIL - Zero Price")</f>
        <v>PASS</v>
      </c>
      <c r="Q1010" s="20" t="str">
        <f aca="false">IF('Raw Catalog'!P1008&lt;&gt;"","PASS","FAIL - No Image")</f>
        <v>PASS</v>
      </c>
      <c r="R1010" s="20" t="str">
        <f aca="false">IF(F1010&lt;&gt;"","PASS","FAIL - No Brand")</f>
        <v>PASS</v>
      </c>
      <c r="S1010" s="20" t="str">
        <f aca="true">IF(K1010="","FAIL - No Date",IF(TODAY()-DATEVALUE(K1010)&lt;=180,"PASS","FLAG - Stale &gt;180d"))</f>
        <v>FLAG - Stale &gt;180d</v>
      </c>
      <c r="T1010" s="20" t="n">
        <f aca="false">COUNTIF(M1010:S1010,"FAIL*")+COUNTIF(M1010:S1010,"FLAG*")</f>
        <v>1</v>
      </c>
      <c r="U1010" s="20" t="str">
        <f aca="false">IF(T1010=0,"CLEAN",IF(T1010=1,"MINOR",IF(T1010&lt;=3,"MODERATE","CRITICAL")))</f>
        <v>MINOR</v>
      </c>
      <c r="V1010" s="20" t="str">
        <f aca="false">IF(U1010="CLEAN","None",IF(U1010="MINOR","Seller Notify",IF(U1010="MODERATE","Listing Suspended","Immediate Removal")))</f>
        <v>Seller Notify</v>
      </c>
    </row>
    <row r="1011" customFormat="false" ht="18" hidden="false" customHeight="true" outlineLevel="0" collapsed="false">
      <c r="A1011" s="19" t="s">
        <v>7088</v>
      </c>
      <c r="B1011" s="19" t="s">
        <v>5941</v>
      </c>
      <c r="C1011" s="19" t="s">
        <v>48</v>
      </c>
      <c r="D1011" s="19" t="s">
        <v>49</v>
      </c>
      <c r="E1011" s="19" t="s">
        <v>65</v>
      </c>
      <c r="F1011" s="19" t="s">
        <v>438</v>
      </c>
      <c r="G1011" s="19" t="s">
        <v>5943</v>
      </c>
      <c r="H1011" s="19" t="s">
        <v>5944</v>
      </c>
      <c r="I1011" s="19" t="s">
        <v>442</v>
      </c>
      <c r="J1011" s="19" t="n">
        <v>490.72</v>
      </c>
      <c r="K1011" s="19" t="s">
        <v>5945</v>
      </c>
      <c r="L1011" s="19"/>
      <c r="M1011" s="20" t="str">
        <f aca="false">IF(G1011&lt;&gt;"","PASS","FAIL - Missing UPC")</f>
        <v>PASS</v>
      </c>
      <c r="N1011" s="20" t="str">
        <f aca="false">IF(AND(G1011&lt;&gt;"",H1011&lt;&gt;""),IF("0"&amp;G1011=H1011,"PASS","FAIL - GTIN Mismatch"),"SKIP")</f>
        <v>PASS</v>
      </c>
      <c r="O1011" s="20" t="str">
        <f aca="false">IF(I1011="","FAIL - No Title",IF(LEN(I1011)&lt;=126,"PASS","FAIL - Title &gt;"&amp;126&amp;" chars"))</f>
        <v>PASS</v>
      </c>
      <c r="P1011" s="20" t="str">
        <f aca="false">IF(J1011&gt;0,IF(J1011&lt;5000,"PASS","FLAG - Review Price"),"FAIL - Zero Price")</f>
        <v>PASS</v>
      </c>
      <c r="Q1011" s="20" t="str">
        <f aca="false">IF('Raw Catalog'!P1009&lt;&gt;"","PASS","FAIL - No Image")</f>
        <v>PASS</v>
      </c>
      <c r="R1011" s="20" t="str">
        <f aca="false">IF(F1011&lt;&gt;"","PASS","FAIL - No Brand")</f>
        <v>PASS</v>
      </c>
      <c r="S1011" s="20" t="str">
        <f aca="true">IF(K1011="","FAIL - No Date",IF(TODAY()-DATEVALUE(K1011)&lt;=180,"PASS","FLAG - Stale &gt;180d"))</f>
        <v>FLAG - Stale &gt;180d</v>
      </c>
      <c r="T1011" s="20" t="n">
        <f aca="false">COUNTIF(M1011:S1011,"FAIL*")+COUNTIF(M1011:S1011,"FLAG*")</f>
        <v>1</v>
      </c>
      <c r="U1011" s="20" t="str">
        <f aca="false">IF(T1011=0,"CLEAN",IF(T1011=1,"MINOR",IF(T1011&lt;=3,"MODERATE","CRITICAL")))</f>
        <v>MINOR</v>
      </c>
      <c r="V1011" s="20" t="str">
        <f aca="false">IF(U1011="CLEAN","None",IF(U1011="MINOR","Seller Notify",IF(U1011="MODERATE","Listing Suspended","Immediate Removal")))</f>
        <v>Seller Notify</v>
      </c>
    </row>
    <row r="1012" customFormat="false" ht="18" hidden="false" customHeight="true" outlineLevel="0" collapsed="false">
      <c r="A1012" s="19" t="s">
        <v>7089</v>
      </c>
      <c r="B1012" s="19" t="s">
        <v>5946</v>
      </c>
      <c r="C1012" s="19" t="s">
        <v>255</v>
      </c>
      <c r="D1012" s="19" t="s">
        <v>256</v>
      </c>
      <c r="E1012" s="19" t="s">
        <v>161</v>
      </c>
      <c r="F1012" s="19" t="s">
        <v>51</v>
      </c>
      <c r="G1012" s="19" t="s">
        <v>5948</v>
      </c>
      <c r="H1012" s="19" t="s">
        <v>5949</v>
      </c>
      <c r="I1012" s="19" t="s">
        <v>5950</v>
      </c>
      <c r="J1012" s="19" t="n">
        <v>108.25</v>
      </c>
      <c r="K1012" s="19" t="s">
        <v>1116</v>
      </c>
      <c r="L1012" s="21" t="s">
        <v>243</v>
      </c>
      <c r="M1012" s="20" t="str">
        <f aca="false">IF(G1012&lt;&gt;"","PASS","FAIL - Missing UPC")</f>
        <v>PASS</v>
      </c>
      <c r="N1012" s="20" t="str">
        <f aca="false">IF(AND(G1012&lt;&gt;"",H1012&lt;&gt;""),IF("0"&amp;G1012=H1012,"PASS","FAIL - GTIN Mismatch"),"SKIP")</f>
        <v>FAIL - GTIN Mismatch</v>
      </c>
      <c r="O1012" s="20" t="str">
        <f aca="false">IF(I1012="","FAIL - No Title",IF(LEN(I1012)&lt;=126,"PASS","FAIL - Title &gt;"&amp;126&amp;" chars"))</f>
        <v>PASS</v>
      </c>
      <c r="P1012" s="20" t="str">
        <f aca="false">IF(J1012&gt;0,IF(J1012&lt;5000,"PASS","FLAG - Review Price"),"FAIL - Zero Price")</f>
        <v>PASS</v>
      </c>
      <c r="Q1012" s="20" t="str">
        <f aca="false">IF('Raw Catalog'!P1010&lt;&gt;"","PASS","FAIL - No Image")</f>
        <v>FAIL - No Image</v>
      </c>
      <c r="R1012" s="20" t="str">
        <f aca="false">IF(F1012&lt;&gt;"","PASS","FAIL - No Brand")</f>
        <v>PASS</v>
      </c>
      <c r="S1012" s="20" t="str">
        <f aca="true">IF(K1012="","FAIL - No Date",IF(TODAY()-DATEVALUE(K1012)&lt;=180,"PASS","FLAG - Stale &gt;180d"))</f>
        <v>FLAG - Stale &gt;180d</v>
      </c>
      <c r="T1012" s="20" t="n">
        <f aca="false">COUNTIF(M1012:S1012,"FAIL*")+COUNTIF(M1012:S1012,"FLAG*")</f>
        <v>3</v>
      </c>
      <c r="U1012" s="20" t="str">
        <f aca="false">IF(T1012=0,"CLEAN",IF(T1012=1,"MINOR",IF(T1012&lt;=3,"MODERATE","CRITICAL")))</f>
        <v>MODERATE</v>
      </c>
      <c r="V1012" s="20" t="str">
        <f aca="false">IF(U1012="CLEAN","None",IF(U1012="MINOR","Seller Notify",IF(U1012="MODERATE","Listing Suspended","Immediate Removal")))</f>
        <v>Listing Suspended</v>
      </c>
    </row>
    <row r="1013" customFormat="false" ht="18" hidden="false" customHeight="true" outlineLevel="0" collapsed="false">
      <c r="A1013" s="19" t="s">
        <v>7090</v>
      </c>
      <c r="B1013" s="19" t="s">
        <v>5951</v>
      </c>
      <c r="C1013" s="19" t="s">
        <v>77</v>
      </c>
      <c r="D1013" s="19" t="s">
        <v>78</v>
      </c>
      <c r="E1013" s="19" t="s">
        <v>79</v>
      </c>
      <c r="F1013" s="19" t="s">
        <v>465</v>
      </c>
      <c r="G1013" s="19" t="s">
        <v>5953</v>
      </c>
      <c r="H1013" s="19" t="s">
        <v>5954</v>
      </c>
      <c r="I1013" s="19"/>
      <c r="J1013" s="19" t="n">
        <v>2379.72</v>
      </c>
      <c r="K1013" s="19" t="s">
        <v>1211</v>
      </c>
      <c r="L1013" s="21" t="s">
        <v>1048</v>
      </c>
      <c r="M1013" s="20" t="str">
        <f aca="false">IF(G1013&lt;&gt;"","PASS","FAIL - Missing UPC")</f>
        <v>PASS</v>
      </c>
      <c r="N1013" s="20" t="str">
        <f aca="false">IF(AND(G1013&lt;&gt;"",H1013&lt;&gt;""),IF("0"&amp;G1013=H1013,"PASS","FAIL - GTIN Mismatch"),"SKIP")</f>
        <v>PASS</v>
      </c>
      <c r="O1013" s="20" t="str">
        <f aca="false">IF(I1013="","FAIL - No Title",IF(LEN(I1013)&lt;=126,"PASS","FAIL - Title &gt;"&amp;126&amp;" chars"))</f>
        <v>FAIL - No Title</v>
      </c>
      <c r="P1013" s="20" t="str">
        <f aca="false">IF(J1013&gt;0,IF(J1013&lt;5000,"PASS","FLAG - Review Price"),"FAIL - Zero Price")</f>
        <v>PASS</v>
      </c>
      <c r="Q1013" s="20" t="str">
        <f aca="false">IF('Raw Catalog'!P1011&lt;&gt;"","PASS","FAIL - No Image")</f>
        <v>PASS</v>
      </c>
      <c r="R1013" s="20" t="str">
        <f aca="false">IF(F1013&lt;&gt;"","PASS","FAIL - No Brand")</f>
        <v>PASS</v>
      </c>
      <c r="S1013" s="20" t="str">
        <f aca="true">IF(K1013="","FAIL - No Date",IF(TODAY()-DATEVALUE(K1013)&lt;=180,"PASS","FLAG - Stale &gt;180d"))</f>
        <v>FLAG - Stale &gt;180d</v>
      </c>
      <c r="T1013" s="20" t="n">
        <f aca="false">COUNTIF(M1013:S1013,"FAIL*")+COUNTIF(M1013:S1013,"FLAG*")</f>
        <v>2</v>
      </c>
      <c r="U1013" s="20" t="str">
        <f aca="false">IF(T1013=0,"CLEAN",IF(T1013=1,"MINOR",IF(T1013&lt;=3,"MODERATE","CRITICAL")))</f>
        <v>MODERATE</v>
      </c>
      <c r="V1013" s="20" t="str">
        <f aca="false">IF(U1013="CLEAN","None",IF(U1013="MINOR","Seller Notify",IF(U1013="MODERATE","Listing Suspended","Immediate Removal")))</f>
        <v>Listing Suspended</v>
      </c>
    </row>
    <row r="1014" customFormat="false" ht="18" hidden="false" customHeight="true" outlineLevel="0" collapsed="false">
      <c r="A1014" s="19" t="s">
        <v>7091</v>
      </c>
      <c r="B1014" s="19" t="s">
        <v>5955</v>
      </c>
      <c r="C1014" s="19" t="s">
        <v>63</v>
      </c>
      <c r="D1014" s="19" t="s">
        <v>64</v>
      </c>
      <c r="E1014" s="19" t="s">
        <v>65</v>
      </c>
      <c r="F1014" s="19" t="s">
        <v>66</v>
      </c>
      <c r="G1014" s="19" t="s">
        <v>5957</v>
      </c>
      <c r="H1014" s="19" t="s">
        <v>5958</v>
      </c>
      <c r="I1014" s="19" t="s">
        <v>649</v>
      </c>
      <c r="J1014" s="19" t="n">
        <v>262.09</v>
      </c>
      <c r="K1014" s="19" t="s">
        <v>5959</v>
      </c>
      <c r="L1014" s="19"/>
      <c r="M1014" s="20" t="str">
        <f aca="false">IF(G1014&lt;&gt;"","PASS","FAIL - Missing UPC")</f>
        <v>PASS</v>
      </c>
      <c r="N1014" s="20" t="str">
        <f aca="false">IF(AND(G1014&lt;&gt;"",H1014&lt;&gt;""),IF("0"&amp;G1014=H1014,"PASS","FAIL - GTIN Mismatch"),"SKIP")</f>
        <v>PASS</v>
      </c>
      <c r="O1014" s="20" t="str">
        <f aca="false">IF(I1014="","FAIL - No Title",IF(LEN(I1014)&lt;=126,"PASS","FAIL - Title &gt;"&amp;126&amp;" chars"))</f>
        <v>PASS</v>
      </c>
      <c r="P1014" s="20" t="str">
        <f aca="false">IF(J1014&gt;0,IF(J1014&lt;5000,"PASS","FLAG - Review Price"),"FAIL - Zero Price")</f>
        <v>PASS</v>
      </c>
      <c r="Q1014" s="20" t="str">
        <f aca="false">IF('Raw Catalog'!P1012&lt;&gt;"","PASS","FAIL - No Image")</f>
        <v>PASS</v>
      </c>
      <c r="R1014" s="20" t="str">
        <f aca="false">IF(F1014&lt;&gt;"","PASS","FAIL - No Brand")</f>
        <v>PASS</v>
      </c>
      <c r="S1014" s="20" t="str">
        <f aca="true">IF(K1014="","FAIL - No Date",IF(TODAY()-DATEVALUE(K1014)&lt;=180,"PASS","FLAG - Stale &gt;180d"))</f>
        <v>FLAG - Stale &gt;180d</v>
      </c>
      <c r="T1014" s="20" t="n">
        <f aca="false">COUNTIF(M1014:S1014,"FAIL*")+COUNTIF(M1014:S1014,"FLAG*")</f>
        <v>1</v>
      </c>
      <c r="U1014" s="20" t="str">
        <f aca="false">IF(T1014=0,"CLEAN",IF(T1014=1,"MINOR",IF(T1014&lt;=3,"MODERATE","CRITICAL")))</f>
        <v>MINOR</v>
      </c>
      <c r="V1014" s="20" t="str">
        <f aca="false">IF(U1014="CLEAN","None",IF(U1014="MINOR","Seller Notify",IF(U1014="MODERATE","Listing Suspended","Immediate Removal")))</f>
        <v>Seller Notify</v>
      </c>
    </row>
    <row r="1015" customFormat="false" ht="18" hidden="false" customHeight="true" outlineLevel="0" collapsed="false">
      <c r="A1015" s="19" t="s">
        <v>7092</v>
      </c>
      <c r="B1015" s="19" t="s">
        <v>5960</v>
      </c>
      <c r="C1015" s="19" t="s">
        <v>255</v>
      </c>
      <c r="D1015" s="19" t="s">
        <v>256</v>
      </c>
      <c r="E1015" s="19" t="s">
        <v>50</v>
      </c>
      <c r="F1015" s="19" t="s">
        <v>127</v>
      </c>
      <c r="G1015" s="19" t="s">
        <v>5962</v>
      </c>
      <c r="H1015" s="19" t="s">
        <v>5963</v>
      </c>
      <c r="I1015" s="19" t="s">
        <v>5964</v>
      </c>
      <c r="J1015" s="19" t="n">
        <v>1023.56</v>
      </c>
      <c r="K1015" s="19" t="s">
        <v>768</v>
      </c>
      <c r="L1015" s="19"/>
      <c r="M1015" s="20" t="str">
        <f aca="false">IF(G1015&lt;&gt;"","PASS","FAIL - Missing UPC")</f>
        <v>PASS</v>
      </c>
      <c r="N1015" s="20" t="str">
        <f aca="false">IF(AND(G1015&lt;&gt;"",H1015&lt;&gt;""),IF("0"&amp;G1015=H1015,"PASS","FAIL - GTIN Mismatch"),"SKIP")</f>
        <v>PASS</v>
      </c>
      <c r="O1015" s="20" t="str">
        <f aca="false">IF(I1015="","FAIL - No Title",IF(LEN(I1015)&lt;=126,"PASS","FAIL - Title &gt;"&amp;126&amp;" chars"))</f>
        <v>PASS</v>
      </c>
      <c r="P1015" s="20" t="str">
        <f aca="false">IF(J1015&gt;0,IF(J1015&lt;5000,"PASS","FLAG - Review Price"),"FAIL - Zero Price")</f>
        <v>PASS</v>
      </c>
      <c r="Q1015" s="20" t="str">
        <f aca="false">IF('Raw Catalog'!P1013&lt;&gt;"","PASS","FAIL - No Image")</f>
        <v>PASS</v>
      </c>
      <c r="R1015" s="20" t="str">
        <f aca="false">IF(F1015&lt;&gt;"","PASS","FAIL - No Brand")</f>
        <v>PASS</v>
      </c>
      <c r="S1015" s="20" t="str">
        <f aca="true">IF(K1015="","FAIL - No Date",IF(TODAY()-DATEVALUE(K1015)&lt;=180,"PASS","FLAG - Stale &gt;180d"))</f>
        <v>FLAG - Stale &gt;180d</v>
      </c>
      <c r="T1015" s="20" t="n">
        <f aca="false">COUNTIF(M1015:S1015,"FAIL*")+COUNTIF(M1015:S1015,"FLAG*")</f>
        <v>1</v>
      </c>
      <c r="U1015" s="20" t="str">
        <f aca="false">IF(T1015=0,"CLEAN",IF(T1015=1,"MINOR",IF(T1015&lt;=3,"MODERATE","CRITICAL")))</f>
        <v>MINOR</v>
      </c>
      <c r="V1015" s="20" t="str">
        <f aca="false">IF(U1015="CLEAN","None",IF(U1015="MINOR","Seller Notify",IF(U1015="MODERATE","Listing Suspended","Immediate Removal")))</f>
        <v>Seller Notify</v>
      </c>
    </row>
    <row r="1016" customFormat="false" ht="18" hidden="false" customHeight="true" outlineLevel="0" collapsed="false">
      <c r="A1016" s="19" t="s">
        <v>7093</v>
      </c>
      <c r="B1016" s="19" t="s">
        <v>5965</v>
      </c>
      <c r="C1016" s="19" t="s">
        <v>48</v>
      </c>
      <c r="D1016" s="19" t="s">
        <v>49</v>
      </c>
      <c r="E1016" s="19" t="s">
        <v>50</v>
      </c>
      <c r="F1016" s="19" t="s">
        <v>138</v>
      </c>
      <c r="G1016" s="19" t="s">
        <v>5967</v>
      </c>
      <c r="H1016" s="19" t="s">
        <v>5968</v>
      </c>
      <c r="I1016" s="19" t="s">
        <v>5969</v>
      </c>
      <c r="J1016" s="19" t="n">
        <v>997.09</v>
      </c>
      <c r="K1016" s="19" t="s">
        <v>4004</v>
      </c>
      <c r="L1016" s="19"/>
      <c r="M1016" s="20" t="str">
        <f aca="false">IF(G1016&lt;&gt;"","PASS","FAIL - Missing UPC")</f>
        <v>PASS</v>
      </c>
      <c r="N1016" s="20" t="str">
        <f aca="false">IF(AND(G1016&lt;&gt;"",H1016&lt;&gt;""),IF("0"&amp;G1016=H1016,"PASS","FAIL - GTIN Mismatch"),"SKIP")</f>
        <v>PASS</v>
      </c>
      <c r="O1016" s="20" t="str">
        <f aca="false">IF(I1016="","FAIL - No Title",IF(LEN(I1016)&lt;=126,"PASS","FAIL - Title &gt;"&amp;126&amp;" chars"))</f>
        <v>PASS</v>
      </c>
      <c r="P1016" s="20" t="str">
        <f aca="false">IF(J1016&gt;0,IF(J1016&lt;5000,"PASS","FLAG - Review Price"),"FAIL - Zero Price")</f>
        <v>PASS</v>
      </c>
      <c r="Q1016" s="20" t="str">
        <f aca="false">IF('Raw Catalog'!P1014&lt;&gt;"","PASS","FAIL - No Image")</f>
        <v>PASS</v>
      </c>
      <c r="R1016" s="20" t="str">
        <f aca="false">IF(F1016&lt;&gt;"","PASS","FAIL - No Brand")</f>
        <v>PASS</v>
      </c>
      <c r="S1016" s="20" t="str">
        <f aca="true">IF(K1016="","FAIL - No Date",IF(TODAY()-DATEVALUE(K1016)&lt;=180,"PASS","FLAG - Stale &gt;180d"))</f>
        <v>FLAG - Stale &gt;180d</v>
      </c>
      <c r="T1016" s="20" t="n">
        <f aca="false">COUNTIF(M1016:S1016,"FAIL*")+COUNTIF(M1016:S1016,"FLAG*")</f>
        <v>1</v>
      </c>
      <c r="U1016" s="20" t="str">
        <f aca="false">IF(T1016=0,"CLEAN",IF(T1016=1,"MINOR",IF(T1016&lt;=3,"MODERATE","CRITICAL")))</f>
        <v>MINOR</v>
      </c>
      <c r="V1016" s="20" t="str">
        <f aca="false">IF(U1016="CLEAN","None",IF(U1016="MINOR","Seller Notify",IF(U1016="MODERATE","Listing Suspended","Immediate Removal")))</f>
        <v>Seller Notify</v>
      </c>
    </row>
    <row r="1017" customFormat="false" ht="18" hidden="false" customHeight="true" outlineLevel="0" collapsed="false">
      <c r="A1017" s="19" t="s">
        <v>7094</v>
      </c>
      <c r="B1017" s="19" t="s">
        <v>5970</v>
      </c>
      <c r="C1017" s="19" t="s">
        <v>48</v>
      </c>
      <c r="D1017" s="19" t="s">
        <v>49</v>
      </c>
      <c r="E1017" s="19" t="s">
        <v>161</v>
      </c>
      <c r="F1017" s="19" t="s">
        <v>429</v>
      </c>
      <c r="G1017" s="19" t="s">
        <v>5972</v>
      </c>
      <c r="H1017" s="19" t="s">
        <v>5973</v>
      </c>
      <c r="I1017" s="19" t="s">
        <v>5974</v>
      </c>
      <c r="J1017" s="19" t="n">
        <v>463.17</v>
      </c>
      <c r="K1017" s="19" t="s">
        <v>1236</v>
      </c>
      <c r="L1017" s="19"/>
      <c r="M1017" s="20" t="str">
        <f aca="false">IF(G1017&lt;&gt;"","PASS","FAIL - Missing UPC")</f>
        <v>PASS</v>
      </c>
      <c r="N1017" s="20" t="str">
        <f aca="false">IF(AND(G1017&lt;&gt;"",H1017&lt;&gt;""),IF("0"&amp;G1017=H1017,"PASS","FAIL - GTIN Mismatch"),"SKIP")</f>
        <v>PASS</v>
      </c>
      <c r="O1017" s="20" t="str">
        <f aca="false">IF(I1017="","FAIL - No Title",IF(LEN(I1017)&lt;=126,"PASS","FAIL - Title &gt;"&amp;126&amp;" chars"))</f>
        <v>PASS</v>
      </c>
      <c r="P1017" s="20" t="str">
        <f aca="false">IF(J1017&gt;0,IF(J1017&lt;5000,"PASS","FLAG - Review Price"),"FAIL - Zero Price")</f>
        <v>PASS</v>
      </c>
      <c r="Q1017" s="20" t="str">
        <f aca="false">IF('Raw Catalog'!P1015&lt;&gt;"","PASS","FAIL - No Image")</f>
        <v>PASS</v>
      </c>
      <c r="R1017" s="20" t="str">
        <f aca="false">IF(F1017&lt;&gt;"","PASS","FAIL - No Brand")</f>
        <v>PASS</v>
      </c>
      <c r="S1017" s="20" t="str">
        <f aca="true">IF(K1017="","FAIL - No Date",IF(TODAY()-DATEVALUE(K1017)&lt;=180,"PASS","FLAG - Stale &gt;180d"))</f>
        <v>FLAG - Stale &gt;180d</v>
      </c>
      <c r="T1017" s="20" t="n">
        <f aca="false">COUNTIF(M1017:S1017,"FAIL*")+COUNTIF(M1017:S1017,"FLAG*")</f>
        <v>1</v>
      </c>
      <c r="U1017" s="20" t="str">
        <f aca="false">IF(T1017=0,"CLEAN",IF(T1017=1,"MINOR",IF(T1017&lt;=3,"MODERATE","CRITICAL")))</f>
        <v>MINOR</v>
      </c>
      <c r="V1017" s="20" t="str">
        <f aca="false">IF(U1017="CLEAN","None",IF(U1017="MINOR","Seller Notify",IF(U1017="MODERATE","Listing Suspended","Immediate Removal")))</f>
        <v>Seller Notify</v>
      </c>
    </row>
    <row r="1018" customFormat="false" ht="18" hidden="false" customHeight="true" outlineLevel="0" collapsed="false">
      <c r="A1018" s="19" t="s">
        <v>7095</v>
      </c>
      <c r="B1018" s="19" t="s">
        <v>5976</v>
      </c>
      <c r="C1018" s="19" t="s">
        <v>255</v>
      </c>
      <c r="D1018" s="19" t="s">
        <v>256</v>
      </c>
      <c r="E1018" s="19" t="s">
        <v>65</v>
      </c>
      <c r="F1018" s="19" t="s">
        <v>371</v>
      </c>
      <c r="G1018" s="19" t="s">
        <v>5978</v>
      </c>
      <c r="H1018" s="19" t="s">
        <v>5979</v>
      </c>
      <c r="I1018" s="19" t="s">
        <v>1153</v>
      </c>
      <c r="J1018" s="19" t="n">
        <v>441.54</v>
      </c>
      <c r="K1018" s="19" t="s">
        <v>670</v>
      </c>
      <c r="L1018" s="19"/>
      <c r="M1018" s="20" t="str">
        <f aca="false">IF(G1018&lt;&gt;"","PASS","FAIL - Missing UPC")</f>
        <v>PASS</v>
      </c>
      <c r="N1018" s="20" t="str">
        <f aca="false">IF(AND(G1018&lt;&gt;"",H1018&lt;&gt;""),IF("0"&amp;G1018=H1018,"PASS","FAIL - GTIN Mismatch"),"SKIP")</f>
        <v>PASS</v>
      </c>
      <c r="O1018" s="20" t="str">
        <f aca="false">IF(I1018="","FAIL - No Title",IF(LEN(I1018)&lt;=126,"PASS","FAIL - Title &gt;"&amp;126&amp;" chars"))</f>
        <v>PASS</v>
      </c>
      <c r="P1018" s="20" t="str">
        <f aca="false">IF(J1018&gt;0,IF(J1018&lt;5000,"PASS","FLAG - Review Price"),"FAIL - Zero Price")</f>
        <v>PASS</v>
      </c>
      <c r="Q1018" s="20" t="str">
        <f aca="false">IF('Raw Catalog'!P1016&lt;&gt;"","PASS","FAIL - No Image")</f>
        <v>PASS</v>
      </c>
      <c r="R1018" s="20" t="str">
        <f aca="false">IF(F1018&lt;&gt;"","PASS","FAIL - No Brand")</f>
        <v>PASS</v>
      </c>
      <c r="S1018" s="20" t="str">
        <f aca="true">IF(K1018="","FAIL - No Date",IF(TODAY()-DATEVALUE(K1018)&lt;=180,"PASS","FLAG - Stale &gt;180d"))</f>
        <v>FLAG - Stale &gt;180d</v>
      </c>
      <c r="T1018" s="20" t="n">
        <f aca="false">COUNTIF(M1018:S1018,"FAIL*")+COUNTIF(M1018:S1018,"FLAG*")</f>
        <v>1</v>
      </c>
      <c r="U1018" s="20" t="str">
        <f aca="false">IF(T1018=0,"CLEAN",IF(T1018=1,"MINOR",IF(T1018&lt;=3,"MODERATE","CRITICAL")))</f>
        <v>MINOR</v>
      </c>
      <c r="V1018" s="20" t="str">
        <f aca="false">IF(U1018="CLEAN","None",IF(U1018="MINOR","Seller Notify",IF(U1018="MODERATE","Listing Suspended","Immediate Removal")))</f>
        <v>Seller Notify</v>
      </c>
    </row>
    <row r="1019" customFormat="false" ht="18" hidden="false" customHeight="true" outlineLevel="0" collapsed="false">
      <c r="A1019" s="19" t="s">
        <v>7096</v>
      </c>
      <c r="B1019" s="19" t="s">
        <v>4239</v>
      </c>
      <c r="C1019" s="19" t="s">
        <v>173</v>
      </c>
      <c r="D1019" s="19" t="s">
        <v>174</v>
      </c>
      <c r="E1019" s="19" t="s">
        <v>50</v>
      </c>
      <c r="F1019" s="19" t="s">
        <v>138</v>
      </c>
      <c r="G1019" s="19" t="s">
        <v>4241</v>
      </c>
      <c r="H1019" s="19" t="s">
        <v>4242</v>
      </c>
      <c r="I1019" s="19" t="s">
        <v>4243</v>
      </c>
      <c r="J1019" s="19" t="n">
        <v>739.84</v>
      </c>
      <c r="K1019" s="19" t="s">
        <v>101</v>
      </c>
      <c r="L1019" s="21" t="s">
        <v>283</v>
      </c>
      <c r="M1019" s="20" t="str">
        <f aca="false">IF(G1019&lt;&gt;"","PASS","FAIL - Missing UPC")</f>
        <v>PASS</v>
      </c>
      <c r="N1019" s="20" t="str">
        <f aca="false">IF(AND(G1019&lt;&gt;"",H1019&lt;&gt;""),IF("0"&amp;G1019=H1019,"PASS","FAIL - GTIN Mismatch"),"SKIP")</f>
        <v>PASS</v>
      </c>
      <c r="O1019" s="20" t="str">
        <f aca="false">IF(I1019="","FAIL - No Title",IF(LEN(I1019)&lt;=126,"PASS","FAIL - Title &gt;"&amp;126&amp;" chars"))</f>
        <v>PASS</v>
      </c>
      <c r="P1019" s="20" t="str">
        <f aca="false">IF(J1019&gt;0,IF(J1019&lt;5000,"PASS","FLAG - Review Price"),"FAIL - Zero Price")</f>
        <v>PASS</v>
      </c>
      <c r="Q1019" s="20" t="str">
        <f aca="false">IF('Raw Catalog'!P1017&lt;&gt;"","PASS","FAIL - No Image")</f>
        <v>PASS</v>
      </c>
      <c r="R1019" s="20" t="str">
        <f aca="false">IF(F1019&lt;&gt;"","PASS","FAIL - No Brand")</f>
        <v>PASS</v>
      </c>
      <c r="S1019" s="20" t="str">
        <f aca="true">IF(K1019="","FAIL - No Date",IF(TODAY()-DATEVALUE(K1019)&lt;=180,"PASS","FLAG - Stale &gt;180d"))</f>
        <v>FLAG - Stale &gt;180d</v>
      </c>
      <c r="T1019" s="20" t="n">
        <f aca="false">COUNTIF(M1019:S1019,"FAIL*")+COUNTIF(M1019:S1019,"FLAG*")</f>
        <v>1</v>
      </c>
      <c r="U1019" s="20" t="str">
        <f aca="false">IF(T1019=0,"CLEAN",IF(T1019=1,"MINOR",IF(T1019&lt;=3,"MODERATE","CRITICAL")))</f>
        <v>MINOR</v>
      </c>
      <c r="V1019" s="20" t="str">
        <f aca="false">IF(U1019="CLEAN","None",IF(U1019="MINOR","Seller Notify",IF(U1019="MODERATE","Listing Suspended","Immediate Removal")))</f>
        <v>Seller Notify</v>
      </c>
    </row>
    <row r="1020" customFormat="false" ht="18" hidden="false" customHeight="true" outlineLevel="0" collapsed="false">
      <c r="A1020" s="19" t="s">
        <v>7097</v>
      </c>
      <c r="B1020" s="19" t="s">
        <v>5980</v>
      </c>
      <c r="C1020" s="19" t="s">
        <v>159</v>
      </c>
      <c r="D1020" s="19" t="s">
        <v>160</v>
      </c>
      <c r="E1020" s="19" t="s">
        <v>79</v>
      </c>
      <c r="F1020" s="19" t="s">
        <v>513</v>
      </c>
      <c r="G1020" s="19" t="s">
        <v>5982</v>
      </c>
      <c r="H1020" s="19" t="s">
        <v>5983</v>
      </c>
      <c r="I1020" s="19" t="s">
        <v>5984</v>
      </c>
      <c r="J1020" s="19" t="n">
        <v>1376.1</v>
      </c>
      <c r="K1020" s="19" t="s">
        <v>653</v>
      </c>
      <c r="L1020" s="19"/>
      <c r="M1020" s="20" t="str">
        <f aca="false">IF(G1020&lt;&gt;"","PASS","FAIL - Missing UPC")</f>
        <v>PASS</v>
      </c>
      <c r="N1020" s="20" t="str">
        <f aca="false">IF(AND(G1020&lt;&gt;"",H1020&lt;&gt;""),IF("0"&amp;G1020=H1020,"PASS","FAIL - GTIN Mismatch"),"SKIP")</f>
        <v>PASS</v>
      </c>
      <c r="O1020" s="20" t="str">
        <f aca="false">IF(I1020="","FAIL - No Title",IF(LEN(I1020)&lt;=126,"PASS","FAIL - Title &gt;"&amp;126&amp;" chars"))</f>
        <v>PASS</v>
      </c>
      <c r="P1020" s="20" t="str">
        <f aca="false">IF(J1020&gt;0,IF(J1020&lt;5000,"PASS","FLAG - Review Price"),"FAIL - Zero Price")</f>
        <v>PASS</v>
      </c>
      <c r="Q1020" s="20" t="str">
        <f aca="false">IF('Raw Catalog'!P1018&lt;&gt;"","PASS","FAIL - No Image")</f>
        <v>PASS</v>
      </c>
      <c r="R1020" s="20" t="str">
        <f aca="false">IF(F1020&lt;&gt;"","PASS","FAIL - No Brand")</f>
        <v>PASS</v>
      </c>
      <c r="S1020" s="20" t="str">
        <f aca="true">IF(K1020="","FAIL - No Date",IF(TODAY()-DATEVALUE(K1020)&lt;=180,"PASS","FLAG - Stale &gt;180d"))</f>
        <v>FLAG - Stale &gt;180d</v>
      </c>
      <c r="T1020" s="20" t="n">
        <f aca="false">COUNTIF(M1020:S1020,"FAIL*")+COUNTIF(M1020:S1020,"FLAG*")</f>
        <v>1</v>
      </c>
      <c r="U1020" s="20" t="str">
        <f aca="false">IF(T1020=0,"CLEAN",IF(T1020=1,"MINOR",IF(T1020&lt;=3,"MODERATE","CRITICAL")))</f>
        <v>MINOR</v>
      </c>
      <c r="V1020" s="20" t="str">
        <f aca="false">IF(U1020="CLEAN","None",IF(U1020="MINOR","Seller Notify",IF(U1020="MODERATE","Listing Suspended","Immediate Removal")))</f>
        <v>Seller Notify</v>
      </c>
    </row>
    <row r="1021" customFormat="false" ht="18" hidden="false" customHeight="true" outlineLevel="0" collapsed="false">
      <c r="A1021" s="19" t="s">
        <v>7098</v>
      </c>
      <c r="B1021" s="19" t="s">
        <v>5985</v>
      </c>
      <c r="C1021" s="19" t="s">
        <v>159</v>
      </c>
      <c r="D1021" s="19" t="s">
        <v>160</v>
      </c>
      <c r="E1021" s="19" t="s">
        <v>91</v>
      </c>
      <c r="F1021" s="19" t="s">
        <v>92</v>
      </c>
      <c r="G1021" s="19" t="s">
        <v>5987</v>
      </c>
      <c r="H1021" s="19" t="s">
        <v>5988</v>
      </c>
      <c r="I1021" s="19" t="s">
        <v>5989</v>
      </c>
      <c r="J1021" s="19" t="n">
        <v>2434.52</v>
      </c>
      <c r="K1021" s="19" t="s">
        <v>731</v>
      </c>
      <c r="L1021" s="19"/>
      <c r="M1021" s="20" t="str">
        <f aca="false">IF(G1021&lt;&gt;"","PASS","FAIL - Missing UPC")</f>
        <v>PASS</v>
      </c>
      <c r="N1021" s="20" t="str">
        <f aca="false">IF(AND(G1021&lt;&gt;"",H1021&lt;&gt;""),IF("0"&amp;G1021=H1021,"PASS","FAIL - GTIN Mismatch"),"SKIP")</f>
        <v>PASS</v>
      </c>
      <c r="O1021" s="20" t="str">
        <f aca="false">IF(I1021="","FAIL - No Title",IF(LEN(I1021)&lt;=126,"PASS","FAIL - Title &gt;"&amp;126&amp;" chars"))</f>
        <v>PASS</v>
      </c>
      <c r="P1021" s="20" t="str">
        <f aca="false">IF(J1021&gt;0,IF(J1021&lt;5000,"PASS","FLAG - Review Price"),"FAIL - Zero Price")</f>
        <v>PASS</v>
      </c>
      <c r="Q1021" s="20" t="str">
        <f aca="false">IF('Raw Catalog'!P1019&lt;&gt;"","PASS","FAIL - No Image")</f>
        <v>PASS</v>
      </c>
      <c r="R1021" s="20" t="str">
        <f aca="false">IF(F1021&lt;&gt;"","PASS","FAIL - No Brand")</f>
        <v>PASS</v>
      </c>
      <c r="S1021" s="20" t="str">
        <f aca="true">IF(K1021="","FAIL - No Date",IF(TODAY()-DATEVALUE(K1021)&lt;=180,"PASS","FLAG - Stale &gt;180d"))</f>
        <v>FLAG - Stale &gt;180d</v>
      </c>
      <c r="T1021" s="20" t="n">
        <f aca="false">COUNTIF(M1021:S1021,"FAIL*")+COUNTIF(M1021:S1021,"FLAG*")</f>
        <v>1</v>
      </c>
      <c r="U1021" s="20" t="str">
        <f aca="false">IF(T1021=0,"CLEAN",IF(T1021=1,"MINOR",IF(T1021&lt;=3,"MODERATE","CRITICAL")))</f>
        <v>MINOR</v>
      </c>
      <c r="V1021" s="20" t="str">
        <f aca="false">IF(U1021="CLEAN","None",IF(U1021="MINOR","Seller Notify",IF(U1021="MODERATE","Listing Suspended","Immediate Removal")))</f>
        <v>Seller Notify</v>
      </c>
    </row>
    <row r="1022" customFormat="false" ht="18" hidden="false" customHeight="true" outlineLevel="0" collapsed="false">
      <c r="A1022" s="19" t="s">
        <v>7099</v>
      </c>
      <c r="B1022" s="19" t="s">
        <v>5990</v>
      </c>
      <c r="C1022" s="19" t="s">
        <v>159</v>
      </c>
      <c r="D1022" s="19" t="s">
        <v>160</v>
      </c>
      <c r="E1022" s="19" t="s">
        <v>50</v>
      </c>
      <c r="F1022" s="19" t="s">
        <v>138</v>
      </c>
      <c r="G1022" s="19" t="s">
        <v>5992</v>
      </c>
      <c r="H1022" s="19" t="s">
        <v>5993</v>
      </c>
      <c r="I1022" s="19" t="s">
        <v>5994</v>
      </c>
      <c r="J1022" s="19" t="n">
        <v>931.46</v>
      </c>
      <c r="K1022" s="19" t="s">
        <v>662</v>
      </c>
      <c r="L1022" s="19"/>
      <c r="M1022" s="20" t="str">
        <f aca="false">IF(G1022&lt;&gt;"","PASS","FAIL - Missing UPC")</f>
        <v>PASS</v>
      </c>
      <c r="N1022" s="20" t="str">
        <f aca="false">IF(AND(G1022&lt;&gt;"",H1022&lt;&gt;""),IF("0"&amp;G1022=H1022,"PASS","FAIL - GTIN Mismatch"),"SKIP")</f>
        <v>PASS</v>
      </c>
      <c r="O1022" s="20" t="str">
        <f aca="false">IF(I1022="","FAIL - No Title",IF(LEN(I1022)&lt;=126,"PASS","FAIL - Title &gt;"&amp;126&amp;" chars"))</f>
        <v>PASS</v>
      </c>
      <c r="P1022" s="20" t="str">
        <f aca="false">IF(J1022&gt;0,IF(J1022&lt;5000,"PASS","FLAG - Review Price"),"FAIL - Zero Price")</f>
        <v>PASS</v>
      </c>
      <c r="Q1022" s="20" t="str">
        <f aca="false">IF('Raw Catalog'!P1020&lt;&gt;"","PASS","FAIL - No Image")</f>
        <v>PASS</v>
      </c>
      <c r="R1022" s="20" t="str">
        <f aca="false">IF(F1022&lt;&gt;"","PASS","FAIL - No Brand")</f>
        <v>PASS</v>
      </c>
      <c r="S1022" s="20" t="str">
        <f aca="true">IF(K1022="","FAIL - No Date",IF(TODAY()-DATEVALUE(K1022)&lt;=180,"PASS","FLAG - Stale &gt;180d"))</f>
        <v>FLAG - Stale &gt;180d</v>
      </c>
      <c r="T1022" s="20" t="n">
        <f aca="false">COUNTIF(M1022:S1022,"FAIL*")+COUNTIF(M1022:S1022,"FLAG*")</f>
        <v>1</v>
      </c>
      <c r="U1022" s="20" t="str">
        <f aca="false">IF(T1022=0,"CLEAN",IF(T1022=1,"MINOR",IF(T1022&lt;=3,"MODERATE","CRITICAL")))</f>
        <v>MINOR</v>
      </c>
      <c r="V1022" s="20" t="str">
        <f aca="false">IF(U1022="CLEAN","None",IF(U1022="MINOR","Seller Notify",IF(U1022="MODERATE","Listing Suspended","Immediate Removal")))</f>
        <v>Seller Notify</v>
      </c>
    </row>
    <row r="1023" customFormat="false" ht="18" hidden="false" customHeight="true" outlineLevel="0" collapsed="false">
      <c r="A1023" s="19" t="s">
        <v>7100</v>
      </c>
      <c r="B1023" s="19" t="s">
        <v>5995</v>
      </c>
      <c r="C1023" s="19" t="s">
        <v>173</v>
      </c>
      <c r="D1023" s="19" t="s">
        <v>174</v>
      </c>
      <c r="E1023" s="19" t="s">
        <v>65</v>
      </c>
      <c r="F1023" s="19" t="s">
        <v>371</v>
      </c>
      <c r="G1023" s="19" t="s">
        <v>5997</v>
      </c>
      <c r="H1023" s="19" t="s">
        <v>5998</v>
      </c>
      <c r="I1023" s="19" t="s">
        <v>1153</v>
      </c>
      <c r="J1023" s="19" t="n">
        <v>216.53</v>
      </c>
      <c r="K1023" s="19" t="s">
        <v>3417</v>
      </c>
      <c r="L1023" s="19"/>
      <c r="M1023" s="20" t="str">
        <f aca="false">IF(G1023&lt;&gt;"","PASS","FAIL - Missing UPC")</f>
        <v>PASS</v>
      </c>
      <c r="N1023" s="20" t="str">
        <f aca="false">IF(AND(G1023&lt;&gt;"",H1023&lt;&gt;""),IF("0"&amp;G1023=H1023,"PASS","FAIL - GTIN Mismatch"),"SKIP")</f>
        <v>PASS</v>
      </c>
      <c r="O1023" s="20" t="str">
        <f aca="false">IF(I1023="","FAIL - No Title",IF(LEN(I1023)&lt;=126,"PASS","FAIL - Title &gt;"&amp;126&amp;" chars"))</f>
        <v>PASS</v>
      </c>
      <c r="P1023" s="20" t="str">
        <f aca="false">IF(J1023&gt;0,IF(J1023&lt;5000,"PASS","FLAG - Review Price"),"FAIL - Zero Price")</f>
        <v>PASS</v>
      </c>
      <c r="Q1023" s="20" t="str">
        <f aca="false">IF('Raw Catalog'!P1021&lt;&gt;"","PASS","FAIL - No Image")</f>
        <v>PASS</v>
      </c>
      <c r="R1023" s="20" t="str">
        <f aca="false">IF(F1023&lt;&gt;"","PASS","FAIL - No Brand")</f>
        <v>PASS</v>
      </c>
      <c r="S1023" s="20" t="str">
        <f aca="true">IF(K1023="","FAIL - No Date",IF(TODAY()-DATEVALUE(K1023)&lt;=180,"PASS","FLAG - Stale &gt;180d"))</f>
        <v>FLAG - Stale &gt;180d</v>
      </c>
      <c r="T1023" s="20" t="n">
        <f aca="false">COUNTIF(M1023:S1023,"FAIL*")+COUNTIF(M1023:S1023,"FLAG*")</f>
        <v>1</v>
      </c>
      <c r="U1023" s="20" t="str">
        <f aca="false">IF(T1023=0,"CLEAN",IF(T1023=1,"MINOR",IF(T1023&lt;=3,"MODERATE","CRITICAL")))</f>
        <v>MINOR</v>
      </c>
      <c r="V1023" s="20" t="str">
        <f aca="false">IF(U1023="CLEAN","None",IF(U1023="MINOR","Seller Notify",IF(U1023="MODERATE","Listing Suspended","Immediate Removal")))</f>
        <v>Seller Notify</v>
      </c>
    </row>
    <row r="1024" customFormat="false" ht="18" hidden="false" customHeight="true" outlineLevel="0" collapsed="false">
      <c r="A1024" s="19" t="s">
        <v>7101</v>
      </c>
      <c r="B1024" s="19" t="s">
        <v>5999</v>
      </c>
      <c r="C1024" s="19" t="s">
        <v>113</v>
      </c>
      <c r="D1024" s="19" t="s">
        <v>114</v>
      </c>
      <c r="E1024" s="19" t="s">
        <v>50</v>
      </c>
      <c r="F1024" s="19" t="s">
        <v>115</v>
      </c>
      <c r="G1024" s="19" t="s">
        <v>6001</v>
      </c>
      <c r="H1024" s="19" t="s">
        <v>6002</v>
      </c>
      <c r="I1024" s="19" t="s">
        <v>6003</v>
      </c>
      <c r="J1024" s="19" t="n">
        <v>924.68</v>
      </c>
      <c r="K1024" s="19" t="s">
        <v>2392</v>
      </c>
      <c r="L1024" s="19"/>
      <c r="M1024" s="20" t="str">
        <f aca="false">IF(G1024&lt;&gt;"","PASS","FAIL - Missing UPC")</f>
        <v>PASS</v>
      </c>
      <c r="N1024" s="20" t="str">
        <f aca="false">IF(AND(G1024&lt;&gt;"",H1024&lt;&gt;""),IF("0"&amp;G1024=H1024,"PASS","FAIL - GTIN Mismatch"),"SKIP")</f>
        <v>PASS</v>
      </c>
      <c r="O1024" s="20" t="str">
        <f aca="false">IF(I1024="","FAIL - No Title",IF(LEN(I1024)&lt;=126,"PASS","FAIL - Title &gt;"&amp;126&amp;" chars"))</f>
        <v>PASS</v>
      </c>
      <c r="P1024" s="20" t="str">
        <f aca="false">IF(J1024&gt;0,IF(J1024&lt;5000,"PASS","FLAG - Review Price"),"FAIL - Zero Price")</f>
        <v>PASS</v>
      </c>
      <c r="Q1024" s="20" t="str">
        <f aca="false">IF('Raw Catalog'!P1022&lt;&gt;"","PASS","FAIL - No Image")</f>
        <v>PASS</v>
      </c>
      <c r="R1024" s="20" t="str">
        <f aca="false">IF(F1024&lt;&gt;"","PASS","FAIL - No Brand")</f>
        <v>PASS</v>
      </c>
      <c r="S1024" s="20" t="str">
        <f aca="true">IF(K1024="","FAIL - No Date",IF(TODAY()-DATEVALUE(K1024)&lt;=180,"PASS","FLAG - Stale &gt;180d"))</f>
        <v>FLAG - Stale &gt;180d</v>
      </c>
      <c r="T1024" s="20" t="n">
        <f aca="false">COUNTIF(M1024:S1024,"FAIL*")+COUNTIF(M1024:S1024,"FLAG*")</f>
        <v>1</v>
      </c>
      <c r="U1024" s="20" t="str">
        <f aca="false">IF(T1024=0,"CLEAN",IF(T1024=1,"MINOR",IF(T1024&lt;=3,"MODERATE","CRITICAL")))</f>
        <v>MINOR</v>
      </c>
      <c r="V1024" s="20" t="str">
        <f aca="false">IF(U1024="CLEAN","None",IF(U1024="MINOR","Seller Notify",IF(U1024="MODERATE","Listing Suspended","Immediate Removal")))</f>
        <v>Seller Notify</v>
      </c>
    </row>
    <row r="1025" customFormat="false" ht="18" hidden="false" customHeight="true" outlineLevel="0" collapsed="false">
      <c r="A1025" s="19" t="s">
        <v>7102</v>
      </c>
      <c r="B1025" s="19" t="s">
        <v>6005</v>
      </c>
      <c r="C1025" s="19" t="s">
        <v>173</v>
      </c>
      <c r="D1025" s="19" t="s">
        <v>174</v>
      </c>
      <c r="E1025" s="19" t="s">
        <v>50</v>
      </c>
      <c r="F1025" s="19" t="s">
        <v>127</v>
      </c>
      <c r="G1025" s="19" t="s">
        <v>6007</v>
      </c>
      <c r="H1025" s="19" t="s">
        <v>6008</v>
      </c>
      <c r="I1025" s="19" t="s">
        <v>2849</v>
      </c>
      <c r="J1025" s="19" t="n">
        <v>714.51</v>
      </c>
      <c r="K1025" s="19" t="s">
        <v>452</v>
      </c>
      <c r="L1025" s="19"/>
      <c r="M1025" s="20" t="str">
        <f aca="false">IF(G1025&lt;&gt;"","PASS","FAIL - Missing UPC")</f>
        <v>PASS</v>
      </c>
      <c r="N1025" s="20" t="str">
        <f aca="false">IF(AND(G1025&lt;&gt;"",H1025&lt;&gt;""),IF("0"&amp;G1025=H1025,"PASS","FAIL - GTIN Mismatch"),"SKIP")</f>
        <v>PASS</v>
      </c>
      <c r="O1025" s="20" t="str">
        <f aca="false">IF(I1025="","FAIL - No Title",IF(LEN(I1025)&lt;=126,"PASS","FAIL - Title &gt;"&amp;126&amp;" chars"))</f>
        <v>PASS</v>
      </c>
      <c r="P1025" s="20" t="str">
        <f aca="false">IF(J1025&gt;0,IF(J1025&lt;5000,"PASS","FLAG - Review Price"),"FAIL - Zero Price")</f>
        <v>PASS</v>
      </c>
      <c r="Q1025" s="20" t="str">
        <f aca="false">IF('Raw Catalog'!P1023&lt;&gt;"","PASS","FAIL - No Image")</f>
        <v>PASS</v>
      </c>
      <c r="R1025" s="20" t="str">
        <f aca="false">IF(F1025&lt;&gt;"","PASS","FAIL - No Brand")</f>
        <v>PASS</v>
      </c>
      <c r="S1025" s="20" t="str">
        <f aca="true">IF(K1025="","FAIL - No Date",IF(TODAY()-DATEVALUE(K1025)&lt;=180,"PASS","FLAG - Stale &gt;180d"))</f>
        <v>FLAG - Stale &gt;180d</v>
      </c>
      <c r="T1025" s="20" t="n">
        <f aca="false">COUNTIF(M1025:S1025,"FAIL*")+COUNTIF(M1025:S1025,"FLAG*")</f>
        <v>1</v>
      </c>
      <c r="U1025" s="20" t="str">
        <f aca="false">IF(T1025=0,"CLEAN",IF(T1025=1,"MINOR",IF(T1025&lt;=3,"MODERATE","CRITICAL")))</f>
        <v>MINOR</v>
      </c>
      <c r="V1025" s="20" t="str">
        <f aca="false">IF(U1025="CLEAN","None",IF(U1025="MINOR","Seller Notify",IF(U1025="MODERATE","Listing Suspended","Immediate Removal")))</f>
        <v>Seller Notify</v>
      </c>
    </row>
    <row r="1026" customFormat="false" ht="18" hidden="false" customHeight="true" outlineLevel="0" collapsed="false">
      <c r="A1026" s="19" t="s">
        <v>7103</v>
      </c>
      <c r="B1026" s="19" t="s">
        <v>6009</v>
      </c>
      <c r="C1026" s="19" t="s">
        <v>48</v>
      </c>
      <c r="D1026" s="19" t="s">
        <v>49</v>
      </c>
      <c r="E1026" s="19" t="s">
        <v>91</v>
      </c>
      <c r="F1026" s="19" t="s">
        <v>92</v>
      </c>
      <c r="G1026" s="19" t="s">
        <v>6011</v>
      </c>
      <c r="H1026" s="19" t="s">
        <v>6012</v>
      </c>
      <c r="I1026" s="19" t="s">
        <v>5263</v>
      </c>
      <c r="J1026" s="19" t="n">
        <v>1350.99</v>
      </c>
      <c r="K1026" s="19" t="s">
        <v>4520</v>
      </c>
      <c r="L1026" s="19"/>
      <c r="M1026" s="20" t="str">
        <f aca="false">IF(G1026&lt;&gt;"","PASS","FAIL - Missing UPC")</f>
        <v>PASS</v>
      </c>
      <c r="N1026" s="20" t="str">
        <f aca="false">IF(AND(G1026&lt;&gt;"",H1026&lt;&gt;""),IF("0"&amp;G1026=H1026,"PASS","FAIL - GTIN Mismatch"),"SKIP")</f>
        <v>PASS</v>
      </c>
      <c r="O1026" s="20" t="str">
        <f aca="false">IF(I1026="","FAIL - No Title",IF(LEN(I1026)&lt;=126,"PASS","FAIL - Title &gt;"&amp;126&amp;" chars"))</f>
        <v>PASS</v>
      </c>
      <c r="P1026" s="20" t="str">
        <f aca="false">IF(J1026&gt;0,IF(J1026&lt;5000,"PASS","FLAG - Review Price"),"FAIL - Zero Price")</f>
        <v>PASS</v>
      </c>
      <c r="Q1026" s="20" t="str">
        <f aca="false">IF('Raw Catalog'!P1024&lt;&gt;"","PASS","FAIL - No Image")</f>
        <v>PASS</v>
      </c>
      <c r="R1026" s="20" t="str">
        <f aca="false">IF(F1026&lt;&gt;"","PASS","FAIL - No Brand")</f>
        <v>PASS</v>
      </c>
      <c r="S1026" s="20" t="str">
        <f aca="true">IF(K1026="","FAIL - No Date",IF(TODAY()-DATEVALUE(K1026)&lt;=180,"PASS","FLAG - Stale &gt;180d"))</f>
        <v>FLAG - Stale &gt;180d</v>
      </c>
      <c r="T1026" s="20" t="n">
        <f aca="false">COUNTIF(M1026:S1026,"FAIL*")+COUNTIF(M1026:S1026,"FLAG*")</f>
        <v>1</v>
      </c>
      <c r="U1026" s="20" t="str">
        <f aca="false">IF(T1026=0,"CLEAN",IF(T1026=1,"MINOR",IF(T1026&lt;=3,"MODERATE","CRITICAL")))</f>
        <v>MINOR</v>
      </c>
      <c r="V1026" s="20" t="str">
        <f aca="false">IF(U1026="CLEAN","None",IF(U1026="MINOR","Seller Notify",IF(U1026="MODERATE","Listing Suspended","Immediate Removal")))</f>
        <v>Seller Notify</v>
      </c>
    </row>
    <row r="1027" customFormat="false" ht="18" hidden="false" customHeight="true" outlineLevel="0" collapsed="false">
      <c r="A1027" s="19" t="s">
        <v>7104</v>
      </c>
      <c r="B1027" s="19" t="s">
        <v>6013</v>
      </c>
      <c r="C1027" s="19" t="s">
        <v>173</v>
      </c>
      <c r="D1027" s="19" t="s">
        <v>174</v>
      </c>
      <c r="E1027" s="19" t="s">
        <v>161</v>
      </c>
      <c r="F1027" s="19" t="s">
        <v>822</v>
      </c>
      <c r="G1027" s="19" t="s">
        <v>6015</v>
      </c>
      <c r="H1027" s="19" t="s">
        <v>6016</v>
      </c>
      <c r="I1027" s="19" t="s">
        <v>825</v>
      </c>
      <c r="J1027" s="19" t="n">
        <v>201.87</v>
      </c>
      <c r="K1027" s="19" t="s">
        <v>3941</v>
      </c>
      <c r="L1027" s="19"/>
      <c r="M1027" s="20" t="str">
        <f aca="false">IF(G1027&lt;&gt;"","PASS","FAIL - Missing UPC")</f>
        <v>PASS</v>
      </c>
      <c r="N1027" s="20" t="str">
        <f aca="false">IF(AND(G1027&lt;&gt;"",H1027&lt;&gt;""),IF("0"&amp;G1027=H1027,"PASS","FAIL - GTIN Mismatch"),"SKIP")</f>
        <v>PASS</v>
      </c>
      <c r="O1027" s="20" t="str">
        <f aca="false">IF(I1027="","FAIL - No Title",IF(LEN(I1027)&lt;=126,"PASS","FAIL - Title &gt;"&amp;126&amp;" chars"))</f>
        <v>PASS</v>
      </c>
      <c r="P1027" s="20" t="str">
        <f aca="false">IF(J1027&gt;0,IF(J1027&lt;5000,"PASS","FLAG - Review Price"),"FAIL - Zero Price")</f>
        <v>PASS</v>
      </c>
      <c r="Q1027" s="20" t="str">
        <f aca="false">IF('Raw Catalog'!P1025&lt;&gt;"","PASS","FAIL - No Image")</f>
        <v>PASS</v>
      </c>
      <c r="R1027" s="20" t="str">
        <f aca="false">IF(F1027&lt;&gt;"","PASS","FAIL - No Brand")</f>
        <v>PASS</v>
      </c>
      <c r="S1027" s="20" t="str">
        <f aca="true">IF(K1027="","FAIL - No Date",IF(TODAY()-DATEVALUE(K1027)&lt;=180,"PASS","FLAG - Stale &gt;180d"))</f>
        <v>FLAG - Stale &gt;180d</v>
      </c>
      <c r="T1027" s="20" t="n">
        <f aca="false">COUNTIF(M1027:S1027,"FAIL*")+COUNTIF(M1027:S1027,"FLAG*")</f>
        <v>1</v>
      </c>
      <c r="U1027" s="20" t="str">
        <f aca="false">IF(T1027=0,"CLEAN",IF(T1027=1,"MINOR",IF(T1027&lt;=3,"MODERATE","CRITICAL")))</f>
        <v>MINOR</v>
      </c>
      <c r="V1027" s="20" t="str">
        <f aca="false">IF(U1027="CLEAN","None",IF(U1027="MINOR","Seller Notify",IF(U1027="MODERATE","Listing Suspended","Immediate Removal")))</f>
        <v>Seller Notify</v>
      </c>
    </row>
    <row r="1028" customFormat="false" ht="18" hidden="false" customHeight="true" outlineLevel="0" collapsed="false">
      <c r="A1028" s="19" t="s">
        <v>7105</v>
      </c>
      <c r="B1028" s="19" t="s">
        <v>6017</v>
      </c>
      <c r="C1028" s="19" t="s">
        <v>113</v>
      </c>
      <c r="D1028" s="19" t="s">
        <v>114</v>
      </c>
      <c r="E1028" s="19" t="s">
        <v>79</v>
      </c>
      <c r="F1028" s="19" t="s">
        <v>51</v>
      </c>
      <c r="G1028" s="19" t="s">
        <v>6019</v>
      </c>
      <c r="H1028" s="19" t="s">
        <v>6020</v>
      </c>
      <c r="I1028" s="19" t="s">
        <v>6021</v>
      </c>
      <c r="J1028" s="19" t="n">
        <v>1639.03</v>
      </c>
      <c r="K1028" s="19" t="s">
        <v>1417</v>
      </c>
      <c r="L1028" s="19"/>
      <c r="M1028" s="20" t="str">
        <f aca="false">IF(G1028&lt;&gt;"","PASS","FAIL - Missing UPC")</f>
        <v>PASS</v>
      </c>
      <c r="N1028" s="20" t="str">
        <f aca="false">IF(AND(G1028&lt;&gt;"",H1028&lt;&gt;""),IF("0"&amp;G1028=H1028,"PASS","FAIL - GTIN Mismatch"),"SKIP")</f>
        <v>PASS</v>
      </c>
      <c r="O1028" s="20" t="str">
        <f aca="false">IF(I1028="","FAIL - No Title",IF(LEN(I1028)&lt;=126,"PASS","FAIL - Title &gt;"&amp;126&amp;" chars"))</f>
        <v>PASS</v>
      </c>
      <c r="P1028" s="20" t="str">
        <f aca="false">IF(J1028&gt;0,IF(J1028&lt;5000,"PASS","FLAG - Review Price"),"FAIL - Zero Price")</f>
        <v>PASS</v>
      </c>
      <c r="Q1028" s="20" t="str">
        <f aca="false">IF('Raw Catalog'!P1026&lt;&gt;"","PASS","FAIL - No Image")</f>
        <v>PASS</v>
      </c>
      <c r="R1028" s="20" t="str">
        <f aca="false">IF(F1028&lt;&gt;"","PASS","FAIL - No Brand")</f>
        <v>PASS</v>
      </c>
      <c r="S1028" s="20" t="str">
        <f aca="true">IF(K1028="","FAIL - No Date",IF(TODAY()-DATEVALUE(K1028)&lt;=180,"PASS","FLAG - Stale &gt;180d"))</f>
        <v>FLAG - Stale &gt;180d</v>
      </c>
      <c r="T1028" s="20" t="n">
        <f aca="false">COUNTIF(M1028:S1028,"FAIL*")+COUNTIF(M1028:S1028,"FLAG*")</f>
        <v>1</v>
      </c>
      <c r="U1028" s="20" t="str">
        <f aca="false">IF(T1028=0,"CLEAN",IF(T1028=1,"MINOR",IF(T1028&lt;=3,"MODERATE","CRITICAL")))</f>
        <v>MINOR</v>
      </c>
      <c r="V1028" s="20" t="str">
        <f aca="false">IF(U1028="CLEAN","None",IF(U1028="MINOR","Seller Notify",IF(U1028="MODERATE","Listing Suspended","Immediate Removal")))</f>
        <v>Seller Notify</v>
      </c>
    </row>
    <row r="1029" customFormat="false" ht="18" hidden="false" customHeight="true" outlineLevel="0" collapsed="false">
      <c r="A1029" s="19" t="s">
        <v>7106</v>
      </c>
      <c r="B1029" s="19" t="s">
        <v>6022</v>
      </c>
      <c r="C1029" s="19" t="s">
        <v>173</v>
      </c>
      <c r="D1029" s="19" t="s">
        <v>174</v>
      </c>
      <c r="E1029" s="19" t="s">
        <v>91</v>
      </c>
      <c r="F1029" s="19" t="s">
        <v>138</v>
      </c>
      <c r="G1029" s="19" t="s">
        <v>6024</v>
      </c>
      <c r="H1029" s="19" t="s">
        <v>6025</v>
      </c>
      <c r="I1029" s="19" t="s">
        <v>6026</v>
      </c>
      <c r="J1029" s="19" t="n">
        <v>293.84</v>
      </c>
      <c r="K1029" s="19" t="s">
        <v>2127</v>
      </c>
      <c r="L1029" s="19"/>
      <c r="M1029" s="20" t="str">
        <f aca="false">IF(G1029&lt;&gt;"","PASS","FAIL - Missing UPC")</f>
        <v>PASS</v>
      </c>
      <c r="N1029" s="20" t="str">
        <f aca="false">IF(AND(G1029&lt;&gt;"",H1029&lt;&gt;""),IF("0"&amp;G1029=H1029,"PASS","FAIL - GTIN Mismatch"),"SKIP")</f>
        <v>PASS</v>
      </c>
      <c r="O1029" s="20" t="str">
        <f aca="false">IF(I1029="","FAIL - No Title",IF(LEN(I1029)&lt;=126,"PASS","FAIL - Title &gt;"&amp;126&amp;" chars"))</f>
        <v>PASS</v>
      </c>
      <c r="P1029" s="20" t="str">
        <f aca="false">IF(J1029&gt;0,IF(J1029&lt;5000,"PASS","FLAG - Review Price"),"FAIL - Zero Price")</f>
        <v>PASS</v>
      </c>
      <c r="Q1029" s="20" t="str">
        <f aca="false">IF('Raw Catalog'!P1027&lt;&gt;"","PASS","FAIL - No Image")</f>
        <v>PASS</v>
      </c>
      <c r="R1029" s="20" t="str">
        <f aca="false">IF(F1029&lt;&gt;"","PASS","FAIL - No Brand")</f>
        <v>PASS</v>
      </c>
      <c r="S1029" s="20" t="str">
        <f aca="true">IF(K1029="","FAIL - No Date",IF(TODAY()-DATEVALUE(K1029)&lt;=180,"PASS","FLAG - Stale &gt;180d"))</f>
        <v>FLAG - Stale &gt;180d</v>
      </c>
      <c r="T1029" s="20" t="n">
        <f aca="false">COUNTIF(M1029:S1029,"FAIL*")+COUNTIF(M1029:S1029,"FLAG*")</f>
        <v>1</v>
      </c>
      <c r="U1029" s="20" t="str">
        <f aca="false">IF(T1029=0,"CLEAN",IF(T1029=1,"MINOR",IF(T1029&lt;=3,"MODERATE","CRITICAL")))</f>
        <v>MINOR</v>
      </c>
      <c r="V1029" s="20" t="str">
        <f aca="false">IF(U1029="CLEAN","None",IF(U1029="MINOR","Seller Notify",IF(U1029="MODERATE","Listing Suspended","Immediate Removal")))</f>
        <v>Seller Notify</v>
      </c>
    </row>
    <row r="1030" customFormat="false" ht="18" hidden="false" customHeight="true" outlineLevel="0" collapsed="false">
      <c r="A1030" s="19" t="s">
        <v>7107</v>
      </c>
      <c r="B1030" s="19" t="s">
        <v>6028</v>
      </c>
      <c r="C1030" s="19" t="s">
        <v>77</v>
      </c>
      <c r="D1030" s="19" t="s">
        <v>78</v>
      </c>
      <c r="E1030" s="19" t="s">
        <v>50</v>
      </c>
      <c r="F1030" s="19" t="s">
        <v>115</v>
      </c>
      <c r="G1030" s="19" t="s">
        <v>6030</v>
      </c>
      <c r="H1030" s="19" t="s">
        <v>6031</v>
      </c>
      <c r="I1030" s="19" t="s">
        <v>5439</v>
      </c>
      <c r="J1030" s="19" t="n">
        <v>1123.2</v>
      </c>
      <c r="K1030" s="19" t="s">
        <v>1957</v>
      </c>
      <c r="L1030" s="19"/>
      <c r="M1030" s="20" t="str">
        <f aca="false">IF(G1030&lt;&gt;"","PASS","FAIL - Missing UPC")</f>
        <v>PASS</v>
      </c>
      <c r="N1030" s="20" t="str">
        <f aca="false">IF(AND(G1030&lt;&gt;"",H1030&lt;&gt;""),IF("0"&amp;G1030=H1030,"PASS","FAIL - GTIN Mismatch"),"SKIP")</f>
        <v>PASS</v>
      </c>
      <c r="O1030" s="20" t="str">
        <f aca="false">IF(I1030="","FAIL - No Title",IF(LEN(I1030)&lt;=126,"PASS","FAIL - Title &gt;"&amp;126&amp;" chars"))</f>
        <v>PASS</v>
      </c>
      <c r="P1030" s="20" t="str">
        <f aca="false">IF(J1030&gt;0,IF(J1030&lt;5000,"PASS","FLAG - Review Price"),"FAIL - Zero Price")</f>
        <v>PASS</v>
      </c>
      <c r="Q1030" s="20" t="str">
        <f aca="false">IF('Raw Catalog'!P1028&lt;&gt;"","PASS","FAIL - No Image")</f>
        <v>PASS</v>
      </c>
      <c r="R1030" s="20" t="str">
        <f aca="false">IF(F1030&lt;&gt;"","PASS","FAIL - No Brand")</f>
        <v>PASS</v>
      </c>
      <c r="S1030" s="20" t="str">
        <f aca="true">IF(K1030="","FAIL - No Date",IF(TODAY()-DATEVALUE(K1030)&lt;=180,"PASS","FLAG - Stale &gt;180d"))</f>
        <v>FLAG - Stale &gt;180d</v>
      </c>
      <c r="T1030" s="20" t="n">
        <f aca="false">COUNTIF(M1030:S1030,"FAIL*")+COUNTIF(M1030:S1030,"FLAG*")</f>
        <v>1</v>
      </c>
      <c r="U1030" s="20" t="str">
        <f aca="false">IF(T1030=0,"CLEAN",IF(T1030=1,"MINOR",IF(T1030&lt;=3,"MODERATE","CRITICAL")))</f>
        <v>MINOR</v>
      </c>
      <c r="V1030" s="20" t="str">
        <f aca="false">IF(U1030="CLEAN","None",IF(U1030="MINOR","Seller Notify",IF(U1030="MODERATE","Listing Suspended","Immediate Removal")))</f>
        <v>Seller Notify</v>
      </c>
    </row>
    <row r="1031" customFormat="false" ht="18" hidden="false" customHeight="true" outlineLevel="0" collapsed="false">
      <c r="A1031" s="19" t="s">
        <v>7108</v>
      </c>
      <c r="B1031" s="19" t="s">
        <v>6032</v>
      </c>
      <c r="C1031" s="19" t="s">
        <v>173</v>
      </c>
      <c r="D1031" s="19" t="s">
        <v>174</v>
      </c>
      <c r="E1031" s="19" t="s">
        <v>91</v>
      </c>
      <c r="F1031" s="19" t="s">
        <v>138</v>
      </c>
      <c r="G1031" s="19" t="s">
        <v>6034</v>
      </c>
      <c r="H1031" s="19" t="s">
        <v>6035</v>
      </c>
      <c r="I1031" s="19" t="s">
        <v>6036</v>
      </c>
      <c r="J1031" s="19" t="n">
        <v>3351.22</v>
      </c>
      <c r="K1031" s="19" t="s">
        <v>713</v>
      </c>
      <c r="L1031" s="19"/>
      <c r="M1031" s="20" t="str">
        <f aca="false">IF(G1031&lt;&gt;"","PASS","FAIL - Missing UPC")</f>
        <v>PASS</v>
      </c>
      <c r="N1031" s="20" t="str">
        <f aca="false">IF(AND(G1031&lt;&gt;"",H1031&lt;&gt;""),IF("0"&amp;G1031=H1031,"PASS","FAIL - GTIN Mismatch"),"SKIP")</f>
        <v>PASS</v>
      </c>
      <c r="O1031" s="20" t="str">
        <f aca="false">IF(I1031="","FAIL - No Title",IF(LEN(I1031)&lt;=126,"PASS","FAIL - Title &gt;"&amp;126&amp;" chars"))</f>
        <v>PASS</v>
      </c>
      <c r="P1031" s="20" t="str">
        <f aca="false">IF(J1031&gt;0,IF(J1031&lt;5000,"PASS","FLAG - Review Price"),"FAIL - Zero Price")</f>
        <v>PASS</v>
      </c>
      <c r="Q1031" s="20" t="str">
        <f aca="false">IF('Raw Catalog'!P1029&lt;&gt;"","PASS","FAIL - No Image")</f>
        <v>PASS</v>
      </c>
      <c r="R1031" s="20" t="str">
        <f aca="false">IF(F1031&lt;&gt;"","PASS","FAIL - No Brand")</f>
        <v>PASS</v>
      </c>
      <c r="S1031" s="20" t="str">
        <f aca="true">IF(K1031="","FAIL - No Date",IF(TODAY()-DATEVALUE(K1031)&lt;=180,"PASS","FLAG - Stale &gt;180d"))</f>
        <v>FLAG - Stale &gt;180d</v>
      </c>
      <c r="T1031" s="20" t="n">
        <f aca="false">COUNTIF(M1031:S1031,"FAIL*")+COUNTIF(M1031:S1031,"FLAG*")</f>
        <v>1</v>
      </c>
      <c r="U1031" s="20" t="str">
        <f aca="false">IF(T1031=0,"CLEAN",IF(T1031=1,"MINOR",IF(T1031&lt;=3,"MODERATE","CRITICAL")))</f>
        <v>MINOR</v>
      </c>
      <c r="V1031" s="20" t="str">
        <f aca="false">IF(U1031="CLEAN","None",IF(U1031="MINOR","Seller Notify",IF(U1031="MODERATE","Listing Suspended","Immediate Removal")))</f>
        <v>Seller Notify</v>
      </c>
    </row>
    <row r="1032" customFormat="false" ht="18" hidden="false" customHeight="true" outlineLevel="0" collapsed="false">
      <c r="A1032" s="19" t="s">
        <v>7109</v>
      </c>
      <c r="B1032" s="19" t="s">
        <v>6037</v>
      </c>
      <c r="C1032" s="19" t="s">
        <v>63</v>
      </c>
      <c r="D1032" s="19" t="s">
        <v>64</v>
      </c>
      <c r="E1032" s="19" t="s">
        <v>65</v>
      </c>
      <c r="F1032" s="19" t="s">
        <v>390</v>
      </c>
      <c r="G1032" s="19" t="s">
        <v>6039</v>
      </c>
      <c r="H1032" s="19" t="s">
        <v>6040</v>
      </c>
      <c r="I1032" s="19" t="s">
        <v>1469</v>
      </c>
      <c r="J1032" s="19" t="n">
        <v>419.78</v>
      </c>
      <c r="K1032" s="19" t="s">
        <v>1195</v>
      </c>
      <c r="L1032" s="19"/>
      <c r="M1032" s="20" t="str">
        <f aca="false">IF(G1032&lt;&gt;"","PASS","FAIL - Missing UPC")</f>
        <v>PASS</v>
      </c>
      <c r="N1032" s="20" t="str">
        <f aca="false">IF(AND(G1032&lt;&gt;"",H1032&lt;&gt;""),IF("0"&amp;G1032=H1032,"PASS","FAIL - GTIN Mismatch"),"SKIP")</f>
        <v>PASS</v>
      </c>
      <c r="O1032" s="20" t="str">
        <f aca="false">IF(I1032="","FAIL - No Title",IF(LEN(I1032)&lt;=126,"PASS","FAIL - Title &gt;"&amp;126&amp;" chars"))</f>
        <v>PASS</v>
      </c>
      <c r="P1032" s="20" t="str">
        <f aca="false">IF(J1032&gt;0,IF(J1032&lt;5000,"PASS","FLAG - Review Price"),"FAIL - Zero Price")</f>
        <v>PASS</v>
      </c>
      <c r="Q1032" s="20" t="str">
        <f aca="false">IF('Raw Catalog'!P1030&lt;&gt;"","PASS","FAIL - No Image")</f>
        <v>PASS</v>
      </c>
      <c r="R1032" s="20" t="str">
        <f aca="false">IF(F1032&lt;&gt;"","PASS","FAIL - No Brand")</f>
        <v>PASS</v>
      </c>
      <c r="S1032" s="20" t="str">
        <f aca="true">IF(K1032="","FAIL - No Date",IF(TODAY()-DATEVALUE(K1032)&lt;=180,"PASS","FLAG - Stale &gt;180d"))</f>
        <v>FLAG - Stale &gt;180d</v>
      </c>
      <c r="T1032" s="20" t="n">
        <f aca="false">COUNTIF(M1032:S1032,"FAIL*")+COUNTIF(M1032:S1032,"FLAG*")</f>
        <v>1</v>
      </c>
      <c r="U1032" s="20" t="str">
        <f aca="false">IF(T1032=0,"CLEAN",IF(T1032=1,"MINOR",IF(T1032&lt;=3,"MODERATE","CRITICAL")))</f>
        <v>MINOR</v>
      </c>
      <c r="V1032" s="20" t="str">
        <f aca="false">IF(U1032="CLEAN","None",IF(U1032="MINOR","Seller Notify",IF(U1032="MODERATE","Listing Suspended","Immediate Removal")))</f>
        <v>Seller Notify</v>
      </c>
    </row>
    <row r="1033" customFormat="false" ht="18" hidden="false" customHeight="true" outlineLevel="0" collapsed="false">
      <c r="A1033" s="19" t="s">
        <v>7110</v>
      </c>
      <c r="B1033" s="19" t="s">
        <v>6041</v>
      </c>
      <c r="C1033" s="19" t="s">
        <v>48</v>
      </c>
      <c r="D1033" s="19" t="s">
        <v>49</v>
      </c>
      <c r="E1033" s="19" t="s">
        <v>65</v>
      </c>
      <c r="F1033" s="19" t="s">
        <v>371</v>
      </c>
      <c r="G1033" s="19" t="s">
        <v>6043</v>
      </c>
      <c r="H1033" s="19" t="s">
        <v>6044</v>
      </c>
      <c r="I1033" s="19" t="s">
        <v>6045</v>
      </c>
      <c r="J1033" s="19" t="n">
        <v>250.01</v>
      </c>
      <c r="K1033" s="19" t="s">
        <v>1459</v>
      </c>
      <c r="L1033" s="19"/>
      <c r="M1033" s="20" t="str">
        <f aca="false">IF(G1033&lt;&gt;"","PASS","FAIL - Missing UPC")</f>
        <v>PASS</v>
      </c>
      <c r="N1033" s="20" t="str">
        <f aca="false">IF(AND(G1033&lt;&gt;"",H1033&lt;&gt;""),IF("0"&amp;G1033=H1033,"PASS","FAIL - GTIN Mismatch"),"SKIP")</f>
        <v>PASS</v>
      </c>
      <c r="O1033" s="20" t="str">
        <f aca="false">IF(I1033="","FAIL - No Title",IF(LEN(I1033)&lt;=126,"PASS","FAIL - Title &gt;"&amp;126&amp;" chars"))</f>
        <v>PASS</v>
      </c>
      <c r="P1033" s="20" t="str">
        <f aca="false">IF(J1033&gt;0,IF(J1033&lt;5000,"PASS","FLAG - Review Price"),"FAIL - Zero Price")</f>
        <v>PASS</v>
      </c>
      <c r="Q1033" s="20" t="str">
        <f aca="false">IF('Raw Catalog'!P1031&lt;&gt;"","PASS","FAIL - No Image")</f>
        <v>PASS</v>
      </c>
      <c r="R1033" s="20" t="str">
        <f aca="false">IF(F1033&lt;&gt;"","PASS","FAIL - No Brand")</f>
        <v>PASS</v>
      </c>
      <c r="S1033" s="20" t="str">
        <f aca="true">IF(K1033="","FAIL - No Date",IF(TODAY()-DATEVALUE(K1033)&lt;=180,"PASS","FLAG - Stale &gt;180d"))</f>
        <v>FLAG - Stale &gt;180d</v>
      </c>
      <c r="T1033" s="20" t="n">
        <f aca="false">COUNTIF(M1033:S1033,"FAIL*")+COUNTIF(M1033:S1033,"FLAG*")</f>
        <v>1</v>
      </c>
      <c r="U1033" s="20" t="str">
        <f aca="false">IF(T1033=0,"CLEAN",IF(T1033=1,"MINOR",IF(T1033&lt;=3,"MODERATE","CRITICAL")))</f>
        <v>MINOR</v>
      </c>
      <c r="V1033" s="20" t="str">
        <f aca="false">IF(U1033="CLEAN","None",IF(U1033="MINOR","Seller Notify",IF(U1033="MODERATE","Listing Suspended","Immediate Removal")))</f>
        <v>Seller Notify</v>
      </c>
    </row>
    <row r="1034" customFormat="false" ht="18" hidden="false" customHeight="true" outlineLevel="0" collapsed="false">
      <c r="A1034" s="19" t="s">
        <v>7111</v>
      </c>
      <c r="B1034" s="19" t="s">
        <v>3735</v>
      </c>
      <c r="C1034" s="19" t="s">
        <v>77</v>
      </c>
      <c r="D1034" s="19" t="s">
        <v>78</v>
      </c>
      <c r="E1034" s="19" t="s">
        <v>65</v>
      </c>
      <c r="F1034" s="19" t="s">
        <v>390</v>
      </c>
      <c r="G1034" s="19" t="s">
        <v>3737</v>
      </c>
      <c r="H1034" s="19" t="s">
        <v>3738</v>
      </c>
      <c r="I1034" s="19" t="s">
        <v>3739</v>
      </c>
      <c r="J1034" s="19" t="n">
        <v>334.07</v>
      </c>
      <c r="K1034" s="19" t="s">
        <v>2268</v>
      </c>
      <c r="L1034" s="21" t="s">
        <v>283</v>
      </c>
      <c r="M1034" s="20" t="str">
        <f aca="false">IF(G1034&lt;&gt;"","PASS","FAIL - Missing UPC")</f>
        <v>PASS</v>
      </c>
      <c r="N1034" s="20" t="str">
        <f aca="false">IF(AND(G1034&lt;&gt;"",H1034&lt;&gt;""),IF("0"&amp;G1034=H1034,"PASS","FAIL - GTIN Mismatch"),"SKIP")</f>
        <v>PASS</v>
      </c>
      <c r="O1034" s="20" t="str">
        <f aca="false">IF(I1034="","FAIL - No Title",IF(LEN(I1034)&lt;=126,"PASS","FAIL - Title &gt;"&amp;126&amp;" chars"))</f>
        <v>PASS</v>
      </c>
      <c r="P1034" s="20" t="str">
        <f aca="false">IF(J1034&gt;0,IF(J1034&lt;5000,"PASS","FLAG - Review Price"),"FAIL - Zero Price")</f>
        <v>PASS</v>
      </c>
      <c r="Q1034" s="20" t="str">
        <f aca="false">IF('Raw Catalog'!P1032&lt;&gt;"","PASS","FAIL - No Image")</f>
        <v>PASS</v>
      </c>
      <c r="R1034" s="20" t="str">
        <f aca="false">IF(F1034&lt;&gt;"","PASS","FAIL - No Brand")</f>
        <v>PASS</v>
      </c>
      <c r="S1034" s="20" t="str">
        <f aca="true">IF(K1034="","FAIL - No Date",IF(TODAY()-DATEVALUE(K1034)&lt;=180,"PASS","FLAG - Stale &gt;180d"))</f>
        <v>FLAG - Stale &gt;180d</v>
      </c>
      <c r="T1034" s="20" t="n">
        <f aca="false">COUNTIF(M1034:S1034,"FAIL*")+COUNTIF(M1034:S1034,"FLAG*")</f>
        <v>1</v>
      </c>
      <c r="U1034" s="20" t="str">
        <f aca="false">IF(T1034=0,"CLEAN",IF(T1034=1,"MINOR",IF(T1034&lt;=3,"MODERATE","CRITICAL")))</f>
        <v>MINOR</v>
      </c>
      <c r="V1034" s="20" t="str">
        <f aca="false">IF(U1034="CLEAN","None",IF(U1034="MINOR","Seller Notify",IF(U1034="MODERATE","Listing Suspended","Immediate Removal")))</f>
        <v>Seller Notify</v>
      </c>
    </row>
    <row r="1035" customFormat="false" ht="18" hidden="false" customHeight="true" outlineLevel="0" collapsed="false">
      <c r="A1035" s="19" t="s">
        <v>7112</v>
      </c>
      <c r="B1035" s="19" t="s">
        <v>6046</v>
      </c>
      <c r="C1035" s="19" t="s">
        <v>48</v>
      </c>
      <c r="D1035" s="19" t="s">
        <v>49</v>
      </c>
      <c r="E1035" s="19" t="s">
        <v>161</v>
      </c>
      <c r="F1035" s="19" t="s">
        <v>51</v>
      </c>
      <c r="G1035" s="19" t="s">
        <v>6048</v>
      </c>
      <c r="H1035" s="19" t="s">
        <v>6049</v>
      </c>
      <c r="I1035" s="19" t="s">
        <v>4621</v>
      </c>
      <c r="J1035" s="19" t="n">
        <v>178.12</v>
      </c>
      <c r="K1035" s="19" t="s">
        <v>3080</v>
      </c>
      <c r="L1035" s="19"/>
      <c r="M1035" s="20" t="str">
        <f aca="false">IF(G1035&lt;&gt;"","PASS","FAIL - Missing UPC")</f>
        <v>PASS</v>
      </c>
      <c r="N1035" s="20" t="str">
        <f aca="false">IF(AND(G1035&lt;&gt;"",H1035&lt;&gt;""),IF("0"&amp;G1035=H1035,"PASS","FAIL - GTIN Mismatch"),"SKIP")</f>
        <v>PASS</v>
      </c>
      <c r="O1035" s="20" t="str">
        <f aca="false">IF(I1035="","FAIL - No Title",IF(LEN(I1035)&lt;=126,"PASS","FAIL - Title &gt;"&amp;126&amp;" chars"))</f>
        <v>PASS</v>
      </c>
      <c r="P1035" s="20" t="str">
        <f aca="false">IF(J1035&gt;0,IF(J1035&lt;5000,"PASS","FLAG - Review Price"),"FAIL - Zero Price")</f>
        <v>PASS</v>
      </c>
      <c r="Q1035" s="20" t="str">
        <f aca="false">IF('Raw Catalog'!P1033&lt;&gt;"","PASS","FAIL - No Image")</f>
        <v>PASS</v>
      </c>
      <c r="R1035" s="20" t="str">
        <f aca="false">IF(F1035&lt;&gt;"","PASS","FAIL - No Brand")</f>
        <v>PASS</v>
      </c>
      <c r="S1035" s="20" t="str">
        <f aca="true">IF(K1035="","FAIL - No Date",IF(TODAY()-DATEVALUE(K1035)&lt;=180,"PASS","FLAG - Stale &gt;180d"))</f>
        <v>FLAG - Stale &gt;180d</v>
      </c>
      <c r="T1035" s="20" t="n">
        <f aca="false">COUNTIF(M1035:S1035,"FAIL*")+COUNTIF(M1035:S1035,"FLAG*")</f>
        <v>1</v>
      </c>
      <c r="U1035" s="20" t="str">
        <f aca="false">IF(T1035=0,"CLEAN",IF(T1035=1,"MINOR",IF(T1035&lt;=3,"MODERATE","CRITICAL")))</f>
        <v>MINOR</v>
      </c>
      <c r="V1035" s="20" t="str">
        <f aca="false">IF(U1035="CLEAN","None",IF(U1035="MINOR","Seller Notify",IF(U1035="MODERATE","Listing Suspended","Immediate Removal")))</f>
        <v>Seller Notify</v>
      </c>
    </row>
    <row r="1036" customFormat="false" ht="18" hidden="false" customHeight="true" outlineLevel="0" collapsed="false">
      <c r="A1036" s="19" t="s">
        <v>7113</v>
      </c>
      <c r="B1036" s="19" t="s">
        <v>6050</v>
      </c>
      <c r="C1036" s="19" t="s">
        <v>125</v>
      </c>
      <c r="D1036" s="19" t="s">
        <v>126</v>
      </c>
      <c r="E1036" s="19" t="s">
        <v>161</v>
      </c>
      <c r="F1036" s="19" t="s">
        <v>51</v>
      </c>
      <c r="G1036" s="19" t="s">
        <v>6052</v>
      </c>
      <c r="H1036" s="19" t="s">
        <v>6053</v>
      </c>
      <c r="I1036" s="19" t="s">
        <v>6054</v>
      </c>
      <c r="J1036" s="19" t="n">
        <v>292.61</v>
      </c>
      <c r="K1036" s="19" t="s">
        <v>585</v>
      </c>
      <c r="L1036" s="19"/>
      <c r="M1036" s="20" t="str">
        <f aca="false">IF(G1036&lt;&gt;"","PASS","FAIL - Missing UPC")</f>
        <v>PASS</v>
      </c>
      <c r="N1036" s="20" t="str">
        <f aca="false">IF(AND(G1036&lt;&gt;"",H1036&lt;&gt;""),IF("0"&amp;G1036=H1036,"PASS","FAIL - GTIN Mismatch"),"SKIP")</f>
        <v>PASS</v>
      </c>
      <c r="O1036" s="20" t="str">
        <f aca="false">IF(I1036="","FAIL - No Title",IF(LEN(I1036)&lt;=126,"PASS","FAIL - Title &gt;"&amp;126&amp;" chars"))</f>
        <v>PASS</v>
      </c>
      <c r="P1036" s="20" t="str">
        <f aca="false">IF(J1036&gt;0,IF(J1036&lt;5000,"PASS","FLAG - Review Price"),"FAIL - Zero Price")</f>
        <v>PASS</v>
      </c>
      <c r="Q1036" s="20" t="str">
        <f aca="false">IF('Raw Catalog'!P1034&lt;&gt;"","PASS","FAIL - No Image")</f>
        <v>PASS</v>
      </c>
      <c r="R1036" s="20" t="str">
        <f aca="false">IF(F1036&lt;&gt;"","PASS","FAIL - No Brand")</f>
        <v>PASS</v>
      </c>
      <c r="S1036" s="20" t="str">
        <f aca="true">IF(K1036="","FAIL - No Date",IF(TODAY()-DATEVALUE(K1036)&lt;=180,"PASS","FLAG - Stale &gt;180d"))</f>
        <v>FLAG - Stale &gt;180d</v>
      </c>
      <c r="T1036" s="20" t="n">
        <f aca="false">COUNTIF(M1036:S1036,"FAIL*")+COUNTIF(M1036:S1036,"FLAG*")</f>
        <v>1</v>
      </c>
      <c r="U1036" s="20" t="str">
        <f aca="false">IF(T1036=0,"CLEAN",IF(T1036=1,"MINOR",IF(T1036&lt;=3,"MODERATE","CRITICAL")))</f>
        <v>MINOR</v>
      </c>
      <c r="V1036" s="20" t="str">
        <f aca="false">IF(U1036="CLEAN","None",IF(U1036="MINOR","Seller Notify",IF(U1036="MODERATE","Listing Suspended","Immediate Removal")))</f>
        <v>Seller Notify</v>
      </c>
    </row>
    <row r="1037" customFormat="false" ht="18" hidden="false" customHeight="true" outlineLevel="0" collapsed="false">
      <c r="A1037" s="19" t="s">
        <v>7114</v>
      </c>
      <c r="B1037" s="19" t="s">
        <v>6056</v>
      </c>
      <c r="C1037" s="19" t="s">
        <v>113</v>
      </c>
      <c r="D1037" s="19" t="s">
        <v>114</v>
      </c>
      <c r="E1037" s="19" t="s">
        <v>65</v>
      </c>
      <c r="F1037" s="19" t="s">
        <v>227</v>
      </c>
      <c r="G1037" s="19" t="s">
        <v>6058</v>
      </c>
      <c r="H1037" s="19" t="s">
        <v>6059</v>
      </c>
      <c r="I1037" s="19" t="s">
        <v>278</v>
      </c>
      <c r="J1037" s="19" t="n">
        <v>62.09</v>
      </c>
      <c r="K1037" s="19" t="s">
        <v>2366</v>
      </c>
      <c r="L1037" s="21" t="s">
        <v>243</v>
      </c>
      <c r="M1037" s="20" t="str">
        <f aca="false">IF(G1037&lt;&gt;"","PASS","FAIL - Missing UPC")</f>
        <v>PASS</v>
      </c>
      <c r="N1037" s="20" t="str">
        <f aca="false">IF(AND(G1037&lt;&gt;"",H1037&lt;&gt;""),IF("0"&amp;G1037=H1037,"PASS","FAIL - GTIN Mismatch"),"SKIP")</f>
        <v>FAIL - GTIN Mismatch</v>
      </c>
      <c r="O1037" s="20" t="str">
        <f aca="false">IF(I1037="","FAIL - No Title",IF(LEN(I1037)&lt;=126,"PASS","FAIL - Title &gt;"&amp;126&amp;" chars"))</f>
        <v>PASS</v>
      </c>
      <c r="P1037" s="20" t="str">
        <f aca="false">IF(J1037&gt;0,IF(J1037&lt;5000,"PASS","FLAG - Review Price"),"FAIL - Zero Price")</f>
        <v>PASS</v>
      </c>
      <c r="Q1037" s="20" t="str">
        <f aca="false">IF('Raw Catalog'!P1035&lt;&gt;"","PASS","FAIL - No Image")</f>
        <v>PASS</v>
      </c>
      <c r="R1037" s="20" t="str">
        <f aca="false">IF(F1037&lt;&gt;"","PASS","FAIL - No Brand")</f>
        <v>PASS</v>
      </c>
      <c r="S1037" s="20" t="str">
        <f aca="true">IF(K1037="","FAIL - No Date",IF(TODAY()-DATEVALUE(K1037)&lt;=180,"PASS","FLAG - Stale &gt;180d"))</f>
        <v>FLAG - Stale &gt;180d</v>
      </c>
      <c r="T1037" s="20" t="n">
        <f aca="false">COUNTIF(M1037:S1037,"FAIL*")+COUNTIF(M1037:S1037,"FLAG*")</f>
        <v>2</v>
      </c>
      <c r="U1037" s="20" t="str">
        <f aca="false">IF(T1037=0,"CLEAN",IF(T1037=1,"MINOR",IF(T1037&lt;=3,"MODERATE","CRITICAL")))</f>
        <v>MODERATE</v>
      </c>
      <c r="V1037" s="20" t="str">
        <f aca="false">IF(U1037="CLEAN","None",IF(U1037="MINOR","Seller Notify",IF(U1037="MODERATE","Listing Suspended","Immediate Removal")))</f>
        <v>Listing Suspended</v>
      </c>
    </row>
    <row r="1038" customFormat="false" ht="18" hidden="false" customHeight="true" outlineLevel="0" collapsed="false">
      <c r="A1038" s="19" t="s">
        <v>7115</v>
      </c>
      <c r="B1038" s="19" t="s">
        <v>2516</v>
      </c>
      <c r="C1038" s="19" t="s">
        <v>77</v>
      </c>
      <c r="D1038" s="19" t="s">
        <v>78</v>
      </c>
      <c r="E1038" s="19" t="s">
        <v>50</v>
      </c>
      <c r="F1038" s="19" t="s">
        <v>503</v>
      </c>
      <c r="G1038" s="19" t="s">
        <v>2518</v>
      </c>
      <c r="H1038" s="19" t="s">
        <v>2519</v>
      </c>
      <c r="I1038" s="19" t="s">
        <v>2520</v>
      </c>
      <c r="J1038" s="19" t="n">
        <v>435.89</v>
      </c>
      <c r="K1038" s="19" t="s">
        <v>2305</v>
      </c>
      <c r="L1038" s="19"/>
      <c r="M1038" s="20" t="str">
        <f aca="false">IF(G1038&lt;&gt;"","PASS","FAIL - Missing UPC")</f>
        <v>PASS</v>
      </c>
      <c r="N1038" s="20" t="str">
        <f aca="false">IF(AND(G1038&lt;&gt;"",H1038&lt;&gt;""),IF("0"&amp;G1038=H1038,"PASS","FAIL - GTIN Mismatch"),"SKIP")</f>
        <v>PASS</v>
      </c>
      <c r="O1038" s="20" t="str">
        <f aca="false">IF(I1038="","FAIL - No Title",IF(LEN(I1038)&lt;=126,"PASS","FAIL - Title &gt;"&amp;126&amp;" chars"))</f>
        <v>PASS</v>
      </c>
      <c r="P1038" s="20" t="str">
        <f aca="false">IF(J1038&gt;0,IF(J1038&lt;5000,"PASS","FLAG - Review Price"),"FAIL - Zero Price")</f>
        <v>PASS</v>
      </c>
      <c r="Q1038" s="20" t="str">
        <f aca="false">IF('Raw Catalog'!P1036&lt;&gt;"","PASS","FAIL - No Image")</f>
        <v>PASS</v>
      </c>
      <c r="R1038" s="20" t="str">
        <f aca="false">IF(F1038&lt;&gt;"","PASS","FAIL - No Brand")</f>
        <v>PASS</v>
      </c>
      <c r="S1038" s="20" t="str">
        <f aca="true">IF(K1038="","FAIL - No Date",IF(TODAY()-DATEVALUE(K1038)&lt;=180,"PASS","FLAG - Stale &gt;180d"))</f>
        <v>FLAG - Stale &gt;180d</v>
      </c>
      <c r="T1038" s="20" t="n">
        <f aca="false">COUNTIF(M1038:S1038,"FAIL*")+COUNTIF(M1038:S1038,"FLAG*")</f>
        <v>1</v>
      </c>
      <c r="U1038" s="20" t="str">
        <f aca="false">IF(T1038=0,"CLEAN",IF(T1038=1,"MINOR",IF(T1038&lt;=3,"MODERATE","CRITICAL")))</f>
        <v>MINOR</v>
      </c>
      <c r="V1038" s="20" t="str">
        <f aca="false">IF(U1038="CLEAN","None",IF(U1038="MINOR","Seller Notify",IF(U1038="MODERATE","Listing Suspended","Immediate Removal")))</f>
        <v>Seller Notify</v>
      </c>
    </row>
    <row r="1039" customFormat="false" ht="18" hidden="false" customHeight="true" outlineLevel="0" collapsed="false">
      <c r="A1039" s="19" t="s">
        <v>7116</v>
      </c>
      <c r="B1039" s="19" t="s">
        <v>6060</v>
      </c>
      <c r="C1039" s="19" t="s">
        <v>113</v>
      </c>
      <c r="D1039" s="19" t="s">
        <v>114</v>
      </c>
      <c r="E1039" s="19" t="s">
        <v>65</v>
      </c>
      <c r="F1039" s="19" t="s">
        <v>227</v>
      </c>
      <c r="G1039" s="19" t="s">
        <v>6062</v>
      </c>
      <c r="H1039" s="19" t="s">
        <v>6063</v>
      </c>
      <c r="I1039" s="19" t="s">
        <v>1926</v>
      </c>
      <c r="J1039" s="19" t="n">
        <v>105.4</v>
      </c>
      <c r="K1039" s="19" t="s">
        <v>585</v>
      </c>
      <c r="L1039" s="19"/>
      <c r="M1039" s="20" t="str">
        <f aca="false">IF(G1039&lt;&gt;"","PASS","FAIL - Missing UPC")</f>
        <v>PASS</v>
      </c>
      <c r="N1039" s="20" t="str">
        <f aca="false">IF(AND(G1039&lt;&gt;"",H1039&lt;&gt;""),IF("0"&amp;G1039=H1039,"PASS","FAIL - GTIN Mismatch"),"SKIP")</f>
        <v>PASS</v>
      </c>
      <c r="O1039" s="20" t="str">
        <f aca="false">IF(I1039="","FAIL - No Title",IF(LEN(I1039)&lt;=126,"PASS","FAIL - Title &gt;"&amp;126&amp;" chars"))</f>
        <v>PASS</v>
      </c>
      <c r="P1039" s="20" t="str">
        <f aca="false">IF(J1039&gt;0,IF(J1039&lt;5000,"PASS","FLAG - Review Price"),"FAIL - Zero Price")</f>
        <v>PASS</v>
      </c>
      <c r="Q1039" s="20" t="str">
        <f aca="false">IF('Raw Catalog'!P1037&lt;&gt;"","PASS","FAIL - No Image")</f>
        <v>PASS</v>
      </c>
      <c r="R1039" s="20" t="str">
        <f aca="false">IF(F1039&lt;&gt;"","PASS","FAIL - No Brand")</f>
        <v>PASS</v>
      </c>
      <c r="S1039" s="20" t="str">
        <f aca="true">IF(K1039="","FAIL - No Date",IF(TODAY()-DATEVALUE(K1039)&lt;=180,"PASS","FLAG - Stale &gt;180d"))</f>
        <v>FLAG - Stale &gt;180d</v>
      </c>
      <c r="T1039" s="20" t="n">
        <f aca="false">COUNTIF(M1039:S1039,"FAIL*")+COUNTIF(M1039:S1039,"FLAG*")</f>
        <v>1</v>
      </c>
      <c r="U1039" s="20" t="str">
        <f aca="false">IF(T1039=0,"CLEAN",IF(T1039=1,"MINOR",IF(T1039&lt;=3,"MODERATE","CRITICAL")))</f>
        <v>MINOR</v>
      </c>
      <c r="V1039" s="20" t="str">
        <f aca="false">IF(U1039="CLEAN","None",IF(U1039="MINOR","Seller Notify",IF(U1039="MODERATE","Listing Suspended","Immediate Removal")))</f>
        <v>Seller Notify</v>
      </c>
    </row>
    <row r="1040" customFormat="false" ht="18" hidden="false" customHeight="true" outlineLevel="0" collapsed="false">
      <c r="A1040" s="19" t="s">
        <v>7117</v>
      </c>
      <c r="B1040" s="19" t="s">
        <v>2093</v>
      </c>
      <c r="C1040" s="19" t="s">
        <v>48</v>
      </c>
      <c r="D1040" s="19" t="s">
        <v>49</v>
      </c>
      <c r="E1040" s="19" t="s">
        <v>79</v>
      </c>
      <c r="F1040" s="19" t="s">
        <v>127</v>
      </c>
      <c r="G1040" s="19" t="s">
        <v>2095</v>
      </c>
      <c r="H1040" s="19" t="s">
        <v>2096</v>
      </c>
      <c r="I1040" s="19" t="s">
        <v>1648</v>
      </c>
      <c r="J1040" s="19" t="n">
        <v>1570.35</v>
      </c>
      <c r="K1040" s="19" t="s">
        <v>1899</v>
      </c>
      <c r="L1040" s="21" t="s">
        <v>283</v>
      </c>
      <c r="M1040" s="20" t="str">
        <f aca="false">IF(G1040&lt;&gt;"","PASS","FAIL - Missing UPC")</f>
        <v>PASS</v>
      </c>
      <c r="N1040" s="20" t="str">
        <f aca="false">IF(AND(G1040&lt;&gt;"",H1040&lt;&gt;""),IF("0"&amp;G1040=H1040,"PASS","FAIL - GTIN Mismatch"),"SKIP")</f>
        <v>PASS</v>
      </c>
      <c r="O1040" s="20" t="str">
        <f aca="false">IF(I1040="","FAIL - No Title",IF(LEN(I1040)&lt;=126,"PASS","FAIL - Title &gt;"&amp;126&amp;" chars"))</f>
        <v>PASS</v>
      </c>
      <c r="P1040" s="20" t="str">
        <f aca="false">IF(J1040&gt;0,IF(J1040&lt;5000,"PASS","FLAG - Review Price"),"FAIL - Zero Price")</f>
        <v>PASS</v>
      </c>
      <c r="Q1040" s="20" t="str">
        <f aca="false">IF('Raw Catalog'!P1038&lt;&gt;"","PASS","FAIL - No Image")</f>
        <v>PASS</v>
      </c>
      <c r="R1040" s="20" t="str">
        <f aca="false">IF(F1040&lt;&gt;"","PASS","FAIL - No Brand")</f>
        <v>PASS</v>
      </c>
      <c r="S1040" s="20" t="str">
        <f aca="true">IF(K1040="","FAIL - No Date",IF(TODAY()-DATEVALUE(K1040)&lt;=180,"PASS","FLAG - Stale &gt;180d"))</f>
        <v>FLAG - Stale &gt;180d</v>
      </c>
      <c r="T1040" s="20" t="n">
        <f aca="false">COUNTIF(M1040:S1040,"FAIL*")+COUNTIF(M1040:S1040,"FLAG*")</f>
        <v>1</v>
      </c>
      <c r="U1040" s="20" t="str">
        <f aca="false">IF(T1040=0,"CLEAN",IF(T1040=1,"MINOR",IF(T1040&lt;=3,"MODERATE","CRITICAL")))</f>
        <v>MINOR</v>
      </c>
      <c r="V1040" s="20" t="str">
        <f aca="false">IF(U1040="CLEAN","None",IF(U1040="MINOR","Seller Notify",IF(U1040="MODERATE","Listing Suspended","Immediate Removal")))</f>
        <v>Seller Notify</v>
      </c>
    </row>
    <row r="1041" customFormat="false" ht="18" hidden="false" customHeight="true" outlineLevel="0" collapsed="false">
      <c r="A1041" s="19" t="s">
        <v>7118</v>
      </c>
      <c r="B1041" s="19" t="s">
        <v>3713</v>
      </c>
      <c r="C1041" s="19" t="s">
        <v>63</v>
      </c>
      <c r="D1041" s="19" t="s">
        <v>64</v>
      </c>
      <c r="E1041" s="19" t="s">
        <v>50</v>
      </c>
      <c r="F1041" s="19" t="s">
        <v>115</v>
      </c>
      <c r="G1041" s="19" t="s">
        <v>3715</v>
      </c>
      <c r="H1041" s="19" t="s">
        <v>3716</v>
      </c>
      <c r="I1041" s="19" t="s">
        <v>2338</v>
      </c>
      <c r="J1041" s="19" t="n">
        <v>1038.12</v>
      </c>
      <c r="K1041" s="19" t="s">
        <v>2006</v>
      </c>
      <c r="L1041" s="19"/>
      <c r="M1041" s="20" t="str">
        <f aca="false">IF(G1041&lt;&gt;"","PASS","FAIL - Missing UPC")</f>
        <v>PASS</v>
      </c>
      <c r="N1041" s="20" t="str">
        <f aca="false">IF(AND(G1041&lt;&gt;"",H1041&lt;&gt;""),IF("0"&amp;G1041=H1041,"PASS","FAIL - GTIN Mismatch"),"SKIP")</f>
        <v>PASS</v>
      </c>
      <c r="O1041" s="20" t="str">
        <f aca="false">IF(I1041="","FAIL - No Title",IF(LEN(I1041)&lt;=126,"PASS","FAIL - Title &gt;"&amp;126&amp;" chars"))</f>
        <v>PASS</v>
      </c>
      <c r="P1041" s="20" t="str">
        <f aca="false">IF(J1041&gt;0,IF(J1041&lt;5000,"PASS","FLAG - Review Price"),"FAIL - Zero Price")</f>
        <v>PASS</v>
      </c>
      <c r="Q1041" s="20" t="str">
        <f aca="false">IF('Raw Catalog'!P1039&lt;&gt;"","PASS","FAIL - No Image")</f>
        <v>PASS</v>
      </c>
      <c r="R1041" s="20" t="str">
        <f aca="false">IF(F1041&lt;&gt;"","PASS","FAIL - No Brand")</f>
        <v>PASS</v>
      </c>
      <c r="S1041" s="20" t="str">
        <f aca="true">IF(K1041="","FAIL - No Date",IF(TODAY()-DATEVALUE(K1041)&lt;=180,"PASS","FLAG - Stale &gt;180d"))</f>
        <v>FLAG - Stale &gt;180d</v>
      </c>
      <c r="T1041" s="20" t="n">
        <f aca="false">COUNTIF(M1041:S1041,"FAIL*")+COUNTIF(M1041:S1041,"FLAG*")</f>
        <v>1</v>
      </c>
      <c r="U1041" s="20" t="str">
        <f aca="false">IF(T1041=0,"CLEAN",IF(T1041=1,"MINOR",IF(T1041&lt;=3,"MODERATE","CRITICAL")))</f>
        <v>MINOR</v>
      </c>
      <c r="V1041" s="20" t="str">
        <f aca="false">IF(U1041="CLEAN","None",IF(U1041="MINOR","Seller Notify",IF(U1041="MODERATE","Listing Suspended","Immediate Removal")))</f>
        <v>Seller Notify</v>
      </c>
    </row>
    <row r="1042" customFormat="false" ht="18" hidden="false" customHeight="true" outlineLevel="0" collapsed="false">
      <c r="A1042" s="19" t="s">
        <v>7119</v>
      </c>
      <c r="B1042" s="19" t="s">
        <v>6064</v>
      </c>
      <c r="C1042" s="19" t="s">
        <v>113</v>
      </c>
      <c r="D1042" s="19" t="s">
        <v>114</v>
      </c>
      <c r="E1042" s="19" t="s">
        <v>50</v>
      </c>
      <c r="F1042" s="19" t="s">
        <v>503</v>
      </c>
      <c r="G1042" s="19" t="s">
        <v>6066</v>
      </c>
      <c r="H1042" s="19" t="s">
        <v>6067</v>
      </c>
      <c r="I1042" s="19" t="s">
        <v>5481</v>
      </c>
      <c r="J1042" s="19" t="n">
        <v>661.96</v>
      </c>
      <c r="K1042" s="19" t="s">
        <v>205</v>
      </c>
      <c r="L1042" s="19"/>
      <c r="M1042" s="20" t="str">
        <f aca="false">IF(G1042&lt;&gt;"","PASS","FAIL - Missing UPC")</f>
        <v>PASS</v>
      </c>
      <c r="N1042" s="20" t="str">
        <f aca="false">IF(AND(G1042&lt;&gt;"",H1042&lt;&gt;""),IF("0"&amp;G1042=H1042,"PASS","FAIL - GTIN Mismatch"),"SKIP")</f>
        <v>PASS</v>
      </c>
      <c r="O1042" s="20" t="str">
        <f aca="false">IF(I1042="","FAIL - No Title",IF(LEN(I1042)&lt;=126,"PASS","FAIL - Title &gt;"&amp;126&amp;" chars"))</f>
        <v>PASS</v>
      </c>
      <c r="P1042" s="20" t="str">
        <f aca="false">IF(J1042&gt;0,IF(J1042&lt;5000,"PASS","FLAG - Review Price"),"FAIL - Zero Price")</f>
        <v>PASS</v>
      </c>
      <c r="Q1042" s="20" t="str">
        <f aca="false">IF('Raw Catalog'!P1040&lt;&gt;"","PASS","FAIL - No Image")</f>
        <v>PASS</v>
      </c>
      <c r="R1042" s="20" t="str">
        <f aca="false">IF(F1042&lt;&gt;"","PASS","FAIL - No Brand")</f>
        <v>PASS</v>
      </c>
      <c r="S1042" s="20" t="str">
        <f aca="true">IF(K1042="","FAIL - No Date",IF(TODAY()-DATEVALUE(K1042)&lt;=180,"PASS","FLAG - Stale &gt;180d"))</f>
        <v>FLAG - Stale &gt;180d</v>
      </c>
      <c r="T1042" s="20" t="n">
        <f aca="false">COUNTIF(M1042:S1042,"FAIL*")+COUNTIF(M1042:S1042,"FLAG*")</f>
        <v>1</v>
      </c>
      <c r="U1042" s="20" t="str">
        <f aca="false">IF(T1042=0,"CLEAN",IF(T1042=1,"MINOR",IF(T1042&lt;=3,"MODERATE","CRITICAL")))</f>
        <v>MINOR</v>
      </c>
      <c r="V1042" s="20" t="str">
        <f aca="false">IF(U1042="CLEAN","None",IF(U1042="MINOR","Seller Notify",IF(U1042="MODERATE","Listing Suspended","Immediate Removal")))</f>
        <v>Seller Notify</v>
      </c>
    </row>
    <row r="1043" customFormat="false" ht="18" hidden="false" customHeight="true" outlineLevel="0" collapsed="false">
      <c r="A1043" s="19" t="s">
        <v>7120</v>
      </c>
      <c r="B1043" s="19" t="s">
        <v>6068</v>
      </c>
      <c r="C1043" s="19" t="s">
        <v>63</v>
      </c>
      <c r="D1043" s="19" t="s">
        <v>64</v>
      </c>
      <c r="E1043" s="19" t="s">
        <v>50</v>
      </c>
      <c r="F1043" s="19" t="s">
        <v>115</v>
      </c>
      <c r="G1043" s="19" t="s">
        <v>6070</v>
      </c>
      <c r="H1043" s="19" t="s">
        <v>6071</v>
      </c>
      <c r="I1043" s="19" t="s">
        <v>3491</v>
      </c>
      <c r="J1043" s="19" t="n">
        <v>433.5</v>
      </c>
      <c r="K1043" s="19" t="s">
        <v>2527</v>
      </c>
      <c r="L1043" s="19"/>
      <c r="M1043" s="20" t="str">
        <f aca="false">IF(G1043&lt;&gt;"","PASS","FAIL - Missing UPC")</f>
        <v>PASS</v>
      </c>
      <c r="N1043" s="20" t="str">
        <f aca="false">IF(AND(G1043&lt;&gt;"",H1043&lt;&gt;""),IF("0"&amp;G1043=H1043,"PASS","FAIL - GTIN Mismatch"),"SKIP")</f>
        <v>PASS</v>
      </c>
      <c r="O1043" s="20" t="str">
        <f aca="false">IF(I1043="","FAIL - No Title",IF(LEN(I1043)&lt;=126,"PASS","FAIL - Title &gt;"&amp;126&amp;" chars"))</f>
        <v>PASS</v>
      </c>
      <c r="P1043" s="20" t="str">
        <f aca="false">IF(J1043&gt;0,IF(J1043&lt;5000,"PASS","FLAG - Review Price"),"FAIL - Zero Price")</f>
        <v>PASS</v>
      </c>
      <c r="Q1043" s="20" t="str">
        <f aca="false">IF('Raw Catalog'!P1041&lt;&gt;"","PASS","FAIL - No Image")</f>
        <v>PASS</v>
      </c>
      <c r="R1043" s="20" t="str">
        <f aca="false">IF(F1043&lt;&gt;"","PASS","FAIL - No Brand")</f>
        <v>PASS</v>
      </c>
      <c r="S1043" s="20" t="str">
        <f aca="true">IF(K1043="","FAIL - No Date",IF(TODAY()-DATEVALUE(K1043)&lt;=180,"PASS","FLAG - Stale &gt;180d"))</f>
        <v>FLAG - Stale &gt;180d</v>
      </c>
      <c r="T1043" s="20" t="n">
        <f aca="false">COUNTIF(M1043:S1043,"FAIL*")+COUNTIF(M1043:S1043,"FLAG*")</f>
        <v>1</v>
      </c>
      <c r="U1043" s="20" t="str">
        <f aca="false">IF(T1043=0,"CLEAN",IF(T1043=1,"MINOR",IF(T1043&lt;=3,"MODERATE","CRITICAL")))</f>
        <v>MINOR</v>
      </c>
      <c r="V1043" s="20" t="str">
        <f aca="false">IF(U1043="CLEAN","None",IF(U1043="MINOR","Seller Notify",IF(U1043="MODERATE","Listing Suspended","Immediate Removal")))</f>
        <v>Seller Notify</v>
      </c>
    </row>
  </sheetData>
  <autoFilter ref="A3:V3"/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4E13"/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4" min="3" style="1" width="16"/>
    <col collapsed="false" customWidth="true" hidden="false" outlineLevel="0" max="5" min="5" style="1" width="14"/>
    <col collapsed="false" customWidth="true" hidden="false" outlineLevel="0" max="7" min="6" style="1" width="16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0" min="10" style="1" width="22"/>
  </cols>
  <sheetData>
    <row r="1" customFormat="false" ht="31.5" hidden="false" customHeight="true" outlineLevel="0" collapsed="false">
      <c r="A1" s="22" t="s">
        <v>7121</v>
      </c>
      <c r="B1" s="22"/>
      <c r="C1" s="22"/>
      <c r="D1" s="22"/>
      <c r="E1" s="22"/>
      <c r="F1" s="22"/>
      <c r="G1" s="22"/>
      <c r="H1" s="22"/>
      <c r="I1" s="22"/>
      <c r="J1" s="22"/>
    </row>
    <row r="2" customFormat="false" ht="15.75" hidden="false" customHeight="true" outlineLevel="0" collapsed="false">
      <c r="A2" s="3" t="s">
        <v>7122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25.5" hidden="false" customHeight="true" outlineLevel="0" collapsed="false">
      <c r="A3" s="23" t="s">
        <v>28</v>
      </c>
      <c r="B3" s="23" t="s">
        <v>29</v>
      </c>
      <c r="C3" s="23" t="s">
        <v>7123</v>
      </c>
      <c r="D3" s="23" t="s">
        <v>7124</v>
      </c>
      <c r="E3" s="23" t="s">
        <v>7125</v>
      </c>
      <c r="F3" s="23" t="s">
        <v>7126</v>
      </c>
      <c r="G3" s="23" t="s">
        <v>7127</v>
      </c>
      <c r="H3" s="23" t="s">
        <v>7128</v>
      </c>
      <c r="I3" s="23" t="s">
        <v>7129</v>
      </c>
      <c r="J3" s="23" t="s">
        <v>7130</v>
      </c>
    </row>
    <row r="4" customFormat="false" ht="21.75" hidden="false" customHeight="true" outlineLevel="0" collapsed="false">
      <c r="A4" s="13" t="s">
        <v>125</v>
      </c>
      <c r="B4" s="13" t="s">
        <v>126</v>
      </c>
      <c r="C4" s="13" t="n">
        <v>124</v>
      </c>
      <c r="D4" s="13" t="n">
        <v>95</v>
      </c>
      <c r="E4" s="13" t="n">
        <v>29</v>
      </c>
      <c r="F4" s="24" t="n">
        <v>0.766</v>
      </c>
      <c r="G4" s="25" t="n">
        <v>5</v>
      </c>
      <c r="H4" s="26" t="n">
        <v>0.844</v>
      </c>
      <c r="I4" s="27" t="s">
        <v>7131</v>
      </c>
      <c r="J4" s="13" t="s">
        <v>7132</v>
      </c>
    </row>
    <row r="5" customFormat="false" ht="21.75" hidden="false" customHeight="true" outlineLevel="0" collapsed="false">
      <c r="A5" s="13" t="s">
        <v>113</v>
      </c>
      <c r="B5" s="13" t="s">
        <v>114</v>
      </c>
      <c r="C5" s="13" t="n">
        <v>124</v>
      </c>
      <c r="D5" s="13" t="n">
        <v>103</v>
      </c>
      <c r="E5" s="13" t="n">
        <v>21</v>
      </c>
      <c r="F5" s="24" t="n">
        <v>0.831</v>
      </c>
      <c r="G5" s="25" t="n">
        <v>3</v>
      </c>
      <c r="H5" s="26" t="n">
        <v>0.889</v>
      </c>
      <c r="I5" s="27" t="s">
        <v>7131</v>
      </c>
      <c r="J5" s="13" t="s">
        <v>7132</v>
      </c>
    </row>
    <row r="6" customFormat="false" ht="21.75" hidden="false" customHeight="true" outlineLevel="0" collapsed="false">
      <c r="A6" s="13" t="s">
        <v>159</v>
      </c>
      <c r="B6" s="13" t="s">
        <v>160</v>
      </c>
      <c r="C6" s="13" t="n">
        <v>127</v>
      </c>
      <c r="D6" s="13" t="n">
        <v>102</v>
      </c>
      <c r="E6" s="13" t="n">
        <v>25</v>
      </c>
      <c r="F6" s="24" t="n">
        <v>0.803</v>
      </c>
      <c r="G6" s="25" t="n">
        <v>6</v>
      </c>
      <c r="H6" s="26" t="n">
        <v>0.863</v>
      </c>
      <c r="I6" s="27" t="s">
        <v>7131</v>
      </c>
      <c r="J6" s="13" t="s">
        <v>7132</v>
      </c>
    </row>
    <row r="7" customFormat="false" ht="21.75" hidden="false" customHeight="true" outlineLevel="0" collapsed="false">
      <c r="A7" s="13" t="s">
        <v>255</v>
      </c>
      <c r="B7" s="13" t="s">
        <v>256</v>
      </c>
      <c r="C7" s="13" t="n">
        <v>131</v>
      </c>
      <c r="D7" s="13" t="n">
        <v>102</v>
      </c>
      <c r="E7" s="13" t="n">
        <v>29</v>
      </c>
      <c r="F7" s="24" t="n">
        <v>0.779</v>
      </c>
      <c r="G7" s="25" t="n">
        <v>5</v>
      </c>
      <c r="H7" s="26" t="n">
        <v>0.852</v>
      </c>
      <c r="I7" s="27" t="s">
        <v>7131</v>
      </c>
      <c r="J7" s="13" t="s">
        <v>7132</v>
      </c>
    </row>
    <row r="8" customFormat="false" ht="21.75" hidden="false" customHeight="true" outlineLevel="0" collapsed="false">
      <c r="A8" s="13" t="s">
        <v>173</v>
      </c>
      <c r="B8" s="13" t="s">
        <v>174</v>
      </c>
      <c r="C8" s="13" t="n">
        <v>126</v>
      </c>
      <c r="D8" s="13" t="n">
        <v>105</v>
      </c>
      <c r="E8" s="13" t="n">
        <v>21</v>
      </c>
      <c r="F8" s="24" t="n">
        <v>0.833</v>
      </c>
      <c r="G8" s="25" t="n">
        <v>4</v>
      </c>
      <c r="H8" s="26" t="n">
        <v>0.887</v>
      </c>
      <c r="I8" s="27" t="s">
        <v>7131</v>
      </c>
      <c r="J8" s="13" t="s">
        <v>7132</v>
      </c>
    </row>
    <row r="9" customFormat="false" ht="21.75" hidden="false" customHeight="true" outlineLevel="0" collapsed="false">
      <c r="A9" s="13" t="s">
        <v>63</v>
      </c>
      <c r="B9" s="13" t="s">
        <v>64</v>
      </c>
      <c r="C9" s="13" t="n">
        <v>141</v>
      </c>
      <c r="D9" s="13" t="n">
        <v>118</v>
      </c>
      <c r="E9" s="13" t="n">
        <v>23</v>
      </c>
      <c r="F9" s="24" t="n">
        <v>0.837</v>
      </c>
      <c r="G9" s="25" t="n">
        <v>4</v>
      </c>
      <c r="H9" s="26" t="n">
        <v>0.891</v>
      </c>
      <c r="I9" s="27" t="s">
        <v>7131</v>
      </c>
      <c r="J9" s="13" t="s">
        <v>7132</v>
      </c>
    </row>
    <row r="10" customFormat="false" ht="21.75" hidden="false" customHeight="true" outlineLevel="0" collapsed="false">
      <c r="A10" s="13" t="s">
        <v>77</v>
      </c>
      <c r="B10" s="13" t="s">
        <v>78</v>
      </c>
      <c r="C10" s="13" t="n">
        <v>128</v>
      </c>
      <c r="D10" s="13" t="n">
        <v>94</v>
      </c>
      <c r="E10" s="13" t="n">
        <v>34</v>
      </c>
      <c r="F10" s="24" t="n">
        <v>0.734</v>
      </c>
      <c r="G10" s="25" t="n">
        <v>9</v>
      </c>
      <c r="H10" s="26" t="n">
        <v>0.812</v>
      </c>
      <c r="I10" s="27" t="s">
        <v>7131</v>
      </c>
      <c r="J10" s="13" t="s">
        <v>7132</v>
      </c>
    </row>
    <row r="11" customFormat="false" ht="21.75" hidden="false" customHeight="true" outlineLevel="0" collapsed="false">
      <c r="A11" s="13" t="s">
        <v>48</v>
      </c>
      <c r="B11" s="13" t="s">
        <v>49</v>
      </c>
      <c r="C11" s="13" t="n">
        <v>139</v>
      </c>
      <c r="D11" s="13" t="n">
        <v>110</v>
      </c>
      <c r="E11" s="13" t="n">
        <v>29</v>
      </c>
      <c r="F11" s="24" t="n">
        <v>0.791</v>
      </c>
      <c r="G11" s="25" t="n">
        <v>6</v>
      </c>
      <c r="H11" s="26" t="n">
        <v>0.858</v>
      </c>
      <c r="I11" s="27" t="s">
        <v>7131</v>
      </c>
      <c r="J11" s="13" t="s">
        <v>7132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83F04"/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35"/>
    <col collapsed="false" customWidth="true" hidden="false" outlineLevel="0" max="13" min="6" style="1" width="12"/>
  </cols>
  <sheetData>
    <row r="1" customFormat="false" ht="31.5" hidden="false" customHeight="true" outlineLevel="0" collapsed="false">
      <c r="A1" s="22" t="s">
        <v>7133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3" customFormat="false" ht="18" hidden="false" customHeight="true" outlineLevel="0" collapsed="false">
      <c r="A3" s="28" t="s">
        <v>7134</v>
      </c>
      <c r="B3" s="28"/>
      <c r="C3" s="28" t="s">
        <v>7135</v>
      </c>
      <c r="D3" s="28"/>
      <c r="E3" s="28" t="s">
        <v>7136</v>
      </c>
      <c r="F3" s="28"/>
      <c r="G3" s="28" t="s">
        <v>7137</v>
      </c>
      <c r="H3" s="28"/>
      <c r="I3" s="28" t="s">
        <v>7138</v>
      </c>
      <c r="J3" s="28"/>
      <c r="K3" s="28" t="s">
        <v>7139</v>
      </c>
      <c r="L3" s="28"/>
    </row>
    <row r="4" customFormat="false" ht="39.75" hidden="false" customHeight="true" outlineLevel="0" collapsed="false">
      <c r="A4" s="29" t="n">
        <v>1040</v>
      </c>
      <c r="B4" s="29"/>
      <c r="C4" s="29" t="n">
        <v>829</v>
      </c>
      <c r="D4" s="29"/>
      <c r="E4" s="30" t="n">
        <v>211</v>
      </c>
      <c r="F4" s="30"/>
      <c r="G4" s="30" t="n">
        <v>42</v>
      </c>
      <c r="H4" s="30"/>
      <c r="I4" s="29" t="s">
        <v>7140</v>
      </c>
      <c r="J4" s="29"/>
      <c r="K4" s="30" t="n">
        <v>26.4</v>
      </c>
      <c r="L4" s="30"/>
    </row>
    <row r="5" customFormat="false" ht="15.75" hidden="false" customHeight="true" outlineLevel="0" collapsed="false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7" customFormat="false" ht="24" hidden="false" customHeight="true" outlineLevel="0" collapsed="false">
      <c r="A7" s="32" t="s">
        <v>7141</v>
      </c>
      <c r="B7" s="32"/>
      <c r="C7" s="32"/>
      <c r="D7" s="32"/>
      <c r="E7" s="32"/>
      <c r="G7" s="32" t="s">
        <v>7142</v>
      </c>
      <c r="H7" s="32"/>
      <c r="I7" s="32"/>
      <c r="J7" s="32"/>
      <c r="K7" s="32"/>
      <c r="L7" s="32"/>
    </row>
    <row r="8" customFormat="false" ht="15" hidden="false" customHeight="true" outlineLevel="0" collapsed="false">
      <c r="A8" s="33" t="s">
        <v>7143</v>
      </c>
      <c r="B8" s="33" t="s">
        <v>7144</v>
      </c>
      <c r="C8" s="33" t="s">
        <v>7145</v>
      </c>
      <c r="D8" s="33" t="s">
        <v>6082</v>
      </c>
      <c r="E8" s="33" t="s">
        <v>7146</v>
      </c>
      <c r="G8" s="33" t="s">
        <v>30</v>
      </c>
      <c r="H8" s="33" t="s">
        <v>7147</v>
      </c>
      <c r="I8" s="33" t="s">
        <v>7148</v>
      </c>
      <c r="J8" s="33" t="s">
        <v>7149</v>
      </c>
      <c r="K8" s="33" t="s">
        <v>7150</v>
      </c>
    </row>
    <row r="9" customFormat="false" ht="18" hidden="false" customHeight="true" outlineLevel="0" collapsed="false">
      <c r="A9" s="19" t="s">
        <v>7151</v>
      </c>
      <c r="B9" s="19" t="n">
        <v>11</v>
      </c>
      <c r="C9" s="34" t="n">
        <v>0.0105769230769231</v>
      </c>
      <c r="D9" s="35" t="s">
        <v>7152</v>
      </c>
      <c r="E9" s="19" t="s">
        <v>7153</v>
      </c>
      <c r="G9" s="13" t="s">
        <v>161</v>
      </c>
      <c r="H9" s="36" t="n">
        <v>207</v>
      </c>
      <c r="I9" s="36" t="n">
        <v>157</v>
      </c>
      <c r="J9" s="37" t="n">
        <v>0.241545893719807</v>
      </c>
      <c r="K9" s="27" t="s">
        <v>7154</v>
      </c>
    </row>
    <row r="10" customFormat="false" ht="18" hidden="false" customHeight="true" outlineLevel="0" collapsed="false">
      <c r="A10" s="19" t="s">
        <v>7155</v>
      </c>
      <c r="B10" s="19" t="n">
        <v>7</v>
      </c>
      <c r="C10" s="34" t="n">
        <v>0.00673076923076923</v>
      </c>
      <c r="D10" s="35" t="s">
        <v>7152</v>
      </c>
      <c r="E10" s="19" t="s">
        <v>7156</v>
      </c>
      <c r="G10" s="13" t="s">
        <v>79</v>
      </c>
      <c r="H10" s="36" t="n">
        <v>214</v>
      </c>
      <c r="I10" s="36" t="n">
        <v>168</v>
      </c>
      <c r="J10" s="37" t="n">
        <v>0.214953271028037</v>
      </c>
      <c r="K10" s="27" t="s">
        <v>7154</v>
      </c>
    </row>
    <row r="11" customFormat="false" ht="18" hidden="false" customHeight="true" outlineLevel="0" collapsed="false">
      <c r="A11" s="19" t="s">
        <v>7157</v>
      </c>
      <c r="B11" s="19" t="n">
        <v>14</v>
      </c>
      <c r="C11" s="34" t="n">
        <v>0.0134615384615385</v>
      </c>
      <c r="D11" s="35" t="s">
        <v>7152</v>
      </c>
      <c r="E11" s="19" t="s">
        <v>7158</v>
      </c>
      <c r="G11" s="13" t="s">
        <v>65</v>
      </c>
      <c r="H11" s="36" t="n">
        <v>193</v>
      </c>
      <c r="I11" s="36" t="n">
        <v>159</v>
      </c>
      <c r="J11" s="38" t="n">
        <v>0.176165803108808</v>
      </c>
      <c r="K11" s="27" t="s">
        <v>7154</v>
      </c>
    </row>
    <row r="12" customFormat="false" ht="18" hidden="false" customHeight="true" outlineLevel="0" collapsed="false">
      <c r="A12" s="19" t="s">
        <v>7159</v>
      </c>
      <c r="B12" s="19" t="n">
        <v>10</v>
      </c>
      <c r="C12" s="34" t="n">
        <v>0.00961538461538462</v>
      </c>
      <c r="D12" s="35" t="s">
        <v>7152</v>
      </c>
      <c r="E12" s="19" t="s">
        <v>7160</v>
      </c>
      <c r="G12" s="13" t="s">
        <v>91</v>
      </c>
      <c r="H12" s="36" t="n">
        <v>200</v>
      </c>
      <c r="I12" s="36" t="n">
        <v>160</v>
      </c>
      <c r="J12" s="38" t="n">
        <v>0.2</v>
      </c>
      <c r="K12" s="27" t="s">
        <v>7154</v>
      </c>
    </row>
    <row r="13" customFormat="false" ht="18" hidden="false" customHeight="true" outlineLevel="0" collapsed="false">
      <c r="A13" s="19" t="s">
        <v>7161</v>
      </c>
      <c r="B13" s="19" t="n">
        <v>10</v>
      </c>
      <c r="C13" s="34" t="n">
        <v>0.00961538461538462</v>
      </c>
      <c r="D13" s="39" t="s">
        <v>7162</v>
      </c>
      <c r="E13" s="19" t="s">
        <v>7163</v>
      </c>
      <c r="G13" s="13" t="s">
        <v>50</v>
      </c>
      <c r="H13" s="36" t="n">
        <v>226</v>
      </c>
      <c r="I13" s="36" t="n">
        <v>185</v>
      </c>
      <c r="J13" s="38" t="n">
        <v>0.18141592920354</v>
      </c>
      <c r="K13" s="27" t="s">
        <v>7154</v>
      </c>
    </row>
    <row r="14" customFormat="false" ht="18" hidden="false" customHeight="true" outlineLevel="0" collapsed="false">
      <c r="A14" s="19" t="s">
        <v>7164</v>
      </c>
      <c r="B14" s="19" t="n">
        <v>19</v>
      </c>
      <c r="C14" s="34" t="n">
        <v>0.0182692307692308</v>
      </c>
      <c r="D14" s="39" t="s">
        <v>7162</v>
      </c>
      <c r="E14" s="19" t="s">
        <v>7165</v>
      </c>
    </row>
    <row r="15" customFormat="false" ht="18" hidden="false" customHeight="true" outlineLevel="0" collapsed="false">
      <c r="A15" s="19" t="s">
        <v>7166</v>
      </c>
      <c r="B15" s="19" t="n">
        <v>40</v>
      </c>
      <c r="C15" s="34" t="n">
        <v>0.0384615384615385</v>
      </c>
      <c r="D15" s="39" t="s">
        <v>7162</v>
      </c>
      <c r="E15" s="19" t="s">
        <v>7167</v>
      </c>
    </row>
    <row r="16" customFormat="false" ht="18" hidden="false" customHeight="true" outlineLevel="0" collapsed="false">
      <c r="A16" s="19" t="s">
        <v>7168</v>
      </c>
      <c r="B16" s="19" t="n">
        <v>27</v>
      </c>
      <c r="C16" s="34" t="n">
        <v>0.0259615384615385</v>
      </c>
      <c r="D16" s="40" t="s">
        <v>7169</v>
      </c>
      <c r="E16" s="19" t="s">
        <v>7170</v>
      </c>
    </row>
    <row r="17" customFormat="false" ht="18" hidden="false" customHeight="true" outlineLevel="0" collapsed="false">
      <c r="A17" s="19" t="s">
        <v>7171</v>
      </c>
      <c r="B17" s="19" t="n">
        <v>25</v>
      </c>
      <c r="C17" s="34" t="n">
        <v>0.0240384615384615</v>
      </c>
      <c r="D17" s="40" t="s">
        <v>7169</v>
      </c>
      <c r="E17" s="19" t="s">
        <v>7172</v>
      </c>
    </row>
    <row r="18" customFormat="false" ht="18" hidden="false" customHeight="true" outlineLevel="0" collapsed="false">
      <c r="A18" s="19" t="s">
        <v>7173</v>
      </c>
      <c r="B18" s="19" t="n">
        <v>33</v>
      </c>
      <c r="C18" s="34" t="n">
        <v>0.0317307692307692</v>
      </c>
      <c r="D18" s="41" t="s">
        <v>7174</v>
      </c>
      <c r="E18" s="19" t="s">
        <v>7175</v>
      </c>
    </row>
    <row r="19" customFormat="false" ht="18" hidden="false" customHeight="true" outlineLevel="0" collapsed="false">
      <c r="A19" s="19" t="s">
        <v>7176</v>
      </c>
      <c r="B19" s="19" t="n">
        <v>15</v>
      </c>
      <c r="C19" s="34" t="n">
        <v>0.0144230769230769</v>
      </c>
      <c r="D19" s="41" t="s">
        <v>7174</v>
      </c>
      <c r="E19" s="19" t="s">
        <v>7177</v>
      </c>
    </row>
  </sheetData>
  <mergeCells count="21">
    <mergeCell ref="A1:N1"/>
    <mergeCell ref="A3:B3"/>
    <mergeCell ref="C3:D3"/>
    <mergeCell ref="E3:F3"/>
    <mergeCell ref="G3:H3"/>
    <mergeCell ref="I3:J3"/>
    <mergeCell ref="K3:L3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7:E7"/>
    <mergeCell ref="G7:L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65"/>
    <col collapsed="false" customWidth="true" hidden="false" outlineLevel="0" max="3" min="3" style="1" width="60"/>
    <col collapsed="false" customWidth="true" hidden="false" outlineLevel="0" max="4" min="4" style="1" width="30"/>
  </cols>
  <sheetData>
    <row r="1" customFormat="false" ht="31.5" hidden="false" customHeight="true" outlineLevel="0" collapsed="false">
      <c r="A1" s="42" t="s">
        <v>7178</v>
      </c>
      <c r="B1" s="42"/>
      <c r="C1" s="42"/>
      <c r="D1" s="42"/>
      <c r="E1" s="42"/>
      <c r="F1" s="42"/>
    </row>
    <row r="2" customFormat="false" ht="27.75" hidden="false" customHeight="true" outlineLevel="0" collapsed="false">
      <c r="A2" s="43" t="s">
        <v>7179</v>
      </c>
      <c r="B2" s="43"/>
      <c r="C2" s="43"/>
      <c r="D2" s="43"/>
      <c r="E2" s="43"/>
      <c r="F2" s="43"/>
    </row>
    <row r="4" customFormat="false" ht="24" hidden="false" customHeight="true" outlineLevel="0" collapsed="false">
      <c r="A4" s="44" t="s">
        <v>7180</v>
      </c>
      <c r="B4" s="44" t="s">
        <v>7181</v>
      </c>
      <c r="C4" s="44" t="s">
        <v>7182</v>
      </c>
      <c r="D4" s="44" t="s">
        <v>7183</v>
      </c>
    </row>
    <row r="5" customFormat="false" ht="54.75" hidden="false" customHeight="true" outlineLevel="0" collapsed="false">
      <c r="A5" s="45" t="s">
        <v>7184</v>
      </c>
      <c r="B5" s="46" t="s">
        <v>7185</v>
      </c>
      <c r="C5" s="47" t="s">
        <v>7186</v>
      </c>
      <c r="D5" s="48" t="s">
        <v>7187</v>
      </c>
    </row>
    <row r="6" customFormat="false" ht="54.75" hidden="false" customHeight="true" outlineLevel="0" collapsed="false">
      <c r="A6" s="49" t="s">
        <v>7188</v>
      </c>
      <c r="B6" s="50" t="s">
        <v>7189</v>
      </c>
      <c r="C6" s="51" t="s">
        <v>7190</v>
      </c>
      <c r="D6" s="52" t="s">
        <v>7191</v>
      </c>
    </row>
    <row r="7" customFormat="false" ht="54.75" hidden="false" customHeight="true" outlineLevel="0" collapsed="false">
      <c r="A7" s="45" t="s">
        <v>7192</v>
      </c>
      <c r="B7" s="46" t="s">
        <v>7193</v>
      </c>
      <c r="C7" s="47" t="s">
        <v>7194</v>
      </c>
      <c r="D7" s="48" t="s">
        <v>7195</v>
      </c>
    </row>
    <row r="8" customFormat="false" ht="54.75" hidden="false" customHeight="true" outlineLevel="0" collapsed="false">
      <c r="A8" s="49" t="s">
        <v>7196</v>
      </c>
      <c r="B8" s="50" t="s">
        <v>7197</v>
      </c>
      <c r="C8" s="51" t="s">
        <v>7198</v>
      </c>
      <c r="D8" s="52" t="s">
        <v>7199</v>
      </c>
    </row>
    <row r="9" customFormat="false" ht="54.75" hidden="false" customHeight="true" outlineLevel="0" collapsed="false">
      <c r="A9" s="45" t="s">
        <v>7200</v>
      </c>
      <c r="B9" s="46" t="s">
        <v>7201</v>
      </c>
      <c r="C9" s="47" t="s">
        <v>7202</v>
      </c>
      <c r="D9" s="48" t="s">
        <v>7203</v>
      </c>
    </row>
    <row r="10" customFormat="false" ht="54.75" hidden="false" customHeight="true" outlineLevel="0" collapsed="false">
      <c r="A10" s="49" t="s">
        <v>7204</v>
      </c>
      <c r="B10" s="50" t="s">
        <v>7205</v>
      </c>
      <c r="C10" s="51" t="s">
        <v>7206</v>
      </c>
      <c r="D10" s="52" t="s">
        <v>7207</v>
      </c>
    </row>
    <row r="11" customFormat="false" ht="54.75" hidden="false" customHeight="true" outlineLevel="0" collapsed="false">
      <c r="A11" s="45" t="s">
        <v>7208</v>
      </c>
      <c r="B11" s="46" t="s">
        <v>7209</v>
      </c>
      <c r="C11" s="47" t="s">
        <v>7210</v>
      </c>
      <c r="D11" s="48" t="s">
        <v>7211</v>
      </c>
    </row>
    <row r="12" customFormat="false" ht="54.75" hidden="false" customHeight="true" outlineLevel="0" collapsed="false">
      <c r="A12" s="49" t="s">
        <v>7212</v>
      </c>
      <c r="B12" s="50" t="s">
        <v>7213</v>
      </c>
      <c r="C12" s="51" t="s">
        <v>7214</v>
      </c>
      <c r="D12" s="52" t="s">
        <v>7215</v>
      </c>
    </row>
    <row r="14" customFormat="false" ht="19.5" hidden="false" customHeight="true" outlineLevel="0" collapsed="false">
      <c r="A14" s="4" t="s">
        <v>7216</v>
      </c>
      <c r="B14" s="4"/>
      <c r="C14" s="4"/>
      <c r="D14" s="4"/>
      <c r="E14" s="4"/>
      <c r="F14" s="4"/>
    </row>
    <row r="15" customFormat="false" ht="18" hidden="false" customHeight="true" outlineLevel="0" collapsed="false">
      <c r="A15" s="53" t="s">
        <v>7217</v>
      </c>
      <c r="B15" s="53"/>
      <c r="C15" s="53"/>
      <c r="D15" s="53"/>
      <c r="E15" s="53"/>
      <c r="F15" s="53"/>
    </row>
    <row r="16" customFormat="false" ht="18" hidden="false" customHeight="true" outlineLevel="0" collapsed="false">
      <c r="A16" s="53" t="s">
        <v>7218</v>
      </c>
      <c r="B16" s="53"/>
      <c r="C16" s="53"/>
      <c r="D16" s="53"/>
      <c r="E16" s="53"/>
      <c r="F16" s="53"/>
    </row>
    <row r="17" customFormat="false" ht="18" hidden="false" customHeight="true" outlineLevel="0" collapsed="false">
      <c r="A17" s="53" t="s">
        <v>7219</v>
      </c>
      <c r="B17" s="53"/>
      <c r="C17" s="53"/>
      <c r="D17" s="53"/>
      <c r="E17" s="53"/>
      <c r="F17" s="53"/>
    </row>
    <row r="18" customFormat="false" ht="18" hidden="false" customHeight="true" outlineLevel="0" collapsed="false">
      <c r="A18" s="53" t="s">
        <v>7220</v>
      </c>
      <c r="B18" s="53"/>
      <c r="C18" s="53"/>
      <c r="D18" s="53"/>
      <c r="E18" s="53"/>
      <c r="F18" s="53"/>
    </row>
    <row r="19" customFormat="false" ht="18" hidden="false" customHeight="true" outlineLevel="0" collapsed="false">
      <c r="A19" s="53" t="s">
        <v>7221</v>
      </c>
      <c r="B19" s="53"/>
      <c r="C19" s="53"/>
      <c r="D19" s="53"/>
      <c r="E19" s="53"/>
      <c r="F19" s="53"/>
    </row>
    <row r="20" customFormat="false" ht="18" hidden="false" customHeight="true" outlineLevel="0" collapsed="false">
      <c r="A20" s="54" t="s">
        <v>7222</v>
      </c>
      <c r="B20" s="54"/>
      <c r="C20" s="54"/>
      <c r="D20" s="54"/>
      <c r="E20" s="54"/>
      <c r="F20" s="54"/>
    </row>
  </sheetData>
  <mergeCells count="9">
    <mergeCell ref="A1:F1"/>
    <mergeCell ref="A2:F2"/>
    <mergeCell ref="A14:F14"/>
    <mergeCell ref="A15:F15"/>
    <mergeCell ref="A16:F16"/>
    <mergeCell ref="A17:F17"/>
    <mergeCell ref="A18:F18"/>
    <mergeCell ref="A19:F19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2026-06-01T03:38:15Z</dcterms:created>
  <dc:creator>openpyxl</dc:creator>
  <dc:description/>
  <dc:language>en-US</dc:language>
  <cp:lastModifiedBy/>
  <dcterms:modified xsi:type="dcterms:W3CDTF">2026-06-01T04:45:32Z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